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950930\Documents\DS\Excel\"/>
    </mc:Choice>
  </mc:AlternateContent>
  <xr:revisionPtr revIDLastSave="0" documentId="13_ncr:1_{A4C893E7-386A-49D1-BC13-AFA983FCBF85}" xr6:coauthVersionLast="47" xr6:coauthVersionMax="47" xr10:uidLastSave="{00000000-0000-0000-0000-000000000000}"/>
  <bookViews>
    <workbookView xWindow="2616" yWindow="1236" windowWidth="18732" windowHeight="11076" activeTab="4" xr2:uid="{ABDB3150-D1B4-4BD2-A92B-8AD6010E52CB}"/>
  </bookViews>
  <sheets>
    <sheet name="office_booking_1000" sheetId="1" r:id="rId1"/>
    <sheet name="Detail1" sheetId="8" state="hidden" r:id="rId2"/>
    <sheet name="PivotTable" sheetId="3" state="hidden" r:id="rId3"/>
    <sheet name="office_booking_project" sheetId="2" r:id="rId4"/>
    <sheet name="Dashboard" sheetId="6" r:id="rId5"/>
  </sheets>
  <definedNames>
    <definedName name="Slicer_appointment_month">#N/A</definedName>
    <definedName name="Slicer_appointment_status">#N/A</definedName>
    <definedName name="Slicer_office_location">#N/A</definedName>
    <definedName name="Slicer_visitor_type">#N/A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6" l="1"/>
  <c r="A8" i="6"/>
  <c r="A4" i="6"/>
  <c r="A10" i="6"/>
  <c r="A6" i="6"/>
  <c r="A7" i="6"/>
  <c r="A3" i="6"/>
  <c r="A5" i="6"/>
</calcChain>
</file>

<file path=xl/sharedStrings.xml><?xml version="1.0" encoding="utf-8"?>
<sst xmlns="http://schemas.openxmlformats.org/spreadsheetml/2006/main" count="22190" uniqueCount="143">
  <si>
    <t>office_location</t>
  </si>
  <si>
    <t>appointment_cancelled</t>
  </si>
  <si>
    <t>days_before_appointment</t>
  </si>
  <si>
    <t>appointment_year</t>
  </si>
  <si>
    <t>appointment_month</t>
  </si>
  <si>
    <t>arrival_date_week_number</t>
  </si>
  <si>
    <t>appointment_day</t>
  </si>
  <si>
    <t>stays_in_weekend_nights</t>
  </si>
  <si>
    <t>stays_in_week_nights</t>
  </si>
  <si>
    <t>visitors</t>
  </si>
  <si>
    <t>additional_visitors</t>
  </si>
  <si>
    <t>babies</t>
  </si>
  <si>
    <t>meal</t>
  </si>
  <si>
    <t>visitor_country</t>
  </si>
  <si>
    <t>visitor_source</t>
  </si>
  <si>
    <t>appointment_channel</t>
  </si>
  <si>
    <t>is_repeated_guest</t>
  </si>
  <si>
    <t>previous_cancellations</t>
  </si>
  <si>
    <t>previous_bookings_not_canceled</t>
  </si>
  <si>
    <t>reserved_meeting_room</t>
  </si>
  <si>
    <t>assigned_meeting_room</t>
  </si>
  <si>
    <t>appointment_changes</t>
  </si>
  <si>
    <t>deposit_type</t>
  </si>
  <si>
    <t>agent</t>
  </si>
  <si>
    <t>company</t>
  </si>
  <si>
    <t>days_in_waiting_list</t>
  </si>
  <si>
    <t>visitor_type</t>
  </si>
  <si>
    <t>meeting_cost</t>
  </si>
  <si>
    <t>required_car_parking_spaces</t>
  </si>
  <si>
    <t>total_of_special_requests</t>
  </si>
  <si>
    <t>appointment_status</t>
  </si>
  <si>
    <t>appointment_status_date</t>
  </si>
  <si>
    <t>Head Office</t>
  </si>
  <si>
    <t>December</t>
  </si>
  <si>
    <t>BB</t>
  </si>
  <si>
    <t>GBR</t>
  </si>
  <si>
    <t>Direct</t>
  </si>
  <si>
    <t>F</t>
  </si>
  <si>
    <t>No Deposit</t>
  </si>
  <si>
    <t>Transient</t>
  </si>
  <si>
    <t>Check-Out</t>
  </si>
  <si>
    <t>Branch Office</t>
  </si>
  <si>
    <t>July</t>
  </si>
  <si>
    <t>PRT</t>
  </si>
  <si>
    <t>Online TA</t>
  </si>
  <si>
    <t>TA/TO</t>
  </si>
  <si>
    <t>A</t>
  </si>
  <si>
    <t>Canceled</t>
  </si>
  <si>
    <t>BRA</t>
  </si>
  <si>
    <t>Offline TA/TO</t>
  </si>
  <si>
    <t>K</t>
  </si>
  <si>
    <t>Transient-Party</t>
  </si>
  <si>
    <t>March</t>
  </si>
  <si>
    <t>SWE</t>
  </si>
  <si>
    <t>April</t>
  </si>
  <si>
    <t>SC</t>
  </si>
  <si>
    <t>DEU</t>
  </si>
  <si>
    <t>D</t>
  </si>
  <si>
    <t>SVN</t>
  </si>
  <si>
    <t>October</t>
  </si>
  <si>
    <t>HB</t>
  </si>
  <si>
    <t>November</t>
  </si>
  <si>
    <t>September</t>
  </si>
  <si>
    <t>ESP</t>
  </si>
  <si>
    <t>Groups</t>
  </si>
  <si>
    <t>BEL</t>
  </si>
  <si>
    <t>February</t>
  </si>
  <si>
    <t>August</t>
  </si>
  <si>
    <t>Non Refund</t>
  </si>
  <si>
    <t>May</t>
  </si>
  <si>
    <t>FRA</t>
  </si>
  <si>
    <t>USA</t>
  </si>
  <si>
    <t>E</t>
  </si>
  <si>
    <t>Contract</t>
  </si>
  <si>
    <t>January</t>
  </si>
  <si>
    <t>ARG</t>
  </si>
  <si>
    <t>Corporate</t>
  </si>
  <si>
    <t>Undefined</t>
  </si>
  <si>
    <t>NLD</t>
  </si>
  <si>
    <t>UGA</t>
  </si>
  <si>
    <t>EST</t>
  </si>
  <si>
    <t>TUR</t>
  </si>
  <si>
    <t>AUT</t>
  </si>
  <si>
    <t>June</t>
  </si>
  <si>
    <t>G</t>
  </si>
  <si>
    <t>LUX</t>
  </si>
  <si>
    <t>B</t>
  </si>
  <si>
    <t>KOR</t>
  </si>
  <si>
    <t>CHN</t>
  </si>
  <si>
    <t>No-Show</t>
  </si>
  <si>
    <t>FB</t>
  </si>
  <si>
    <t>AUS</t>
  </si>
  <si>
    <t>H</t>
  </si>
  <si>
    <t>ARE</t>
  </si>
  <si>
    <t>JAM</t>
  </si>
  <si>
    <t>IRL</t>
  </si>
  <si>
    <t>I</t>
  </si>
  <si>
    <t>AGO</t>
  </si>
  <si>
    <t>NOR</t>
  </si>
  <si>
    <t>CN</t>
  </si>
  <si>
    <t>ISR</t>
  </si>
  <si>
    <t>DZA</t>
  </si>
  <si>
    <t>Aviation</t>
  </si>
  <si>
    <t>CHE</t>
  </si>
  <si>
    <t>C</t>
  </si>
  <si>
    <t>MAR</t>
  </si>
  <si>
    <t>ITA</t>
  </si>
  <si>
    <t>NGA</t>
  </si>
  <si>
    <t>CZE</t>
  </si>
  <si>
    <t>FIN</t>
  </si>
  <si>
    <t>JPN</t>
  </si>
  <si>
    <t>RUS</t>
  </si>
  <si>
    <t>DNK</t>
  </si>
  <si>
    <t>PRY</t>
  </si>
  <si>
    <t>GDS</t>
  </si>
  <si>
    <t>POL</t>
  </si>
  <si>
    <t>Complementary</t>
  </si>
  <si>
    <t>LTU</t>
  </si>
  <si>
    <t>HUN</t>
  </si>
  <si>
    <t>MOZ</t>
  </si>
  <si>
    <t>Refundable</t>
  </si>
  <si>
    <t>QAT</t>
  </si>
  <si>
    <t>Group</t>
  </si>
  <si>
    <t>IND</t>
  </si>
  <si>
    <t>GIB</t>
  </si>
  <si>
    <t>BIH</t>
  </si>
  <si>
    <t>ROU</t>
  </si>
  <si>
    <t>ISL</t>
  </si>
  <si>
    <t>HRV</t>
  </si>
  <si>
    <t>Row Labels</t>
  </si>
  <si>
    <t>Grand Total</t>
  </si>
  <si>
    <t>Count of appointment_month</t>
  </si>
  <si>
    <t>Count of appointment_status</t>
  </si>
  <si>
    <t>Count of office_location</t>
  </si>
  <si>
    <t>Count of visitor_type</t>
  </si>
  <si>
    <t>Sum of appointment_cancelled</t>
  </si>
  <si>
    <t>Sum of visitors</t>
  </si>
  <si>
    <t>2025 Office Appoinment Analytics</t>
    <phoneticPr fontId="18" type="noConversion"/>
  </si>
  <si>
    <t>Office Operations Dashboard</t>
    <phoneticPr fontId="18" type="noConversion"/>
  </si>
  <si>
    <t>Average of days_before_appointment</t>
  </si>
  <si>
    <t>Details for Count of appointment_month</t>
  </si>
  <si>
    <t>Sum of stays_in_weekend_nights</t>
  </si>
  <si>
    <t>Sum of stays_in_week_nights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</si>
</sst>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6" formatCode="0.0%"/>
    <numFmt numFmtId="177" formatCode="_ * #,##0_ ;_ * \-#,##0_ ;_ * &quot;-&quot;??_ ;_ @_ "/>
  </numFmts>
  <fonts count="22"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color theme="0"/>
      <name val="等线"/>
      <family val="3"/>
      <charset val="134"/>
      <scheme val="minor"/>
    </font>
    <font>
      <b/>
      <sz val="26"/>
      <color theme="1"/>
      <name val="Calibri"/>
      <family val="2"/>
    </font>
    <font>
      <i/>
      <sz val="16"/>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0">
    <xf numFmtId="0" fontId="0" fillId="0" borderId="0" xfId="0">
      <alignment vertical="center"/>
    </xf>
    <xf numFmtId="14" fontId="0" fillId="0" borderId="0" xfId="0" applyNumberForma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alignment vertical="center"/>
    </xf>
    <xf numFmtId="0" fontId="0" fillId="0" borderId="0" xfId="0" applyAlignment="1">
      <alignment horizontal="left" vertical="center"/>
    </xf>
    <xf numFmtId="2" fontId="0" fillId="0" borderId="0" xfId="0" applyNumberFormat="1">
      <alignment vertical="center"/>
    </xf>
    <xf numFmtId="43" fontId="0" fillId="0" borderId="0" xfId="1" applyFont="1">
      <alignment vertical="center"/>
    </xf>
    <xf numFmtId="43" fontId="0" fillId="0" borderId="0" xfId="0" applyNumberFormat="1">
      <alignment vertical="center"/>
    </xf>
    <xf numFmtId="177" fontId="19" fillId="0" borderId="0" xfId="1" applyNumberFormat="1" applyFont="1">
      <alignment vertical="center"/>
    </xf>
    <xf numFmtId="0" fontId="19" fillId="0" borderId="0" xfId="0" applyFont="1">
      <alignment vertical="center"/>
    </xf>
    <xf numFmtId="176" fontId="19" fillId="0" borderId="0" xfId="2" applyNumberFormat="1" applyFont="1">
      <alignment vertical="center"/>
    </xf>
    <xf numFmtId="0" fontId="20" fillId="0" borderId="0" xfId="0" applyFont="1">
      <alignment vertical="center"/>
    </xf>
    <xf numFmtId="0" fontId="21" fillId="0" borderId="0" xfId="0" applyFont="1">
      <alignment vertical="center"/>
    </xf>
    <xf numFmtId="2" fontId="19" fillId="0" borderId="0" xfId="0" applyNumberFormat="1" applyFont="1">
      <alignment vertical="center"/>
    </xf>
    <xf numFmtId="0" fontId="20" fillId="0" borderId="0" xfId="0" applyFont="1" applyAlignment="1">
      <alignment horizontal="center" vertical="center"/>
    </xf>
    <xf numFmtId="0" fontId="21" fillId="0" borderId="0" xfId="0" applyFont="1" applyAlignment="1">
      <alignment horizontal="center" vertical="center"/>
    </xf>
    <xf numFmtId="0" fontId="0" fillId="0" borderId="0" xfId="0" applyNumberFormat="1">
      <alignment vertical="center"/>
    </xf>
    <xf numFmtId="10" fontId="19" fillId="0" borderId="0" xfId="2" applyNumberFormat="1" applyFont="1">
      <alignment vertical="center"/>
    </xf>
    <xf numFmtId="0" fontId="16" fillId="0" borderId="0" xfId="0" applyFo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29">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9" formatCode="yyyy/m/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5" formatCode="_ * #,##0.00_ ;_ * \-#,##0.00_ ;_ * &quot;-&quot;??_ ;_ @_ "/>
    </dxf>
    <dxf>
      <numFmt numFmtId="35" formatCode="_ * #,##0.00_ ;_ * \-#,##0.00_ ;_ * &quot;-&quot;??_ ;_ @_ "/>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[office_booking_1000.xlsx]PivotTable!sum of cancellation</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PivotTable!$E$14</c:f>
              <c:strCache>
                <c:ptCount val="1"/>
                <c:pt idx="0">
                  <c:v>Total</c:v>
                </c:pt>
              </c:strCache>
            </c:strRef>
          </c:tx>
          <c:spPr>
            <a:solidFill>
              <a:schemeClr val="accent1"/>
            </a:solidFill>
            <a:ln>
              <a:noFill/>
            </a:ln>
            <a:effectLst/>
          </c:spPr>
          <c:invertIfNegative val="0"/>
          <c:cat>
            <c:strRef>
              <c:f>PivotTable!$D$15:$D$27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PivotTable!$E$15:$E$27</c:f>
              <c:numCache>
                <c:formatCode>General</c:formatCode>
                <c:ptCount val="12"/>
                <c:pt idx="0">
                  <c:v>12</c:v>
                </c:pt>
                <c:pt idx="1">
                  <c:v>26</c:v>
                </c:pt>
                <c:pt idx="2">
                  <c:v>30</c:v>
                </c:pt>
                <c:pt idx="3">
                  <c:v>37</c:v>
                </c:pt>
                <c:pt idx="4">
                  <c:v>36</c:v>
                </c:pt>
                <c:pt idx="5">
                  <c:v>31</c:v>
                </c:pt>
                <c:pt idx="6">
                  <c:v>45</c:v>
                </c:pt>
                <c:pt idx="7">
                  <c:v>48</c:v>
                </c:pt>
                <c:pt idx="8">
                  <c:v>39</c:v>
                </c:pt>
                <c:pt idx="9">
                  <c:v>43</c:v>
                </c:pt>
                <c:pt idx="10">
                  <c:v>23</c:v>
                </c:pt>
                <c:pt idx="11">
                  <c:v>15</c:v>
                </c:pt>
              </c:numCache>
            </c:numRef>
          </c:val>
          <c:extLst>
            <c:ext xmlns:c16="http://schemas.microsoft.com/office/drawing/2014/chart" uri="{C3380CC4-5D6E-409C-BE32-E72D297353CC}">
              <c16:uniqueId val="{00000003-D6A5-46A5-92A0-39DB1B8F7E41}"/>
            </c:ext>
          </c:extLst>
        </c:ser>
        <c:dLbls>
          <c:showLegendKey val="0"/>
          <c:showVal val="0"/>
          <c:showCatName val="0"/>
          <c:showSerName val="0"/>
          <c:showPercent val="0"/>
          <c:showBubbleSize val="0"/>
        </c:dLbls>
        <c:gapWidth val="219"/>
        <c:overlap val="-27"/>
        <c:axId val="1229165615"/>
        <c:axId val="1090179743"/>
      </c:barChart>
      <c:catAx>
        <c:axId val="122916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0179743"/>
        <c:crosses val="autoZero"/>
        <c:auto val="1"/>
        <c:lblAlgn val="ctr"/>
        <c:lblOffset val="100"/>
        <c:noMultiLvlLbl val="0"/>
      </c:catAx>
      <c:valAx>
        <c:axId val="109017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916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4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[office_booking_1000.xlsx]PivotTable!peak month</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c:f>
              <c:strCache>
                <c:ptCount val="1"/>
                <c:pt idx="0">
                  <c:v>Total</c:v>
                </c:pt>
              </c:strCache>
            </c:strRef>
          </c:tx>
          <c:spPr>
            <a:ln w="28575" cap="rnd">
              <a:solidFill>
                <a:schemeClr val="accent1"/>
              </a:solidFill>
              <a:round/>
            </a:ln>
            <a:effectLst/>
          </c:spPr>
          <c:marker>
            <c:symbol val="none"/>
          </c:marker>
          <c:cat>
            <c:strRef>
              <c:f>PivotTable!$A$4:$A$16</c:f>
              <c:strCache>
                <c:ptCount val="12"/>
                <c:pt idx="0">
                  <c:v>August</c:v>
                </c:pt>
                <c:pt idx="1">
                  <c:v>July</c:v>
                </c:pt>
                <c:pt idx="2">
                  <c:v>October</c:v>
                </c:pt>
                <c:pt idx="3">
                  <c:v>April</c:v>
                </c:pt>
                <c:pt idx="4">
                  <c:v>September</c:v>
                </c:pt>
                <c:pt idx="5">
                  <c:v>March</c:v>
                </c:pt>
                <c:pt idx="6">
                  <c:v>May</c:v>
                </c:pt>
                <c:pt idx="7">
                  <c:v>June</c:v>
                </c:pt>
                <c:pt idx="8">
                  <c:v>February</c:v>
                </c:pt>
                <c:pt idx="9">
                  <c:v>November</c:v>
                </c:pt>
                <c:pt idx="10">
                  <c:v>December</c:v>
                </c:pt>
                <c:pt idx="11">
                  <c:v>January</c:v>
                </c:pt>
              </c:strCache>
            </c:strRef>
          </c:cat>
          <c:val>
            <c:numRef>
              <c:f>PivotTable!$B$4:$B$16</c:f>
              <c:numCache>
                <c:formatCode>General</c:formatCode>
                <c:ptCount val="12"/>
                <c:pt idx="0">
                  <c:v>115</c:v>
                </c:pt>
                <c:pt idx="1">
                  <c:v>109</c:v>
                </c:pt>
                <c:pt idx="2">
                  <c:v>103</c:v>
                </c:pt>
                <c:pt idx="3">
                  <c:v>98</c:v>
                </c:pt>
                <c:pt idx="4">
                  <c:v>95</c:v>
                </c:pt>
                <c:pt idx="5">
                  <c:v>90</c:v>
                </c:pt>
                <c:pt idx="6">
                  <c:v>87</c:v>
                </c:pt>
                <c:pt idx="7">
                  <c:v>80</c:v>
                </c:pt>
                <c:pt idx="8">
                  <c:v>71</c:v>
                </c:pt>
                <c:pt idx="9">
                  <c:v>60</c:v>
                </c:pt>
                <c:pt idx="10">
                  <c:v>52</c:v>
                </c:pt>
                <c:pt idx="11">
                  <c:v>40</c:v>
                </c:pt>
              </c:numCache>
            </c:numRef>
          </c:val>
          <c:smooth val="0"/>
          <c:extLst>
            <c:ext xmlns:c16="http://schemas.microsoft.com/office/drawing/2014/chart" uri="{C3380CC4-5D6E-409C-BE32-E72D297353CC}">
              <c16:uniqueId val="{00000000-1048-4A35-A91B-CA47C7726C7F}"/>
            </c:ext>
          </c:extLst>
        </c:ser>
        <c:dLbls>
          <c:showLegendKey val="0"/>
          <c:showVal val="0"/>
          <c:showCatName val="0"/>
          <c:showSerName val="0"/>
          <c:showPercent val="0"/>
          <c:showBubbleSize val="0"/>
        </c:dLbls>
        <c:smooth val="0"/>
        <c:axId val="1466796943"/>
        <c:axId val="1090060895"/>
      </c:lineChart>
      <c:catAx>
        <c:axId val="146679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0060895"/>
        <c:crosses val="autoZero"/>
        <c:auto val="1"/>
        <c:lblAlgn val="ctr"/>
        <c:lblOffset val="100"/>
        <c:noMultiLvlLbl val="0"/>
      </c:catAx>
      <c:valAx>
        <c:axId val="109006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6679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[office_booking_1000.xlsx]PivotTable!sum of visitors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PivotTable!$B$25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DB-486E-9847-8813305F4D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DB-486E-9847-8813305F4D41}"/>
              </c:ext>
            </c:extLst>
          </c:dPt>
          <c:cat>
            <c:strRef>
              <c:f>PivotTable!$A$26:$A$28</c:f>
              <c:strCache>
                <c:ptCount val="2"/>
                <c:pt idx="0">
                  <c:v>Branch Office</c:v>
                </c:pt>
                <c:pt idx="1">
                  <c:v>Head Office</c:v>
                </c:pt>
              </c:strCache>
            </c:strRef>
          </c:cat>
          <c:val>
            <c:numRef>
              <c:f>PivotTable!$B$26:$B$28</c:f>
              <c:numCache>
                <c:formatCode>General</c:formatCode>
                <c:ptCount val="2"/>
                <c:pt idx="0">
                  <c:v>1256</c:v>
                </c:pt>
                <c:pt idx="1">
                  <c:v>617</c:v>
                </c:pt>
              </c:numCache>
            </c:numRef>
          </c:val>
          <c:extLst>
            <c:ext xmlns:c16="http://schemas.microsoft.com/office/drawing/2014/chart" uri="{C3380CC4-5D6E-409C-BE32-E72D297353CC}">
              <c16:uniqueId val="{00000000-56EC-45E1-91A3-5AAD2511E4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[office_booking_1000.xlsx]PivotTable!appoinment status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CB-4CFB-8803-D3F692E396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CB-4CFB-8803-D3F692E396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CB-4CFB-8803-D3F692E3964D}"/>
              </c:ext>
            </c:extLst>
          </c:dPt>
          <c:cat>
            <c:strRef>
              <c:f>PivotTable!$D$4:$D$7</c:f>
              <c:strCache>
                <c:ptCount val="3"/>
                <c:pt idx="0">
                  <c:v>Canceled</c:v>
                </c:pt>
                <c:pt idx="1">
                  <c:v>Check-Out</c:v>
                </c:pt>
                <c:pt idx="2">
                  <c:v>No-Show</c:v>
                </c:pt>
              </c:strCache>
            </c:strRef>
          </c:cat>
          <c:val>
            <c:numRef>
              <c:f>PivotTable!$E$4:$E$7</c:f>
              <c:numCache>
                <c:formatCode>General</c:formatCode>
                <c:ptCount val="3"/>
                <c:pt idx="0">
                  <c:v>379</c:v>
                </c:pt>
                <c:pt idx="1">
                  <c:v>615</c:v>
                </c:pt>
                <c:pt idx="2">
                  <c:v>6</c:v>
                </c:pt>
              </c:numCache>
            </c:numRef>
          </c:val>
          <c:extLst>
            <c:ext xmlns:c16="http://schemas.microsoft.com/office/drawing/2014/chart" uri="{C3380CC4-5D6E-409C-BE32-E72D297353CC}">
              <c16:uniqueId val="{00000000-B66D-4A68-BD15-99C077E87C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[office_booking_1000.xlsx]PivotTable!office location</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PivotTable!$E$9</c:f>
              <c:strCache>
                <c:ptCount val="1"/>
                <c:pt idx="0">
                  <c:v>Total</c:v>
                </c:pt>
              </c:strCache>
            </c:strRef>
          </c:tx>
          <c:spPr>
            <a:solidFill>
              <a:schemeClr val="accent1"/>
            </a:solidFill>
            <a:ln>
              <a:noFill/>
            </a:ln>
            <a:effectLst/>
          </c:spPr>
          <c:invertIfNegative val="0"/>
          <c:cat>
            <c:strRef>
              <c:f>PivotTable!$D$10:$D$12</c:f>
              <c:strCache>
                <c:ptCount val="2"/>
                <c:pt idx="0">
                  <c:v>Branch Office</c:v>
                </c:pt>
                <c:pt idx="1">
                  <c:v>Head Office</c:v>
                </c:pt>
              </c:strCache>
            </c:strRef>
          </c:cat>
          <c:val>
            <c:numRef>
              <c:f>PivotTable!$E$10:$E$12</c:f>
              <c:numCache>
                <c:formatCode>General</c:formatCode>
                <c:ptCount val="2"/>
                <c:pt idx="0">
                  <c:v>672</c:v>
                </c:pt>
                <c:pt idx="1">
                  <c:v>328</c:v>
                </c:pt>
              </c:numCache>
            </c:numRef>
          </c:val>
          <c:extLst>
            <c:ext xmlns:c16="http://schemas.microsoft.com/office/drawing/2014/chart" uri="{C3380CC4-5D6E-409C-BE32-E72D297353CC}">
              <c16:uniqueId val="{00000000-AD7B-4FE5-BD18-CBA0B6979481}"/>
            </c:ext>
          </c:extLst>
        </c:ser>
        <c:dLbls>
          <c:showLegendKey val="0"/>
          <c:showVal val="0"/>
          <c:showCatName val="0"/>
          <c:showSerName val="0"/>
          <c:showPercent val="0"/>
          <c:showBubbleSize val="0"/>
        </c:dLbls>
        <c:gapWidth val="182"/>
        <c:axId val="1603718431"/>
        <c:axId val="1090196543"/>
      </c:barChart>
      <c:catAx>
        <c:axId val="160371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0196543"/>
        <c:crosses val="autoZero"/>
        <c:auto val="1"/>
        <c:lblAlgn val="ctr"/>
        <c:lblOffset val="100"/>
        <c:noMultiLvlLbl val="0"/>
      </c:catAx>
      <c:valAx>
        <c:axId val="109019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0371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[office_booking_1000.xlsx]PivotTable!apponiment month trend</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PivotTable!$B$33</c:f>
              <c:strCache>
                <c:ptCount val="1"/>
                <c:pt idx="0">
                  <c:v>Total</c:v>
                </c:pt>
              </c:strCache>
            </c:strRef>
          </c:tx>
          <c:spPr>
            <a:ln w="28575" cap="rnd">
              <a:solidFill>
                <a:schemeClr val="accent1"/>
              </a:solidFill>
              <a:round/>
            </a:ln>
            <a:effectLst/>
          </c:spPr>
          <c:marker>
            <c:symbol val="none"/>
          </c:marker>
          <c:cat>
            <c:strRef>
              <c:f>PivotTable!$A$34:$A$46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PivotTable!$B$34:$B$46</c:f>
              <c:numCache>
                <c:formatCode>General</c:formatCode>
                <c:ptCount val="12"/>
                <c:pt idx="0">
                  <c:v>40</c:v>
                </c:pt>
                <c:pt idx="1">
                  <c:v>71</c:v>
                </c:pt>
                <c:pt idx="2">
                  <c:v>90</c:v>
                </c:pt>
                <c:pt idx="3">
                  <c:v>98</c:v>
                </c:pt>
                <c:pt idx="4">
                  <c:v>87</c:v>
                </c:pt>
                <c:pt idx="5">
                  <c:v>80</c:v>
                </c:pt>
                <c:pt idx="6">
                  <c:v>109</c:v>
                </c:pt>
                <c:pt idx="7">
                  <c:v>115</c:v>
                </c:pt>
                <c:pt idx="8">
                  <c:v>95</c:v>
                </c:pt>
                <c:pt idx="9">
                  <c:v>103</c:v>
                </c:pt>
                <c:pt idx="10">
                  <c:v>60</c:v>
                </c:pt>
                <c:pt idx="11">
                  <c:v>52</c:v>
                </c:pt>
              </c:numCache>
            </c:numRef>
          </c:val>
          <c:smooth val="0"/>
          <c:extLst>
            <c:ext xmlns:c16="http://schemas.microsoft.com/office/drawing/2014/chart" uri="{C3380CC4-5D6E-409C-BE32-E72D297353CC}">
              <c16:uniqueId val="{00000000-F35F-43FC-B683-631CE56EE355}"/>
            </c:ext>
          </c:extLst>
        </c:ser>
        <c:dLbls>
          <c:showLegendKey val="0"/>
          <c:showVal val="0"/>
          <c:showCatName val="0"/>
          <c:showSerName val="0"/>
          <c:showPercent val="0"/>
          <c:showBubbleSize val="0"/>
        </c:dLbls>
        <c:smooth val="0"/>
        <c:axId val="1395800464"/>
        <c:axId val="1065866592"/>
      </c:lineChart>
      <c:catAx>
        <c:axId val="139580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65866592"/>
        <c:crosses val="autoZero"/>
        <c:auto val="1"/>
        <c:lblAlgn val="ctr"/>
        <c:lblOffset val="100"/>
        <c:noMultiLvlLbl val="0"/>
      </c:catAx>
      <c:valAx>
        <c:axId val="106586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9580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[office_booking_1000.xlsx]PivotTable!channels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PivotTable!$B$48</c:f>
              <c:strCache>
                <c:ptCount val="1"/>
                <c:pt idx="0">
                  <c:v>Total</c:v>
                </c:pt>
              </c:strCache>
            </c:strRef>
          </c:tx>
          <c:spPr>
            <a:solidFill>
              <a:schemeClr val="accent1"/>
            </a:solidFill>
            <a:ln>
              <a:noFill/>
            </a:ln>
            <a:effectLst/>
            <a:sp3d/>
          </c:spPr>
          <c:invertIfNegative val="0"/>
          <c:cat>
            <c:strRef>
              <c:f>PivotTable!$A$49:$A$53</c:f>
              <c:strCache>
                <c:ptCount val="4"/>
                <c:pt idx="0">
                  <c:v>Corporate</c:v>
                </c:pt>
                <c:pt idx="1">
                  <c:v>Direct</c:v>
                </c:pt>
                <c:pt idx="2">
                  <c:v>GDS</c:v>
                </c:pt>
                <c:pt idx="3">
                  <c:v>TA/TO</c:v>
                </c:pt>
              </c:strCache>
            </c:strRef>
          </c:cat>
          <c:val>
            <c:numRef>
              <c:f>PivotTable!$B$49:$B$53</c:f>
              <c:numCache>
                <c:formatCode>General</c:formatCode>
                <c:ptCount val="4"/>
                <c:pt idx="0">
                  <c:v>72</c:v>
                </c:pt>
                <c:pt idx="1">
                  <c:v>230</c:v>
                </c:pt>
                <c:pt idx="2">
                  <c:v>2</c:v>
                </c:pt>
                <c:pt idx="3">
                  <c:v>1569</c:v>
                </c:pt>
              </c:numCache>
            </c:numRef>
          </c:val>
          <c:extLst>
            <c:ext xmlns:c16="http://schemas.microsoft.com/office/drawing/2014/chart" uri="{C3380CC4-5D6E-409C-BE32-E72D297353CC}">
              <c16:uniqueId val="{00000000-D835-480B-BFAC-2147F33F2C4E}"/>
            </c:ext>
          </c:extLst>
        </c:ser>
        <c:dLbls>
          <c:showLegendKey val="0"/>
          <c:showVal val="0"/>
          <c:showCatName val="0"/>
          <c:showSerName val="0"/>
          <c:showPercent val="0"/>
          <c:showBubbleSize val="0"/>
        </c:dLbls>
        <c:gapWidth val="150"/>
        <c:shape val="box"/>
        <c:axId val="1336556496"/>
        <c:axId val="1372635168"/>
        <c:axId val="0"/>
      </c:bar3DChart>
      <c:catAx>
        <c:axId val="1336556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2635168"/>
        <c:crosses val="autoZero"/>
        <c:auto val="1"/>
        <c:lblAlgn val="ctr"/>
        <c:lblOffset val="100"/>
        <c:noMultiLvlLbl val="0"/>
      </c:catAx>
      <c:valAx>
        <c:axId val="137263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3655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[office_booking_1000.xlsx]PivotTable!week/weekend appoinment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PivotTable!$E$44</c:f>
              <c:strCache>
                <c:ptCount val="1"/>
                <c:pt idx="0">
                  <c:v>Sum of stays_in_weekend_nights</c:v>
                </c:pt>
              </c:strCache>
            </c:strRef>
          </c:tx>
          <c:spPr>
            <a:solidFill>
              <a:schemeClr val="accent1"/>
            </a:solidFill>
            <a:ln>
              <a:noFill/>
            </a:ln>
            <a:effectLst/>
          </c:spPr>
          <c:invertIfNegative val="0"/>
          <c:cat>
            <c:strRef>
              <c:f>PivotTable!$D$45:$D$57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PivotTable!$E$45:$E$57</c:f>
              <c:numCache>
                <c:formatCode>General</c:formatCode>
                <c:ptCount val="12"/>
                <c:pt idx="0">
                  <c:v>41</c:v>
                </c:pt>
                <c:pt idx="1">
                  <c:v>64</c:v>
                </c:pt>
                <c:pt idx="2">
                  <c:v>89</c:v>
                </c:pt>
                <c:pt idx="3">
                  <c:v>88</c:v>
                </c:pt>
                <c:pt idx="4">
                  <c:v>65</c:v>
                </c:pt>
                <c:pt idx="5">
                  <c:v>61</c:v>
                </c:pt>
                <c:pt idx="6">
                  <c:v>109</c:v>
                </c:pt>
                <c:pt idx="7">
                  <c:v>115</c:v>
                </c:pt>
                <c:pt idx="8">
                  <c:v>89</c:v>
                </c:pt>
                <c:pt idx="9">
                  <c:v>92</c:v>
                </c:pt>
                <c:pt idx="10">
                  <c:v>48</c:v>
                </c:pt>
                <c:pt idx="11">
                  <c:v>43</c:v>
                </c:pt>
              </c:numCache>
            </c:numRef>
          </c:val>
          <c:extLst>
            <c:ext xmlns:c16="http://schemas.microsoft.com/office/drawing/2014/chart" uri="{C3380CC4-5D6E-409C-BE32-E72D297353CC}">
              <c16:uniqueId val="{00000000-075F-4856-B83B-8AFE5A74B637}"/>
            </c:ext>
          </c:extLst>
        </c:ser>
        <c:dLbls>
          <c:showLegendKey val="0"/>
          <c:showVal val="0"/>
          <c:showCatName val="0"/>
          <c:showSerName val="0"/>
          <c:showPercent val="0"/>
          <c:showBubbleSize val="0"/>
        </c:dLbls>
        <c:gapWidth val="219"/>
        <c:overlap val="-27"/>
        <c:axId val="1370513824"/>
        <c:axId val="1065866112"/>
      </c:barChart>
      <c:lineChart>
        <c:grouping val="standard"/>
        <c:varyColors val="0"/>
        <c:ser>
          <c:idx val="1"/>
          <c:order val="1"/>
          <c:tx>
            <c:strRef>
              <c:f>PivotTable!$F$44</c:f>
              <c:strCache>
                <c:ptCount val="1"/>
                <c:pt idx="0">
                  <c:v>Sum of stays_in_week_nights</c:v>
                </c:pt>
              </c:strCache>
            </c:strRef>
          </c:tx>
          <c:spPr>
            <a:ln w="28575" cap="rnd">
              <a:solidFill>
                <a:schemeClr val="accent2"/>
              </a:solidFill>
              <a:round/>
            </a:ln>
            <a:effectLst/>
          </c:spPr>
          <c:marker>
            <c:symbol val="none"/>
          </c:marker>
          <c:cat>
            <c:strRef>
              <c:f>PivotTable!$D$45:$D$57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PivotTable!$F$45:$F$57</c:f>
              <c:numCache>
                <c:formatCode>General</c:formatCode>
                <c:ptCount val="12"/>
                <c:pt idx="0">
                  <c:v>90</c:v>
                </c:pt>
                <c:pt idx="1">
                  <c:v>164</c:v>
                </c:pt>
                <c:pt idx="2">
                  <c:v>245</c:v>
                </c:pt>
                <c:pt idx="3">
                  <c:v>232</c:v>
                </c:pt>
                <c:pt idx="4">
                  <c:v>196</c:v>
                </c:pt>
                <c:pt idx="5">
                  <c:v>199</c:v>
                </c:pt>
                <c:pt idx="6">
                  <c:v>281</c:v>
                </c:pt>
                <c:pt idx="7">
                  <c:v>333</c:v>
                </c:pt>
                <c:pt idx="8">
                  <c:v>240</c:v>
                </c:pt>
                <c:pt idx="9">
                  <c:v>234</c:v>
                </c:pt>
                <c:pt idx="10">
                  <c:v>138</c:v>
                </c:pt>
                <c:pt idx="11">
                  <c:v>123</c:v>
                </c:pt>
              </c:numCache>
            </c:numRef>
          </c:val>
          <c:smooth val="0"/>
          <c:extLst>
            <c:ext xmlns:c16="http://schemas.microsoft.com/office/drawing/2014/chart" uri="{C3380CC4-5D6E-409C-BE32-E72D297353CC}">
              <c16:uniqueId val="{00000001-075F-4856-B83B-8AFE5A74B637}"/>
            </c:ext>
          </c:extLst>
        </c:ser>
        <c:dLbls>
          <c:showLegendKey val="0"/>
          <c:showVal val="0"/>
          <c:showCatName val="0"/>
          <c:showSerName val="0"/>
          <c:showPercent val="0"/>
          <c:showBubbleSize val="0"/>
        </c:dLbls>
        <c:marker val="1"/>
        <c:smooth val="0"/>
        <c:axId val="1759341456"/>
        <c:axId val="1011180224"/>
      </c:lineChart>
      <c:catAx>
        <c:axId val="13705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65866112"/>
        <c:crosses val="autoZero"/>
        <c:auto val="1"/>
        <c:lblAlgn val="ctr"/>
        <c:lblOffset val="100"/>
        <c:noMultiLvlLbl val="0"/>
      </c:catAx>
      <c:valAx>
        <c:axId val="106586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0513824"/>
        <c:crosses val="autoZero"/>
        <c:crossBetween val="between"/>
      </c:valAx>
      <c:valAx>
        <c:axId val="10111802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59341456"/>
        <c:crosses val="max"/>
        <c:crossBetween val="between"/>
      </c:valAx>
      <c:catAx>
        <c:axId val="1759341456"/>
        <c:scaling>
          <c:orientation val="minMax"/>
        </c:scaling>
        <c:delete val="1"/>
        <c:axPos val="b"/>
        <c:numFmt formatCode="General" sourceLinked="1"/>
        <c:majorTickMark val="out"/>
        <c:minorTickMark val="none"/>
        <c:tickLblPos val="nextTo"/>
        <c:crossAx val="101118022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[office_booking_1000.xlsx]PivotTable!sum of cancellation</c:name>
    <c:fmtId val="8"/>
  </c:pivotSource>
  <c:chart>
    <c:title>
      <c:tx>
        <c:rich>
          <a:bodyPr rot="0" spcFirstLastPara="1" vertOverflow="ellipsis" vert="horz" wrap="square" anchor="ctr" anchorCtr="1"/>
          <a:lstStyle/>
          <a:p>
            <a:pPr>
              <a:defRPr sz="14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r>
              <a:rPr lang="en-US" sz="1400">
                <a:latin typeface="Calibri" panose="020F0502020204030204" pitchFamily="34" charset="0"/>
                <a:cs typeface="Calibri" panose="020F0502020204030204" pitchFamily="34" charset="0"/>
              </a:rPr>
              <a:t>Monthly Cancelation</a:t>
            </a:r>
          </a:p>
        </c:rich>
      </c:tx>
      <c:overlay val="0"/>
      <c:spPr>
        <a:noFill/>
        <a:ln>
          <a:noFill/>
        </a:ln>
        <a:effectLst/>
      </c:spPr>
      <c:txPr>
        <a:bodyPr rot="0" spcFirstLastPara="1" vertOverflow="ellipsis" vert="horz" wrap="square" anchor="ctr" anchorCtr="1"/>
        <a:lstStyle/>
        <a:p>
          <a:pPr>
            <a:defRPr sz="14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endParaRPr lang="zh-C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PivotTable!$E$14</c:f>
              <c:strCache>
                <c:ptCount val="1"/>
                <c:pt idx="0">
                  <c:v>Total</c:v>
                </c:pt>
              </c:strCache>
            </c:strRef>
          </c:tx>
          <c:spPr>
            <a:solidFill>
              <a:schemeClr val="accent4">
                <a:alpha val="70000"/>
              </a:schemeClr>
            </a:solidFill>
            <a:ln>
              <a:noFill/>
            </a:ln>
            <a:effectLst/>
          </c:spPr>
          <c:invertIfNegative val="0"/>
          <c:cat>
            <c:strRef>
              <c:f>PivotTable!$D$15:$D$27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PivotTable!$E$15:$E$27</c:f>
              <c:numCache>
                <c:formatCode>General</c:formatCode>
                <c:ptCount val="12"/>
                <c:pt idx="0">
                  <c:v>12</c:v>
                </c:pt>
                <c:pt idx="1">
                  <c:v>26</c:v>
                </c:pt>
                <c:pt idx="2">
                  <c:v>30</c:v>
                </c:pt>
                <c:pt idx="3">
                  <c:v>37</c:v>
                </c:pt>
                <c:pt idx="4">
                  <c:v>36</c:v>
                </c:pt>
                <c:pt idx="5">
                  <c:v>31</c:v>
                </c:pt>
                <c:pt idx="6">
                  <c:v>45</c:v>
                </c:pt>
                <c:pt idx="7">
                  <c:v>48</c:v>
                </c:pt>
                <c:pt idx="8">
                  <c:v>39</c:v>
                </c:pt>
                <c:pt idx="9">
                  <c:v>43</c:v>
                </c:pt>
                <c:pt idx="10">
                  <c:v>23</c:v>
                </c:pt>
                <c:pt idx="11">
                  <c:v>15</c:v>
                </c:pt>
              </c:numCache>
            </c:numRef>
          </c:val>
          <c:extLst>
            <c:ext xmlns:c16="http://schemas.microsoft.com/office/drawing/2014/chart" uri="{C3380CC4-5D6E-409C-BE32-E72D297353CC}">
              <c16:uniqueId val="{00000000-9550-4348-9437-FCA34FC397C5}"/>
            </c:ext>
          </c:extLst>
        </c:ser>
        <c:dLbls>
          <c:showLegendKey val="0"/>
          <c:showVal val="0"/>
          <c:showCatName val="0"/>
          <c:showSerName val="0"/>
          <c:showPercent val="0"/>
          <c:showBubbleSize val="0"/>
        </c:dLbls>
        <c:gapWidth val="80"/>
        <c:overlap val="25"/>
        <c:axId val="1229165615"/>
        <c:axId val="1090179743"/>
      </c:barChart>
      <c:catAx>
        <c:axId val="122916561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zh-CN"/>
          </a:p>
        </c:txPr>
        <c:crossAx val="1090179743"/>
        <c:crosses val="autoZero"/>
        <c:auto val="1"/>
        <c:lblAlgn val="ctr"/>
        <c:lblOffset val="100"/>
        <c:noMultiLvlLbl val="0"/>
      </c:catAx>
      <c:valAx>
        <c:axId val="109017974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zh-CN"/>
          </a:p>
        </c:txPr>
        <c:crossAx val="122916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[office_booking_1000.xlsx]PivotTable!appoinment status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altLang="zh-CN" sz="1400">
                <a:latin typeface="Calibri" panose="020F0502020204030204" pitchFamily="34" charset="0"/>
                <a:cs typeface="Calibri" panose="020F0502020204030204" pitchFamily="34" charset="0"/>
              </a:rPr>
              <a:t>Appoinment</a:t>
            </a:r>
            <a:r>
              <a:rPr lang="en-US" altLang="zh-CN" sz="1400" baseline="0">
                <a:latin typeface="Calibri" panose="020F0502020204030204" pitchFamily="34" charset="0"/>
                <a:cs typeface="Calibri" panose="020F0502020204030204" pitchFamily="34" charset="0"/>
              </a:rPr>
              <a:t> Status Distribution</a:t>
            </a:r>
            <a:endParaRPr lang="en-US" altLang="zh-CN" sz="1400">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ltLang="zh-C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bar"/>
        <c:grouping val="stacked"/>
        <c:varyColors val="0"/>
        <c:ser>
          <c:idx val="0"/>
          <c:order val="0"/>
          <c:tx>
            <c:strRef>
              <c:f>PivotTable!$E$3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96CB-43ED-805D-309C6ED388B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6CB-43ED-805D-309C6ED388B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96CB-43ED-805D-309C6ED388B1}"/>
              </c:ext>
            </c:extLst>
          </c:dPt>
          <c:cat>
            <c:strRef>
              <c:f>PivotTable!$D$4:$D$7</c:f>
              <c:strCache>
                <c:ptCount val="3"/>
                <c:pt idx="0">
                  <c:v>Canceled</c:v>
                </c:pt>
                <c:pt idx="1">
                  <c:v>Check-Out</c:v>
                </c:pt>
                <c:pt idx="2">
                  <c:v>No-Show</c:v>
                </c:pt>
              </c:strCache>
            </c:strRef>
          </c:cat>
          <c:val>
            <c:numRef>
              <c:f>PivotTable!$E$4:$E$7</c:f>
              <c:numCache>
                <c:formatCode>General</c:formatCode>
                <c:ptCount val="3"/>
                <c:pt idx="0">
                  <c:v>379</c:v>
                </c:pt>
                <c:pt idx="1">
                  <c:v>615</c:v>
                </c:pt>
                <c:pt idx="2">
                  <c:v>6</c:v>
                </c:pt>
              </c:numCache>
            </c:numRef>
          </c:val>
          <c:extLst>
            <c:ext xmlns:c16="http://schemas.microsoft.com/office/drawing/2014/chart" uri="{C3380CC4-5D6E-409C-BE32-E72D297353CC}">
              <c16:uniqueId val="{00000006-96CB-43ED-805D-309C6ED388B1}"/>
            </c:ext>
          </c:extLst>
        </c:ser>
        <c:dLbls>
          <c:showLegendKey val="0"/>
          <c:showVal val="0"/>
          <c:showCatName val="0"/>
          <c:showSerName val="0"/>
          <c:showPercent val="0"/>
          <c:showBubbleSize val="0"/>
        </c:dLbls>
        <c:gapWidth val="100"/>
        <c:overlap val="100"/>
        <c:axId val="74357759"/>
        <c:axId val="2052555871"/>
      </c:barChart>
      <c:valAx>
        <c:axId val="205255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4357759"/>
        <c:crosses val="autoZero"/>
        <c:crossBetween val="between"/>
      </c:valAx>
      <c:catAx>
        <c:axId val="74357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525558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[office_booking_1000.xlsx]PivotTable!sum of visitors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zh-CN" altLang="zh-CN" sz="1400" b="0" i="0" u="none" strike="noStrike" baseline="0"/>
              <a:t>Office Visitor Distribution</a:t>
            </a:r>
            <a:endParaRPr lang="en-US" altLang="zh-CN" sz="1400">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zh-CN"/>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c:spPr>
      </c:pivotFmt>
      <c:pivotFmt>
        <c:idx val="6"/>
        <c:spPr>
          <a:solidFill>
            <a:schemeClr val="accent4">
              <a:tint val="77000"/>
            </a:schemeClr>
          </a:solidFill>
          <a:ln w="19050">
            <a:solidFill>
              <a:schemeClr val="lt1"/>
            </a:solidFill>
          </a:ln>
          <a:effectLst/>
        </c:spPr>
      </c:pivotFmt>
    </c:pivotFmts>
    <c:plotArea>
      <c:layout/>
      <c:pieChart>
        <c:varyColors val="1"/>
        <c:ser>
          <c:idx val="0"/>
          <c:order val="0"/>
          <c:tx>
            <c:strRef>
              <c:f>PivotTable!$B$25</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6C7A-464F-B745-6E00907F1214}"/>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6C7A-464F-B745-6E00907F1214}"/>
              </c:ext>
            </c:extLst>
          </c:dPt>
          <c:cat>
            <c:strRef>
              <c:f>PivotTable!$A$26:$A$28</c:f>
              <c:strCache>
                <c:ptCount val="2"/>
                <c:pt idx="0">
                  <c:v>Branch Office</c:v>
                </c:pt>
                <c:pt idx="1">
                  <c:v>Head Office</c:v>
                </c:pt>
              </c:strCache>
            </c:strRef>
          </c:cat>
          <c:val>
            <c:numRef>
              <c:f>PivotTable!$B$26:$B$28</c:f>
              <c:numCache>
                <c:formatCode>General</c:formatCode>
                <c:ptCount val="2"/>
                <c:pt idx="0">
                  <c:v>1256</c:v>
                </c:pt>
                <c:pt idx="1">
                  <c:v>617</c:v>
                </c:pt>
              </c:numCache>
            </c:numRef>
          </c:val>
          <c:extLst>
            <c:ext xmlns:c16="http://schemas.microsoft.com/office/drawing/2014/chart" uri="{C3380CC4-5D6E-409C-BE32-E72D297353CC}">
              <c16:uniqueId val="{00000004-6C7A-464F-B745-6E00907F12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[office_booking_1000.xlsx]PivotTable!office location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a:latin typeface="Calibri" panose="020F0502020204030204" pitchFamily="34" charset="0"/>
                <a:cs typeface="Calibri" panose="020F0502020204030204" pitchFamily="34" charset="0"/>
              </a:rPr>
              <a:t>Office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zh-C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hade val="76000"/>
            </a:schemeClr>
          </a:solidFill>
          <a:ln w="19050">
            <a:solidFill>
              <a:schemeClr val="lt1"/>
            </a:solidFill>
          </a:ln>
          <a:effectLst/>
        </c:spPr>
      </c:pivotFmt>
      <c:pivotFmt>
        <c:idx val="4"/>
        <c:spPr>
          <a:solidFill>
            <a:schemeClr val="accent4">
              <a:tint val="77000"/>
            </a:schemeClr>
          </a:solidFill>
          <a:ln w="19050">
            <a:solidFill>
              <a:schemeClr val="lt1"/>
            </a:solidFill>
          </a:ln>
          <a:effectLst/>
        </c:spPr>
      </c:pivotFmt>
    </c:pivotFmts>
    <c:plotArea>
      <c:layout/>
      <c:doughnutChart>
        <c:varyColors val="1"/>
        <c:ser>
          <c:idx val="0"/>
          <c:order val="0"/>
          <c:tx>
            <c:strRef>
              <c:f>PivotTable!$E$9</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DE55-4763-BF25-0B8AAFE4E697}"/>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DE55-4763-BF25-0B8AAFE4E697}"/>
              </c:ext>
            </c:extLst>
          </c:dPt>
          <c:cat>
            <c:strRef>
              <c:f>PivotTable!$D$10:$D$12</c:f>
              <c:strCache>
                <c:ptCount val="2"/>
                <c:pt idx="0">
                  <c:v>Branch Office</c:v>
                </c:pt>
                <c:pt idx="1">
                  <c:v>Head Office</c:v>
                </c:pt>
              </c:strCache>
            </c:strRef>
          </c:cat>
          <c:val>
            <c:numRef>
              <c:f>PivotTable!$E$10:$E$12</c:f>
              <c:numCache>
                <c:formatCode>General</c:formatCode>
                <c:ptCount val="2"/>
                <c:pt idx="0">
                  <c:v>672</c:v>
                </c:pt>
                <c:pt idx="1">
                  <c:v>328</c:v>
                </c:pt>
              </c:numCache>
            </c:numRef>
          </c:val>
          <c:extLst>
            <c:ext xmlns:c16="http://schemas.microsoft.com/office/drawing/2014/chart" uri="{C3380CC4-5D6E-409C-BE32-E72D297353CC}">
              <c16:uniqueId val="{00000000-52D1-45C6-9DAB-0B2CEE03A2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[office_booking_1000.xlsx]PivotTable!apponiment month trend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zh-CN" altLang="zh-CN" sz="1400" b="0" i="0" u="none" strike="noStrike" baseline="0"/>
              <a:t>Monthly Appointment Trend</a:t>
            </a:r>
            <a:endParaRPr lang="en-US" altLang="zh-CN" sz="1400">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zh-C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PivotTable!$B$33</c:f>
              <c:strCache>
                <c:ptCount val="1"/>
                <c:pt idx="0">
                  <c:v>Total</c:v>
                </c:pt>
              </c:strCache>
            </c:strRef>
          </c:tx>
          <c:spPr>
            <a:ln w="28575" cap="rnd">
              <a:solidFill>
                <a:schemeClr val="accent1"/>
              </a:solidFill>
              <a:round/>
            </a:ln>
            <a:effectLst/>
          </c:spPr>
          <c:marker>
            <c:symbol val="none"/>
          </c:marker>
          <c:cat>
            <c:strRef>
              <c:f>PivotTable!$A$34:$A$46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PivotTable!$B$34:$B$46</c:f>
              <c:numCache>
                <c:formatCode>General</c:formatCode>
                <c:ptCount val="12"/>
                <c:pt idx="0">
                  <c:v>40</c:v>
                </c:pt>
                <c:pt idx="1">
                  <c:v>71</c:v>
                </c:pt>
                <c:pt idx="2">
                  <c:v>90</c:v>
                </c:pt>
                <c:pt idx="3">
                  <c:v>98</c:v>
                </c:pt>
                <c:pt idx="4">
                  <c:v>87</c:v>
                </c:pt>
                <c:pt idx="5">
                  <c:v>80</c:v>
                </c:pt>
                <c:pt idx="6">
                  <c:v>109</c:v>
                </c:pt>
                <c:pt idx="7">
                  <c:v>115</c:v>
                </c:pt>
                <c:pt idx="8">
                  <c:v>95</c:v>
                </c:pt>
                <c:pt idx="9">
                  <c:v>103</c:v>
                </c:pt>
                <c:pt idx="10">
                  <c:v>60</c:v>
                </c:pt>
                <c:pt idx="11">
                  <c:v>52</c:v>
                </c:pt>
              </c:numCache>
            </c:numRef>
          </c:val>
          <c:smooth val="0"/>
          <c:extLst>
            <c:ext xmlns:c16="http://schemas.microsoft.com/office/drawing/2014/chart" uri="{C3380CC4-5D6E-409C-BE32-E72D297353CC}">
              <c16:uniqueId val="{00000000-97B9-44C5-B2D4-64707625670A}"/>
            </c:ext>
          </c:extLst>
        </c:ser>
        <c:dLbls>
          <c:showLegendKey val="0"/>
          <c:showVal val="0"/>
          <c:showCatName val="0"/>
          <c:showSerName val="0"/>
          <c:showPercent val="0"/>
          <c:showBubbleSize val="0"/>
        </c:dLbls>
        <c:smooth val="0"/>
        <c:axId val="1395800464"/>
        <c:axId val="1065866592"/>
      </c:lineChart>
      <c:catAx>
        <c:axId val="139580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65866592"/>
        <c:crosses val="autoZero"/>
        <c:auto val="1"/>
        <c:lblAlgn val="ctr"/>
        <c:lblOffset val="100"/>
        <c:noMultiLvlLbl val="0"/>
      </c:catAx>
      <c:valAx>
        <c:axId val="106586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9580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[office_booking_1000.xlsx]PivotTable!channels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zh-CN" altLang="zh-CN" sz="1400" b="0" i="0" u="none" strike="noStrike" baseline="0"/>
              <a:t>Appointment Channel Distribution</a:t>
            </a:r>
            <a:endParaRPr lang="en-US" altLang="zh-CN">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zh-C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PivotTable!$B$48</c:f>
              <c:strCache>
                <c:ptCount val="1"/>
                <c:pt idx="0">
                  <c:v>Total</c:v>
                </c:pt>
              </c:strCache>
            </c:strRef>
          </c:tx>
          <c:spPr>
            <a:solidFill>
              <a:schemeClr val="accent1"/>
            </a:solidFill>
            <a:ln>
              <a:noFill/>
            </a:ln>
            <a:effectLst/>
            <a:sp3d/>
          </c:spPr>
          <c:invertIfNegative val="0"/>
          <c:cat>
            <c:strRef>
              <c:f>PivotTable!$A$49:$A$53</c:f>
              <c:strCache>
                <c:ptCount val="4"/>
                <c:pt idx="0">
                  <c:v>Corporate</c:v>
                </c:pt>
                <c:pt idx="1">
                  <c:v>Direct</c:v>
                </c:pt>
                <c:pt idx="2">
                  <c:v>GDS</c:v>
                </c:pt>
                <c:pt idx="3">
                  <c:v>TA/TO</c:v>
                </c:pt>
              </c:strCache>
            </c:strRef>
          </c:cat>
          <c:val>
            <c:numRef>
              <c:f>PivotTable!$B$49:$B$53</c:f>
              <c:numCache>
                <c:formatCode>General</c:formatCode>
                <c:ptCount val="4"/>
                <c:pt idx="0">
                  <c:v>72</c:v>
                </c:pt>
                <c:pt idx="1">
                  <c:v>230</c:v>
                </c:pt>
                <c:pt idx="2">
                  <c:v>2</c:v>
                </c:pt>
                <c:pt idx="3">
                  <c:v>1569</c:v>
                </c:pt>
              </c:numCache>
            </c:numRef>
          </c:val>
          <c:extLst>
            <c:ext xmlns:c16="http://schemas.microsoft.com/office/drawing/2014/chart" uri="{C3380CC4-5D6E-409C-BE32-E72D297353CC}">
              <c16:uniqueId val="{00000000-FE39-4F8D-8541-A1293E13FC0D}"/>
            </c:ext>
          </c:extLst>
        </c:ser>
        <c:dLbls>
          <c:showLegendKey val="0"/>
          <c:showVal val="0"/>
          <c:showCatName val="0"/>
          <c:showSerName val="0"/>
          <c:showPercent val="0"/>
          <c:showBubbleSize val="0"/>
        </c:dLbls>
        <c:gapWidth val="150"/>
        <c:shape val="box"/>
        <c:axId val="1336556496"/>
        <c:axId val="1372635168"/>
        <c:axId val="0"/>
      </c:bar3DChart>
      <c:catAx>
        <c:axId val="1336556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2635168"/>
        <c:crosses val="autoZero"/>
        <c:auto val="1"/>
        <c:lblAlgn val="ctr"/>
        <c:lblOffset val="100"/>
        <c:noMultiLvlLbl val="0"/>
      </c:catAx>
      <c:valAx>
        <c:axId val="137263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3655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[office_booking_1000.xlsx]PivotTable!week/weekend appoinment</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PivotTable!$E$44</c:f>
              <c:strCache>
                <c:ptCount val="1"/>
                <c:pt idx="0">
                  <c:v>Sum of stays_in_weekend_nights</c:v>
                </c:pt>
              </c:strCache>
            </c:strRef>
          </c:tx>
          <c:spPr>
            <a:solidFill>
              <a:schemeClr val="accent1"/>
            </a:solidFill>
            <a:ln>
              <a:noFill/>
            </a:ln>
            <a:effectLst/>
          </c:spPr>
          <c:invertIfNegative val="0"/>
          <c:cat>
            <c:strRef>
              <c:f>PivotTable!$D$45:$D$57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PivotTable!$E$45:$E$57</c:f>
              <c:numCache>
                <c:formatCode>General</c:formatCode>
                <c:ptCount val="12"/>
                <c:pt idx="0">
                  <c:v>41</c:v>
                </c:pt>
                <c:pt idx="1">
                  <c:v>64</c:v>
                </c:pt>
                <c:pt idx="2">
                  <c:v>89</c:v>
                </c:pt>
                <c:pt idx="3">
                  <c:v>88</c:v>
                </c:pt>
                <c:pt idx="4">
                  <c:v>65</c:v>
                </c:pt>
                <c:pt idx="5">
                  <c:v>61</c:v>
                </c:pt>
                <c:pt idx="6">
                  <c:v>109</c:v>
                </c:pt>
                <c:pt idx="7">
                  <c:v>115</c:v>
                </c:pt>
                <c:pt idx="8">
                  <c:v>89</c:v>
                </c:pt>
                <c:pt idx="9">
                  <c:v>92</c:v>
                </c:pt>
                <c:pt idx="10">
                  <c:v>48</c:v>
                </c:pt>
                <c:pt idx="11">
                  <c:v>43</c:v>
                </c:pt>
              </c:numCache>
            </c:numRef>
          </c:val>
          <c:extLst>
            <c:ext xmlns:c16="http://schemas.microsoft.com/office/drawing/2014/chart" uri="{C3380CC4-5D6E-409C-BE32-E72D297353CC}">
              <c16:uniqueId val="{00000000-0A48-4B2D-B4AF-0BB3403B89E0}"/>
            </c:ext>
          </c:extLst>
        </c:ser>
        <c:dLbls>
          <c:showLegendKey val="0"/>
          <c:showVal val="0"/>
          <c:showCatName val="0"/>
          <c:showSerName val="0"/>
          <c:showPercent val="0"/>
          <c:showBubbleSize val="0"/>
        </c:dLbls>
        <c:gapWidth val="219"/>
        <c:overlap val="-27"/>
        <c:axId val="1370513824"/>
        <c:axId val="1065866112"/>
      </c:barChart>
      <c:lineChart>
        <c:grouping val="standard"/>
        <c:varyColors val="0"/>
        <c:ser>
          <c:idx val="1"/>
          <c:order val="1"/>
          <c:tx>
            <c:strRef>
              <c:f>PivotTable!$F$44</c:f>
              <c:strCache>
                <c:ptCount val="1"/>
                <c:pt idx="0">
                  <c:v>Sum of stays_in_week_nights</c:v>
                </c:pt>
              </c:strCache>
            </c:strRef>
          </c:tx>
          <c:spPr>
            <a:ln w="28575" cap="rnd">
              <a:solidFill>
                <a:schemeClr val="accent2"/>
              </a:solidFill>
              <a:round/>
            </a:ln>
            <a:effectLst/>
          </c:spPr>
          <c:marker>
            <c:symbol val="none"/>
          </c:marker>
          <c:cat>
            <c:strRef>
              <c:f>PivotTable!$D$45:$D$57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PivotTable!$F$45:$F$57</c:f>
              <c:numCache>
                <c:formatCode>General</c:formatCode>
                <c:ptCount val="12"/>
                <c:pt idx="0">
                  <c:v>90</c:v>
                </c:pt>
                <c:pt idx="1">
                  <c:v>164</c:v>
                </c:pt>
                <c:pt idx="2">
                  <c:v>245</c:v>
                </c:pt>
                <c:pt idx="3">
                  <c:v>232</c:v>
                </c:pt>
                <c:pt idx="4">
                  <c:v>196</c:v>
                </c:pt>
                <c:pt idx="5">
                  <c:v>199</c:v>
                </c:pt>
                <c:pt idx="6">
                  <c:v>281</c:v>
                </c:pt>
                <c:pt idx="7">
                  <c:v>333</c:v>
                </c:pt>
                <c:pt idx="8">
                  <c:v>240</c:v>
                </c:pt>
                <c:pt idx="9">
                  <c:v>234</c:v>
                </c:pt>
                <c:pt idx="10">
                  <c:v>138</c:v>
                </c:pt>
                <c:pt idx="11">
                  <c:v>123</c:v>
                </c:pt>
              </c:numCache>
            </c:numRef>
          </c:val>
          <c:smooth val="0"/>
          <c:extLst>
            <c:ext xmlns:c16="http://schemas.microsoft.com/office/drawing/2014/chart" uri="{C3380CC4-5D6E-409C-BE32-E72D297353CC}">
              <c16:uniqueId val="{00000001-0A48-4B2D-B4AF-0BB3403B89E0}"/>
            </c:ext>
          </c:extLst>
        </c:ser>
        <c:dLbls>
          <c:showLegendKey val="0"/>
          <c:showVal val="0"/>
          <c:showCatName val="0"/>
          <c:showSerName val="0"/>
          <c:showPercent val="0"/>
          <c:showBubbleSize val="0"/>
        </c:dLbls>
        <c:marker val="1"/>
        <c:smooth val="0"/>
        <c:axId val="1759341456"/>
        <c:axId val="1011180224"/>
      </c:lineChart>
      <c:catAx>
        <c:axId val="13705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65866112"/>
        <c:crosses val="autoZero"/>
        <c:auto val="1"/>
        <c:lblAlgn val="ctr"/>
        <c:lblOffset val="100"/>
        <c:noMultiLvlLbl val="0"/>
      </c:catAx>
      <c:valAx>
        <c:axId val="106586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0513824"/>
        <c:crosses val="autoZero"/>
        <c:crossBetween val="between"/>
      </c:valAx>
      <c:valAx>
        <c:axId val="10111802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59341456"/>
        <c:crosses val="max"/>
        <c:crossBetween val="between"/>
      </c:valAx>
      <c:catAx>
        <c:axId val="1759341456"/>
        <c:scaling>
          <c:orientation val="minMax"/>
        </c:scaling>
        <c:delete val="1"/>
        <c:axPos val="b"/>
        <c:numFmt formatCode="General" sourceLinked="1"/>
        <c:majorTickMark val="out"/>
        <c:minorTickMark val="none"/>
        <c:tickLblPos val="nextTo"/>
        <c:crossAx val="10111802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723900</xdr:colOff>
      <xdr:row>0</xdr:row>
      <xdr:rowOff>160020</xdr:rowOff>
    </xdr:from>
    <xdr:to>
      <xdr:col>11</xdr:col>
      <xdr:colOff>320040</xdr:colOff>
      <xdr:row>12</xdr:row>
      <xdr:rowOff>121920</xdr:rowOff>
    </xdr:to>
    <xdr:graphicFrame macro="">
      <xdr:nvGraphicFramePr>
        <xdr:cNvPr id="2" name="Chart 1">
          <a:extLst>
            <a:ext uri="{FF2B5EF4-FFF2-40B4-BE49-F238E27FC236}">
              <a16:creationId xmlns:a16="http://schemas.microsoft.com/office/drawing/2014/main" id="{445D5A7E-2528-A2D7-2977-211E2C890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723900</xdr:colOff>
      <xdr:row>13</xdr:row>
      <xdr:rowOff>68580</xdr:rowOff>
    </xdr:from>
    <xdr:to>
      <xdr:col>11</xdr:col>
      <xdr:colOff>396240</xdr:colOff>
      <xdr:row>24</xdr:row>
      <xdr:rowOff>99060</xdr:rowOff>
    </xdr:to>
    <xdr:graphicFrame macro="">
      <xdr:nvGraphicFramePr>
        <xdr:cNvPr id="6" name="Chart 5">
          <a:extLst>
            <a:ext uri="{FF2B5EF4-FFF2-40B4-BE49-F238E27FC236}">
              <a16:creationId xmlns:a16="http://schemas.microsoft.com/office/drawing/2014/main" id="{628F84DD-9F2A-A8E9-DC82-08824EF2E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7620</xdr:colOff>
      <xdr:row>0</xdr:row>
      <xdr:rowOff>129540</xdr:rowOff>
    </xdr:from>
    <xdr:to>
      <xdr:col>16</xdr:col>
      <xdr:colOff>510540</xdr:colOff>
      <xdr:row>11</xdr:row>
      <xdr:rowOff>68580</xdr:rowOff>
    </xdr:to>
    <xdr:graphicFrame macro="">
      <xdr:nvGraphicFramePr>
        <xdr:cNvPr id="7" name="Chart 6">
          <a:extLst>
            <a:ext uri="{FF2B5EF4-FFF2-40B4-BE49-F238E27FC236}">
              <a16:creationId xmlns:a16="http://schemas.microsoft.com/office/drawing/2014/main" id="{DB8B4A65-73C5-758F-65D4-C72F078B6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266700</xdr:colOff>
      <xdr:row>12</xdr:row>
      <xdr:rowOff>22860</xdr:rowOff>
    </xdr:from>
    <xdr:to>
      <xdr:col>16</xdr:col>
      <xdr:colOff>518160</xdr:colOff>
      <xdr:row>23</xdr:row>
      <xdr:rowOff>15240</xdr:rowOff>
    </xdr:to>
    <xdr:graphicFrame macro="">
      <xdr:nvGraphicFramePr>
        <xdr:cNvPr id="8" name="Chart 7">
          <a:extLst>
            <a:ext uri="{FF2B5EF4-FFF2-40B4-BE49-F238E27FC236}">
              <a16:creationId xmlns:a16="http://schemas.microsoft.com/office/drawing/2014/main" id="{82993F4E-B65C-FE5A-B2F6-B7B002DF1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716280</xdr:colOff>
      <xdr:row>25</xdr:row>
      <xdr:rowOff>129540</xdr:rowOff>
    </xdr:from>
    <xdr:to>
      <xdr:col>11</xdr:col>
      <xdr:colOff>396240</xdr:colOff>
      <xdr:row>36</xdr:row>
      <xdr:rowOff>15240</xdr:rowOff>
    </xdr:to>
    <xdr:graphicFrame macro="">
      <xdr:nvGraphicFramePr>
        <xdr:cNvPr id="9" name="Chart 8">
          <a:extLst>
            <a:ext uri="{FF2B5EF4-FFF2-40B4-BE49-F238E27FC236}">
              <a16:creationId xmlns:a16="http://schemas.microsoft.com/office/drawing/2014/main" id="{AE8975EC-797D-99FE-DFA0-8BA9A57E1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53340</xdr:colOff>
      <xdr:row>40</xdr:row>
      <xdr:rowOff>83820</xdr:rowOff>
    </xdr:from>
    <xdr:to>
      <xdr:col>15</xdr:col>
      <xdr:colOff>53340</xdr:colOff>
      <xdr:row>53</xdr:row>
      <xdr:rowOff>43815</xdr:rowOff>
    </xdr:to>
    <mc:AlternateContent xmlns:mc="http://schemas.openxmlformats.org/markup-compatibility/2006" xmlns:a14="http://schemas.microsoft.com/office/drawing/2010/main">
      <mc:Choice Requires="a14">
        <xdr:graphicFrame macro="">
          <xdr:nvGraphicFramePr>
            <xdr:cNvPr id="10" name="office_location">
              <a:extLst>
                <a:ext uri="{FF2B5EF4-FFF2-40B4-BE49-F238E27FC236}">
                  <a16:creationId xmlns:a16="http://schemas.microsoft.com/office/drawing/2014/main" id="{1989DA35-E033-849F-7E2D-EFFBC20AE07F}"/>
                </a:ext>
              </a:extLst>
            </xdr:cNvPr>
            <xdr:cNvGraphicFramePr/>
          </xdr:nvGraphicFramePr>
          <xdr:xfrm>
            <a:off x="0" y="0"/>
            <a:ext cx="0" cy="0"/>
          </xdr:xfrm>
          <a:graphic>
            <a:graphicData uri="http://schemas.microsoft.com/office/drawing/2010/slicer">
              <sle:slicer xmlns:sle="http://schemas.microsoft.com/office/drawing/2010/slicer" name="office_location"/>
            </a:graphicData>
          </a:graphic>
        </xdr:graphicFrame>
      </mc:Choice>
      <mc:Fallback xmlns="">
        <xdr:sp macro="" textlink="">
          <xdr:nvSpPr>
            <xdr:cNvPr id="0" name=""/>
            <xdr:cNvSpPr>
              <a:spLocks noTextEdit="1"/>
            </xdr:cNvSpPr>
          </xdr:nvSpPr>
          <xdr:spPr>
            <a:xfrm>
              <a:off x="11704320" y="7094220"/>
              <a:ext cx="1828800" cy="223837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137160</xdr:colOff>
      <xdr:row>25</xdr:row>
      <xdr:rowOff>129540</xdr:rowOff>
    </xdr:from>
    <xdr:to>
      <xdr:col>18</xdr:col>
      <xdr:colOff>137160</xdr:colOff>
      <xdr:row>38</xdr:row>
      <xdr:rowOff>89535</xdr:rowOff>
    </xdr:to>
    <mc:AlternateContent xmlns:mc="http://schemas.openxmlformats.org/markup-compatibility/2006" xmlns:a14="http://schemas.microsoft.com/office/drawing/2010/main">
      <mc:Choice Requires="a14">
        <xdr:graphicFrame macro="">
          <xdr:nvGraphicFramePr>
            <xdr:cNvPr id="11" name="appointment_month">
              <a:extLst>
                <a:ext uri="{FF2B5EF4-FFF2-40B4-BE49-F238E27FC236}">
                  <a16:creationId xmlns:a16="http://schemas.microsoft.com/office/drawing/2014/main" id="{03FB1E1C-8A74-54AC-8803-31D02B0A6E2F}"/>
                </a:ext>
              </a:extLst>
            </xdr:cNvPr>
            <xdr:cNvGraphicFramePr/>
          </xdr:nvGraphicFramePr>
          <xdr:xfrm>
            <a:off x="0" y="0"/>
            <a:ext cx="0" cy="0"/>
          </xdr:xfrm>
          <a:graphic>
            <a:graphicData uri="http://schemas.microsoft.com/office/drawing/2010/slicer">
              <sle:slicer xmlns:sle="http://schemas.microsoft.com/office/drawing/2010/slicer" name="appointment_month"/>
            </a:graphicData>
          </a:graphic>
        </xdr:graphicFrame>
      </mc:Choice>
      <mc:Fallback xmlns="">
        <xdr:sp macro="" textlink="">
          <xdr:nvSpPr>
            <xdr:cNvPr id="0" name=""/>
            <xdr:cNvSpPr>
              <a:spLocks noTextEdit="1"/>
            </xdr:cNvSpPr>
          </xdr:nvSpPr>
          <xdr:spPr>
            <a:xfrm>
              <a:off x="13616940" y="4511040"/>
              <a:ext cx="1828800" cy="223837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594360</xdr:colOff>
      <xdr:row>25</xdr:row>
      <xdr:rowOff>144780</xdr:rowOff>
    </xdr:from>
    <xdr:to>
      <xdr:col>14</xdr:col>
      <xdr:colOff>594360</xdr:colOff>
      <xdr:row>38</xdr:row>
      <xdr:rowOff>104775</xdr:rowOff>
    </xdr:to>
    <mc:AlternateContent xmlns:mc="http://schemas.openxmlformats.org/markup-compatibility/2006" xmlns:a14="http://schemas.microsoft.com/office/drawing/2010/main">
      <mc:Choice Requires="a14">
        <xdr:graphicFrame macro="">
          <xdr:nvGraphicFramePr>
            <xdr:cNvPr id="12" name="visitor_type">
              <a:extLst>
                <a:ext uri="{FF2B5EF4-FFF2-40B4-BE49-F238E27FC236}">
                  <a16:creationId xmlns:a16="http://schemas.microsoft.com/office/drawing/2014/main" id="{EDD036C0-174D-15BD-84E8-4C0843A16D41}"/>
                </a:ext>
              </a:extLst>
            </xdr:cNvPr>
            <xdr:cNvGraphicFramePr/>
          </xdr:nvGraphicFramePr>
          <xdr:xfrm>
            <a:off x="0" y="0"/>
            <a:ext cx="0" cy="0"/>
          </xdr:xfrm>
          <a:graphic>
            <a:graphicData uri="http://schemas.microsoft.com/office/drawing/2010/slicer">
              <sle:slicer xmlns:sle="http://schemas.microsoft.com/office/drawing/2010/slicer" name="visitor_type"/>
            </a:graphicData>
          </a:graphic>
        </xdr:graphicFrame>
      </mc:Choice>
      <mc:Fallback xmlns="">
        <xdr:sp macro="" textlink="">
          <xdr:nvSpPr>
            <xdr:cNvPr id="0" name=""/>
            <xdr:cNvSpPr>
              <a:spLocks noTextEdit="1"/>
            </xdr:cNvSpPr>
          </xdr:nvSpPr>
          <xdr:spPr>
            <a:xfrm>
              <a:off x="11635740" y="4526280"/>
              <a:ext cx="1828800" cy="223837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114300</xdr:colOff>
      <xdr:row>28</xdr:row>
      <xdr:rowOff>129540</xdr:rowOff>
    </xdr:from>
    <xdr:to>
      <xdr:col>4</xdr:col>
      <xdr:colOff>1943100</xdr:colOff>
      <xdr:row>41</xdr:row>
      <xdr:rowOff>89535</xdr:rowOff>
    </xdr:to>
    <mc:AlternateContent xmlns:mc="http://schemas.openxmlformats.org/markup-compatibility/2006" xmlns:a14="http://schemas.microsoft.com/office/drawing/2010/main">
      <mc:Choice Requires="a14">
        <xdr:graphicFrame macro="">
          <xdr:nvGraphicFramePr>
            <xdr:cNvPr id="13" name="appointment_status">
              <a:extLst>
                <a:ext uri="{FF2B5EF4-FFF2-40B4-BE49-F238E27FC236}">
                  <a16:creationId xmlns:a16="http://schemas.microsoft.com/office/drawing/2014/main" id="{92B000D6-A663-A71E-8055-959BB0B4032D}"/>
                </a:ext>
              </a:extLst>
            </xdr:cNvPr>
            <xdr:cNvGraphicFramePr/>
          </xdr:nvGraphicFramePr>
          <xdr:xfrm>
            <a:off x="0" y="0"/>
            <a:ext cx="0" cy="0"/>
          </xdr:xfrm>
          <a:graphic>
            <a:graphicData uri="http://schemas.microsoft.com/office/drawing/2010/slicer">
              <sle:slicer xmlns:sle="http://schemas.microsoft.com/office/drawing/2010/slicer" name="appointment_status"/>
            </a:graphicData>
          </a:graphic>
        </xdr:graphicFrame>
      </mc:Choice>
      <mc:Fallback xmlns="">
        <xdr:sp macro="" textlink="">
          <xdr:nvSpPr>
            <xdr:cNvPr id="0" name=""/>
            <xdr:cNvSpPr>
              <a:spLocks noTextEdit="1"/>
            </xdr:cNvSpPr>
          </xdr:nvSpPr>
          <xdr:spPr>
            <a:xfrm>
              <a:off x="4823460" y="5036820"/>
              <a:ext cx="1828800" cy="223837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716280</xdr:colOff>
      <xdr:row>36</xdr:row>
      <xdr:rowOff>137160</xdr:rowOff>
    </xdr:from>
    <xdr:to>
      <xdr:col>11</xdr:col>
      <xdr:colOff>457200</xdr:colOff>
      <xdr:row>49</xdr:row>
      <xdr:rowOff>99060</xdr:rowOff>
    </xdr:to>
    <xdr:graphicFrame macro="">
      <xdr:nvGraphicFramePr>
        <xdr:cNvPr id="3" name="Chart 2">
          <a:extLst>
            <a:ext uri="{FF2B5EF4-FFF2-40B4-BE49-F238E27FC236}">
              <a16:creationId xmlns:a16="http://schemas.microsoft.com/office/drawing/2014/main" id="{DDC308C6-6EFE-F2E2-A478-3D898ADC6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114300</xdr:colOff>
      <xdr:row>50</xdr:row>
      <xdr:rowOff>60960</xdr:rowOff>
    </xdr:from>
    <xdr:to>
      <xdr:col>11</xdr:col>
      <xdr:colOff>396240</xdr:colOff>
      <xdr:row>63</xdr:row>
      <xdr:rowOff>163830</xdr:rowOff>
    </xdr:to>
    <xdr:graphicFrame macro="">
      <xdr:nvGraphicFramePr>
        <xdr:cNvPr id="4" name="Chart 3">
          <a:extLst>
            <a:ext uri="{FF2B5EF4-FFF2-40B4-BE49-F238E27FC236}">
              <a16:creationId xmlns:a16="http://schemas.microsoft.com/office/drawing/2014/main" id="{DE35ACD6-CCD3-1351-52A7-15CCF2310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68580</xdr:colOff>
      <xdr:row>57</xdr:row>
      <xdr:rowOff>95250</xdr:rowOff>
    </xdr:from>
    <xdr:to>
      <xdr:col>5</xdr:col>
      <xdr:colOff>1356360</xdr:colOff>
      <xdr:row>73</xdr:row>
      <xdr:rowOff>34290</xdr:rowOff>
    </xdr:to>
    <xdr:graphicFrame macro="">
      <xdr:nvGraphicFramePr>
        <xdr:cNvPr id="5" name="Chart 4">
          <a:extLst>
            <a:ext uri="{FF2B5EF4-FFF2-40B4-BE49-F238E27FC236}">
              <a16:creationId xmlns:a16="http://schemas.microsoft.com/office/drawing/2014/main" id="{6E632D9A-CE62-7D80-E42D-A3AF8CF83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525780</xdr:colOff>
      <xdr:row>9</xdr:row>
      <xdr:rowOff>0</xdr:rowOff>
    </xdr:from>
    <xdr:to>
      <xdr:col>3</xdr:col>
      <xdr:colOff>451260</xdr:colOff>
      <xdr:row>13</xdr:row>
      <xdr:rowOff>54960</xdr:rowOff>
    </xdr:to>
    <xdr:sp macro="" textlink="">
      <xdr:nvSpPr>
        <xdr:cNvPr id="2" name="Rectangle 1">
          <a:extLst>
            <a:ext uri="{FF2B5EF4-FFF2-40B4-BE49-F238E27FC236}">
              <a16:creationId xmlns:a16="http://schemas.microsoft.com/office/drawing/2014/main" id="{65BF3AC9-2858-27E4-343E-BA1D18ADE619}"/>
            </a:ext>
          </a:extLst>
        </xdr:cNvPr>
        <xdr:cNvSpPr/>
      </xdr:nvSpPr>
      <xdr:spPr>
        <a:xfrm>
          <a:off x="525780" y="1844040"/>
          <a:ext cx="1800000" cy="7560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altLang="zh-CN" sz="1100"/>
            <a:t>Total</a:t>
          </a:r>
          <a:r>
            <a:rPr lang="en-US" altLang="zh-CN" sz="1100" baseline="0"/>
            <a:t> Bookings</a:t>
          </a:r>
          <a:endParaRPr lang="zh-CN" altLang="en-US" sz="1100"/>
        </a:p>
      </xdr:txBody>
    </xdr:sp>
    <xdr:clientData/>
  </xdr:twoCellAnchor>
  <xdr:oneCellAnchor>
    <xdr:from>
      <xdr:col>1</xdr:col>
      <xdr:colOff>76200</xdr:colOff>
      <xdr:row>10</xdr:row>
      <xdr:rowOff>38101</xdr:rowOff>
    </xdr:from>
    <xdr:ext cx="1173480" cy="396240"/>
    <xdr:sp macro="" textlink="A3">
      <xdr:nvSpPr>
        <xdr:cNvPr id="3" name="TextBox 2">
          <a:extLst>
            <a:ext uri="{FF2B5EF4-FFF2-40B4-BE49-F238E27FC236}">
              <a16:creationId xmlns:a16="http://schemas.microsoft.com/office/drawing/2014/main" id="{FBB8EE70-BFDC-A3A2-0B0F-427A554E3591}"/>
            </a:ext>
          </a:extLst>
        </xdr:cNvPr>
        <xdr:cNvSpPr txBox="1"/>
      </xdr:nvSpPr>
      <xdr:spPr>
        <a:xfrm>
          <a:off x="731520" y="2057401"/>
          <a:ext cx="11734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2D36821-B05F-4CC4-8EC2-94AAEDCDBFD2}" type="TxLink">
            <a:rPr lang="en-US" altLang="en-US" sz="2400" b="1" i="0" u="none" strike="noStrike">
              <a:solidFill>
                <a:srgbClr val="000000"/>
              </a:solidFill>
              <a:latin typeface="等线"/>
              <a:ea typeface="等线"/>
            </a:rPr>
            <a:pPr algn="ctr"/>
            <a:t> 1,000 </a:t>
          </a:fld>
          <a:endParaRPr lang="zh-CN" altLang="en-US" sz="2400" b="1"/>
        </a:p>
      </xdr:txBody>
    </xdr:sp>
    <xdr:clientData/>
  </xdr:oneCellAnchor>
  <xdr:twoCellAnchor>
    <xdr:from>
      <xdr:col>4</xdr:col>
      <xdr:colOff>373380</xdr:colOff>
      <xdr:row>9</xdr:row>
      <xdr:rowOff>7620</xdr:rowOff>
    </xdr:from>
    <xdr:to>
      <xdr:col>7</xdr:col>
      <xdr:colOff>344580</xdr:colOff>
      <xdr:row>13</xdr:row>
      <xdr:rowOff>60960</xdr:rowOff>
    </xdr:to>
    <xdr:sp macro="" textlink="">
      <xdr:nvSpPr>
        <xdr:cNvPr id="5" name="Rectangle 4">
          <a:extLst>
            <a:ext uri="{FF2B5EF4-FFF2-40B4-BE49-F238E27FC236}">
              <a16:creationId xmlns:a16="http://schemas.microsoft.com/office/drawing/2014/main" id="{DD5D7261-0653-DD00-0DFB-77B36D00398C}"/>
            </a:ext>
          </a:extLst>
        </xdr:cNvPr>
        <xdr:cNvSpPr/>
      </xdr:nvSpPr>
      <xdr:spPr>
        <a:xfrm>
          <a:off x="2857500" y="1851660"/>
          <a:ext cx="1800000" cy="75438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altLang="zh-CN" sz="1100"/>
            <a:t>Cancelled Rate</a:t>
          </a:r>
          <a:endParaRPr lang="zh-CN" altLang="en-US" sz="1100"/>
        </a:p>
      </xdr:txBody>
    </xdr:sp>
    <xdr:clientData/>
  </xdr:twoCellAnchor>
  <xdr:oneCellAnchor>
    <xdr:from>
      <xdr:col>5</xdr:col>
      <xdr:colOff>91440</xdr:colOff>
      <xdr:row>10</xdr:row>
      <xdr:rowOff>22860</xdr:rowOff>
    </xdr:from>
    <xdr:ext cx="1158240" cy="509178"/>
    <xdr:sp macro="" textlink="A4">
      <xdr:nvSpPr>
        <xdr:cNvPr id="6" name="TextBox 5">
          <a:extLst>
            <a:ext uri="{FF2B5EF4-FFF2-40B4-BE49-F238E27FC236}">
              <a16:creationId xmlns:a16="http://schemas.microsoft.com/office/drawing/2014/main" id="{F6FAC8D5-4F40-DC08-4DE7-959A2669C8EA}"/>
            </a:ext>
          </a:extLst>
        </xdr:cNvPr>
        <xdr:cNvSpPr txBox="1"/>
      </xdr:nvSpPr>
      <xdr:spPr>
        <a:xfrm>
          <a:off x="3185160" y="2042160"/>
          <a:ext cx="1158240" cy="509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AC6F995-0806-4381-8946-DF9D1CC78140}" type="TxLink">
            <a:rPr lang="en-US" altLang="en-US" sz="2400" b="1" i="0" u="none" strike="noStrike">
              <a:solidFill>
                <a:srgbClr val="000000"/>
              </a:solidFill>
              <a:latin typeface="等线"/>
              <a:ea typeface="等线"/>
            </a:rPr>
            <a:pPr algn="ctr"/>
            <a:t>37.9%</a:t>
          </a:fld>
          <a:endParaRPr lang="zh-CN" altLang="en-US" sz="2400" b="1"/>
        </a:p>
      </xdr:txBody>
    </xdr:sp>
    <xdr:clientData/>
  </xdr:oneCellAnchor>
  <xdr:twoCellAnchor>
    <xdr:from>
      <xdr:col>8</xdr:col>
      <xdr:colOff>205740</xdr:colOff>
      <xdr:row>9</xdr:row>
      <xdr:rowOff>22860</xdr:rowOff>
    </xdr:from>
    <xdr:to>
      <xdr:col>11</xdr:col>
      <xdr:colOff>176940</xdr:colOff>
      <xdr:row>13</xdr:row>
      <xdr:rowOff>77820</xdr:rowOff>
    </xdr:to>
    <xdr:sp macro="" textlink="">
      <xdr:nvSpPr>
        <xdr:cNvPr id="7" name="Rectangle 6">
          <a:extLst>
            <a:ext uri="{FF2B5EF4-FFF2-40B4-BE49-F238E27FC236}">
              <a16:creationId xmlns:a16="http://schemas.microsoft.com/office/drawing/2014/main" id="{C27238A0-B25B-ADDB-3227-9A5BC470910D}"/>
            </a:ext>
          </a:extLst>
        </xdr:cNvPr>
        <xdr:cNvSpPr/>
      </xdr:nvSpPr>
      <xdr:spPr>
        <a:xfrm>
          <a:off x="5128260" y="1866900"/>
          <a:ext cx="1800000" cy="7560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altLang="zh-CN" sz="1100"/>
            <a:t>Total Visitors</a:t>
          </a:r>
          <a:endParaRPr lang="zh-CN" altLang="en-US" sz="1100"/>
        </a:p>
      </xdr:txBody>
    </xdr:sp>
    <xdr:clientData/>
  </xdr:twoCellAnchor>
  <xdr:twoCellAnchor>
    <xdr:from>
      <xdr:col>12</xdr:col>
      <xdr:colOff>205740</xdr:colOff>
      <xdr:row>9</xdr:row>
      <xdr:rowOff>15240</xdr:rowOff>
    </xdr:from>
    <xdr:to>
      <xdr:col>15</xdr:col>
      <xdr:colOff>176940</xdr:colOff>
      <xdr:row>13</xdr:row>
      <xdr:rowOff>68580</xdr:rowOff>
    </xdr:to>
    <xdr:sp macro="" textlink="">
      <xdr:nvSpPr>
        <xdr:cNvPr id="8" name="Rectangle 7">
          <a:extLst>
            <a:ext uri="{FF2B5EF4-FFF2-40B4-BE49-F238E27FC236}">
              <a16:creationId xmlns:a16="http://schemas.microsoft.com/office/drawing/2014/main" id="{07BA7939-557A-F54C-98EE-3D76302CD9F3}"/>
            </a:ext>
          </a:extLst>
        </xdr:cNvPr>
        <xdr:cNvSpPr/>
      </xdr:nvSpPr>
      <xdr:spPr>
        <a:xfrm>
          <a:off x="7566660" y="1859280"/>
          <a:ext cx="1800000" cy="7543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altLang="zh-CN" sz="1100"/>
            <a:t>Head Offices Share</a:t>
          </a:r>
          <a:endParaRPr lang="zh-CN" altLang="en-US" sz="1100"/>
        </a:p>
      </xdr:txBody>
    </xdr:sp>
    <xdr:clientData/>
  </xdr:twoCellAnchor>
  <xdr:oneCellAnchor>
    <xdr:from>
      <xdr:col>8</xdr:col>
      <xdr:colOff>441960</xdr:colOff>
      <xdr:row>10</xdr:row>
      <xdr:rowOff>38100</xdr:rowOff>
    </xdr:from>
    <xdr:ext cx="1127760" cy="509178"/>
    <xdr:sp macro="" textlink="A5">
      <xdr:nvSpPr>
        <xdr:cNvPr id="9" name="TextBox 8">
          <a:extLst>
            <a:ext uri="{FF2B5EF4-FFF2-40B4-BE49-F238E27FC236}">
              <a16:creationId xmlns:a16="http://schemas.microsoft.com/office/drawing/2014/main" id="{B80B4D55-9618-48EC-F09A-C417F779DC7D}"/>
            </a:ext>
          </a:extLst>
        </xdr:cNvPr>
        <xdr:cNvSpPr txBox="1"/>
      </xdr:nvSpPr>
      <xdr:spPr>
        <a:xfrm>
          <a:off x="5364480" y="2057400"/>
          <a:ext cx="1127760" cy="509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2F9F44-8B3D-4271-99FB-F0F93961F0C5}" type="TxLink">
            <a:rPr lang="en-US" altLang="en-US" sz="2400" b="1" i="0" u="none" strike="noStrike">
              <a:solidFill>
                <a:srgbClr val="000000"/>
              </a:solidFill>
              <a:latin typeface="等线"/>
              <a:ea typeface="等线"/>
            </a:rPr>
            <a:pPr algn="ctr"/>
            <a:t> 1,873 </a:t>
          </a:fld>
          <a:endParaRPr lang="zh-CN" altLang="en-US" sz="2400" b="1"/>
        </a:p>
      </xdr:txBody>
    </xdr:sp>
    <xdr:clientData/>
  </xdr:oneCellAnchor>
  <xdr:oneCellAnchor>
    <xdr:from>
      <xdr:col>12</xdr:col>
      <xdr:colOff>464820</xdr:colOff>
      <xdr:row>10</xdr:row>
      <xdr:rowOff>15240</xdr:rowOff>
    </xdr:from>
    <xdr:ext cx="1287780" cy="509178"/>
    <xdr:sp macro="" textlink="A6">
      <xdr:nvSpPr>
        <xdr:cNvPr id="10" name="TextBox 9">
          <a:extLst>
            <a:ext uri="{FF2B5EF4-FFF2-40B4-BE49-F238E27FC236}">
              <a16:creationId xmlns:a16="http://schemas.microsoft.com/office/drawing/2014/main" id="{4C5D02A1-C8EA-E65C-16B3-9BCF5A616FA7}"/>
            </a:ext>
          </a:extLst>
        </xdr:cNvPr>
        <xdr:cNvSpPr txBox="1"/>
      </xdr:nvSpPr>
      <xdr:spPr>
        <a:xfrm>
          <a:off x="7825740" y="2034540"/>
          <a:ext cx="1287780" cy="509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52AE8EB-9ECA-4BA4-A210-3FBADB6349EE}" type="TxLink">
            <a:rPr lang="en-US" altLang="en-US" sz="2400" b="1" i="0" u="none" strike="noStrike">
              <a:solidFill>
                <a:srgbClr val="000000"/>
              </a:solidFill>
              <a:latin typeface="等线"/>
              <a:ea typeface="等线"/>
            </a:rPr>
            <a:pPr algn="ctr"/>
            <a:t>32.8%</a:t>
          </a:fld>
          <a:endParaRPr lang="zh-CN" altLang="en-US" sz="2400" b="1"/>
        </a:p>
      </xdr:txBody>
    </xdr:sp>
    <xdr:clientData/>
  </xdr:oneCellAnchor>
  <xdr:twoCellAnchor>
    <xdr:from>
      <xdr:col>8</xdr:col>
      <xdr:colOff>525780</xdr:colOff>
      <xdr:row>35</xdr:row>
      <xdr:rowOff>15240</xdr:rowOff>
    </xdr:from>
    <xdr:to>
      <xdr:col>15</xdr:col>
      <xdr:colOff>594360</xdr:colOff>
      <xdr:row>48</xdr:row>
      <xdr:rowOff>160020</xdr:rowOff>
    </xdr:to>
    <xdr:graphicFrame macro="">
      <xdr:nvGraphicFramePr>
        <xdr:cNvPr id="11" name="Chart 10">
          <a:extLst>
            <a:ext uri="{FF2B5EF4-FFF2-40B4-BE49-F238E27FC236}">
              <a16:creationId xmlns:a16="http://schemas.microsoft.com/office/drawing/2014/main" id="{9EDDFD0D-D006-46AB-8D89-8EA5F7B11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464820</xdr:colOff>
      <xdr:row>35</xdr:row>
      <xdr:rowOff>15240</xdr:rowOff>
    </xdr:from>
    <xdr:to>
      <xdr:col>7</xdr:col>
      <xdr:colOff>541020</xdr:colOff>
      <xdr:row>49</xdr:row>
      <xdr:rowOff>7620</xdr:rowOff>
    </xdr:to>
    <xdr:graphicFrame macro="">
      <xdr:nvGraphicFramePr>
        <xdr:cNvPr id="13" name="Chart 12">
          <a:extLst>
            <a:ext uri="{FF2B5EF4-FFF2-40B4-BE49-F238E27FC236}">
              <a16:creationId xmlns:a16="http://schemas.microsoft.com/office/drawing/2014/main" id="{B74F67D3-A0F5-44E8-AB55-40C4B2319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495300</xdr:colOff>
      <xdr:row>20</xdr:row>
      <xdr:rowOff>22860</xdr:rowOff>
    </xdr:from>
    <xdr:to>
      <xdr:col>7</xdr:col>
      <xdr:colOff>571500</xdr:colOff>
      <xdr:row>33</xdr:row>
      <xdr:rowOff>160020</xdr:rowOff>
    </xdr:to>
    <xdr:graphicFrame macro="">
      <xdr:nvGraphicFramePr>
        <xdr:cNvPr id="14" name="Chart 13">
          <a:extLst>
            <a:ext uri="{FF2B5EF4-FFF2-40B4-BE49-F238E27FC236}">
              <a16:creationId xmlns:a16="http://schemas.microsoft.com/office/drawing/2014/main" id="{5D46D8E6-4B40-443E-BC6D-976CAE2C9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502920</xdr:colOff>
      <xdr:row>67</xdr:row>
      <xdr:rowOff>60960</xdr:rowOff>
    </xdr:from>
    <xdr:to>
      <xdr:col>7</xdr:col>
      <xdr:colOff>464820</xdr:colOff>
      <xdr:row>79</xdr:row>
      <xdr:rowOff>83820</xdr:rowOff>
    </xdr:to>
    <xdr:graphicFrame macro="">
      <xdr:nvGraphicFramePr>
        <xdr:cNvPr id="15" name="Chart 14">
          <a:extLst>
            <a:ext uri="{FF2B5EF4-FFF2-40B4-BE49-F238E27FC236}">
              <a16:creationId xmlns:a16="http://schemas.microsoft.com/office/drawing/2014/main" id="{D1823438-3FC8-4BC7-9CE0-22435B6F7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304800</xdr:colOff>
      <xdr:row>3</xdr:row>
      <xdr:rowOff>45720</xdr:rowOff>
    </xdr:from>
    <xdr:to>
      <xdr:col>4</xdr:col>
      <xdr:colOff>196680</xdr:colOff>
      <xdr:row>7</xdr:row>
      <xdr:rowOff>172680</xdr:rowOff>
    </xdr:to>
    <mc:AlternateContent xmlns:mc="http://schemas.openxmlformats.org/markup-compatibility/2006" xmlns:a14="http://schemas.microsoft.com/office/drawing/2010/main">
      <mc:Choice Requires="a14">
        <xdr:graphicFrame macro="">
          <xdr:nvGraphicFramePr>
            <xdr:cNvPr id="19" name="office_location 1">
              <a:extLst>
                <a:ext uri="{FF2B5EF4-FFF2-40B4-BE49-F238E27FC236}">
                  <a16:creationId xmlns:a16="http://schemas.microsoft.com/office/drawing/2014/main" id="{07D57B7A-B3A8-452F-91F5-D07496FC069F}"/>
                </a:ext>
              </a:extLst>
            </xdr:cNvPr>
            <xdr:cNvGraphicFramePr/>
          </xdr:nvGraphicFramePr>
          <xdr:xfrm>
            <a:off x="0" y="0"/>
            <a:ext cx="0" cy="0"/>
          </xdr:xfrm>
          <a:graphic>
            <a:graphicData uri="http://schemas.microsoft.com/office/drawing/2010/slicer">
              <sle:slicer xmlns:sle="http://schemas.microsoft.com/office/drawing/2010/slicer" name="office_location 1"/>
            </a:graphicData>
          </a:graphic>
        </xdr:graphicFrame>
      </mc:Choice>
      <mc:Fallback xmlns="">
        <xdr:sp macro="" textlink="">
          <xdr:nvSpPr>
            <xdr:cNvPr id="0" name=""/>
            <xdr:cNvSpPr>
              <a:spLocks noTextEdit="1"/>
            </xdr:cNvSpPr>
          </xdr:nvSpPr>
          <xdr:spPr>
            <a:xfrm>
              <a:off x="304800" y="838200"/>
              <a:ext cx="2376000" cy="828000"/>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335280</xdr:colOff>
      <xdr:row>0</xdr:row>
      <xdr:rowOff>152401</xdr:rowOff>
    </xdr:from>
    <xdr:to>
      <xdr:col>34</xdr:col>
      <xdr:colOff>335280</xdr:colOff>
      <xdr:row>4</xdr:row>
      <xdr:rowOff>137160</xdr:rowOff>
    </xdr:to>
    <mc:AlternateContent xmlns:mc="http://schemas.openxmlformats.org/markup-compatibility/2006" xmlns:a14="http://schemas.microsoft.com/office/drawing/2010/main">
      <mc:Choice Requires="a14">
        <xdr:graphicFrame macro="">
          <xdr:nvGraphicFramePr>
            <xdr:cNvPr id="20" name="appointment_month 1">
              <a:extLst>
                <a:ext uri="{FF2B5EF4-FFF2-40B4-BE49-F238E27FC236}">
                  <a16:creationId xmlns:a16="http://schemas.microsoft.com/office/drawing/2014/main" id="{D94EF0E6-4BA3-43F7-B0CF-8ADCF6456279}"/>
                </a:ext>
              </a:extLst>
            </xdr:cNvPr>
            <xdr:cNvGraphicFramePr/>
          </xdr:nvGraphicFramePr>
          <xdr:xfrm>
            <a:off x="0" y="0"/>
            <a:ext cx="0" cy="0"/>
          </xdr:xfrm>
          <a:graphic>
            <a:graphicData uri="http://schemas.microsoft.com/office/drawing/2010/slicer">
              <sle:slicer xmlns:sle="http://schemas.microsoft.com/office/drawing/2010/slicer" name="appointment_month 1"/>
            </a:graphicData>
          </a:graphic>
        </xdr:graphicFrame>
      </mc:Choice>
      <mc:Fallback xmlns="">
        <xdr:sp macro="" textlink="">
          <xdr:nvSpPr>
            <xdr:cNvPr id="0" name=""/>
            <xdr:cNvSpPr>
              <a:spLocks noTextEdit="1"/>
            </xdr:cNvSpPr>
          </xdr:nvSpPr>
          <xdr:spPr>
            <a:xfrm>
              <a:off x="19278600" y="152401"/>
              <a:ext cx="1828800" cy="952499"/>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160020</xdr:colOff>
      <xdr:row>0</xdr:row>
      <xdr:rowOff>167641</xdr:rowOff>
    </xdr:from>
    <xdr:to>
      <xdr:col>31</xdr:col>
      <xdr:colOff>160020</xdr:colOff>
      <xdr:row>4</xdr:row>
      <xdr:rowOff>152400</xdr:rowOff>
    </xdr:to>
    <mc:AlternateContent xmlns:mc="http://schemas.openxmlformats.org/markup-compatibility/2006" xmlns:a14="http://schemas.microsoft.com/office/drawing/2010/main">
      <mc:Choice Requires="a14">
        <xdr:graphicFrame macro="">
          <xdr:nvGraphicFramePr>
            <xdr:cNvPr id="21" name="visitor_type 1">
              <a:extLst>
                <a:ext uri="{FF2B5EF4-FFF2-40B4-BE49-F238E27FC236}">
                  <a16:creationId xmlns:a16="http://schemas.microsoft.com/office/drawing/2014/main" id="{31E6D0CB-99BB-46DD-871E-ACE09AFAD57E}"/>
                </a:ext>
              </a:extLst>
            </xdr:cNvPr>
            <xdr:cNvGraphicFramePr/>
          </xdr:nvGraphicFramePr>
          <xdr:xfrm>
            <a:off x="0" y="0"/>
            <a:ext cx="0" cy="0"/>
          </xdr:xfrm>
          <a:graphic>
            <a:graphicData uri="http://schemas.microsoft.com/office/drawing/2010/slicer">
              <sle:slicer xmlns:sle="http://schemas.microsoft.com/office/drawing/2010/slicer" name="visitor_type 1"/>
            </a:graphicData>
          </a:graphic>
        </xdr:graphicFrame>
      </mc:Choice>
      <mc:Fallback xmlns="">
        <xdr:sp macro="" textlink="">
          <xdr:nvSpPr>
            <xdr:cNvPr id="0" name=""/>
            <xdr:cNvSpPr>
              <a:spLocks noTextEdit="1"/>
            </xdr:cNvSpPr>
          </xdr:nvSpPr>
          <xdr:spPr>
            <a:xfrm>
              <a:off x="17274540" y="167641"/>
              <a:ext cx="1828800" cy="952499"/>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312420</xdr:colOff>
      <xdr:row>3</xdr:row>
      <xdr:rowOff>38101</xdr:rowOff>
    </xdr:from>
    <xdr:to>
      <xdr:col>8</xdr:col>
      <xdr:colOff>250020</xdr:colOff>
      <xdr:row>7</xdr:row>
      <xdr:rowOff>165061</xdr:rowOff>
    </xdr:to>
    <mc:AlternateContent xmlns:mc="http://schemas.openxmlformats.org/markup-compatibility/2006" xmlns:a14="http://schemas.microsoft.com/office/drawing/2010/main">
      <mc:Choice Requires="a14">
        <xdr:graphicFrame macro="">
          <xdr:nvGraphicFramePr>
            <xdr:cNvPr id="22" name="visitor_type 2">
              <a:extLst>
                <a:ext uri="{FF2B5EF4-FFF2-40B4-BE49-F238E27FC236}">
                  <a16:creationId xmlns:a16="http://schemas.microsoft.com/office/drawing/2014/main" id="{832712ED-0B1B-4C5E-B40A-C3E3ACF2C1C5}"/>
                </a:ext>
              </a:extLst>
            </xdr:cNvPr>
            <xdr:cNvGraphicFramePr/>
          </xdr:nvGraphicFramePr>
          <xdr:xfrm>
            <a:off x="0" y="0"/>
            <a:ext cx="0" cy="0"/>
          </xdr:xfrm>
          <a:graphic>
            <a:graphicData uri="http://schemas.microsoft.com/office/drawing/2010/slicer">
              <sle:slicer xmlns:sle="http://schemas.microsoft.com/office/drawing/2010/slicer" name="visitor_type 2"/>
            </a:graphicData>
          </a:graphic>
        </xdr:graphicFrame>
      </mc:Choice>
      <mc:Fallback xmlns="">
        <xdr:sp macro="" textlink="">
          <xdr:nvSpPr>
            <xdr:cNvPr id="0" name=""/>
            <xdr:cNvSpPr>
              <a:spLocks noTextEdit="1"/>
            </xdr:cNvSpPr>
          </xdr:nvSpPr>
          <xdr:spPr>
            <a:xfrm>
              <a:off x="2796540" y="830581"/>
              <a:ext cx="2376000" cy="828000"/>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533400</xdr:colOff>
      <xdr:row>3</xdr:row>
      <xdr:rowOff>22861</xdr:rowOff>
    </xdr:from>
    <xdr:to>
      <xdr:col>12</xdr:col>
      <xdr:colOff>471000</xdr:colOff>
      <xdr:row>7</xdr:row>
      <xdr:rowOff>149821</xdr:rowOff>
    </xdr:to>
    <mc:AlternateContent xmlns:mc="http://schemas.openxmlformats.org/markup-compatibility/2006" xmlns:a14="http://schemas.microsoft.com/office/drawing/2010/main">
      <mc:Choice Requires="a14">
        <xdr:graphicFrame macro="">
          <xdr:nvGraphicFramePr>
            <xdr:cNvPr id="23" name="appointment_month 2">
              <a:extLst>
                <a:ext uri="{FF2B5EF4-FFF2-40B4-BE49-F238E27FC236}">
                  <a16:creationId xmlns:a16="http://schemas.microsoft.com/office/drawing/2014/main" id="{55C9D8DF-C14E-44B8-A2CA-469FFB446B02}"/>
                </a:ext>
              </a:extLst>
            </xdr:cNvPr>
            <xdr:cNvGraphicFramePr/>
          </xdr:nvGraphicFramePr>
          <xdr:xfrm>
            <a:off x="0" y="0"/>
            <a:ext cx="0" cy="0"/>
          </xdr:xfrm>
          <a:graphic>
            <a:graphicData uri="http://schemas.microsoft.com/office/drawing/2010/slicer">
              <sle:slicer xmlns:sle="http://schemas.microsoft.com/office/drawing/2010/slicer" name="appointment_month 2"/>
            </a:graphicData>
          </a:graphic>
        </xdr:graphicFrame>
      </mc:Choice>
      <mc:Fallback xmlns="">
        <xdr:sp macro="" textlink="">
          <xdr:nvSpPr>
            <xdr:cNvPr id="0" name=""/>
            <xdr:cNvSpPr>
              <a:spLocks noTextEdit="1"/>
            </xdr:cNvSpPr>
          </xdr:nvSpPr>
          <xdr:spPr>
            <a:xfrm>
              <a:off x="5455920" y="815341"/>
              <a:ext cx="2376000" cy="828000"/>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xdr:colOff>
      <xdr:row>67</xdr:row>
      <xdr:rowOff>83820</xdr:rowOff>
    </xdr:from>
    <xdr:to>
      <xdr:col>15</xdr:col>
      <xdr:colOff>571500</xdr:colOff>
      <xdr:row>79</xdr:row>
      <xdr:rowOff>15240</xdr:rowOff>
    </xdr:to>
    <xdr:sp macro="" textlink="">
      <xdr:nvSpPr>
        <xdr:cNvPr id="16" name="Rectangle 15">
          <a:extLst>
            <a:ext uri="{FF2B5EF4-FFF2-40B4-BE49-F238E27FC236}">
              <a16:creationId xmlns:a16="http://schemas.microsoft.com/office/drawing/2014/main" id="{2433B003-9468-ED0A-3C15-9AAE1834C9CC}"/>
            </a:ext>
          </a:extLst>
        </xdr:cNvPr>
        <xdr:cNvSpPr/>
      </xdr:nvSpPr>
      <xdr:spPr>
        <a:xfrm>
          <a:off x="5554980" y="12092940"/>
          <a:ext cx="4206240" cy="2034540"/>
        </a:xfrm>
        <a:prstGeom prst="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zh-CN" altLang="zh-CN"/>
            <a:t>Business Insights</a:t>
          </a:r>
          <a:endParaRPr lang="en-US" altLang="zh-CN"/>
        </a:p>
        <a:p>
          <a:endParaRPr lang="zh-CN" altLang="zh-CN" b="1"/>
        </a:p>
        <a:p>
          <a:r>
            <a:rPr lang="en-US" altLang="zh-CN"/>
            <a:t>• Appointment demand peaked in August.</a:t>
          </a:r>
        </a:p>
        <a:p>
          <a:r>
            <a:rPr lang="en-US" altLang="zh-CN"/>
            <a:t>• Branch Office handled most office visits.</a:t>
          </a:r>
        </a:p>
        <a:p>
          <a:r>
            <a:rPr lang="en-US" altLang="zh-CN"/>
            <a:t>• Transient visitors represented the largest visitor segment.</a:t>
          </a:r>
        </a:p>
        <a:p>
          <a:r>
            <a:rPr lang="en-US" altLang="zh-CN"/>
            <a:t>• Overall cancellation rate remained under 40%.</a:t>
          </a:r>
        </a:p>
        <a:p>
          <a:r>
            <a:rPr lang="en-US" altLang="zh-CN"/>
            <a:t>• No-show rate stayed below 1%.</a:t>
          </a:r>
          <a:endParaRPr lang="zh-CN" altLang="en-US" sz="1100"/>
        </a:p>
      </xdr:txBody>
    </xdr:sp>
    <xdr:clientData/>
  </xdr:twoCellAnchor>
  <xdr:twoCellAnchor>
    <xdr:from>
      <xdr:col>0</xdr:col>
      <xdr:colOff>502920</xdr:colOff>
      <xdr:row>14</xdr:row>
      <xdr:rowOff>114300</xdr:rowOff>
    </xdr:from>
    <xdr:to>
      <xdr:col>3</xdr:col>
      <xdr:colOff>428400</xdr:colOff>
      <xdr:row>18</xdr:row>
      <xdr:rowOff>167640</xdr:rowOff>
    </xdr:to>
    <xdr:sp macro="" textlink="">
      <xdr:nvSpPr>
        <xdr:cNvPr id="4" name="Rectangle 3">
          <a:extLst>
            <a:ext uri="{FF2B5EF4-FFF2-40B4-BE49-F238E27FC236}">
              <a16:creationId xmlns:a16="http://schemas.microsoft.com/office/drawing/2014/main" id="{C356C60E-20C8-4288-8BAA-99FD6029B313}"/>
            </a:ext>
          </a:extLst>
        </xdr:cNvPr>
        <xdr:cNvSpPr/>
      </xdr:nvSpPr>
      <xdr:spPr>
        <a:xfrm>
          <a:off x="502920" y="2834640"/>
          <a:ext cx="1800000" cy="75438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altLang="zh-CN" sz="1100"/>
            <a:t>Avg</a:t>
          </a:r>
          <a:r>
            <a:rPr lang="en-US" altLang="zh-CN" sz="1100" baseline="0"/>
            <a:t> Days Before Appoinment</a:t>
          </a:r>
          <a:endParaRPr lang="zh-CN" altLang="en-US" sz="1100"/>
        </a:p>
      </xdr:txBody>
    </xdr:sp>
    <xdr:clientData/>
  </xdr:twoCellAnchor>
  <xdr:oneCellAnchor>
    <xdr:from>
      <xdr:col>1</xdr:col>
      <xdr:colOff>0</xdr:colOff>
      <xdr:row>15</xdr:row>
      <xdr:rowOff>144780</xdr:rowOff>
    </xdr:from>
    <xdr:ext cx="1463040" cy="509178"/>
    <xdr:sp macro="" textlink="A7">
      <xdr:nvSpPr>
        <xdr:cNvPr id="17" name="TextBox 16">
          <a:extLst>
            <a:ext uri="{FF2B5EF4-FFF2-40B4-BE49-F238E27FC236}">
              <a16:creationId xmlns:a16="http://schemas.microsoft.com/office/drawing/2014/main" id="{E563DE7D-55D3-4EC4-855E-1E6AAA924FB0}"/>
            </a:ext>
          </a:extLst>
        </xdr:cNvPr>
        <xdr:cNvSpPr txBox="1"/>
      </xdr:nvSpPr>
      <xdr:spPr>
        <a:xfrm>
          <a:off x="655320" y="3040380"/>
          <a:ext cx="1463040" cy="509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9A8F6A1-8547-4E46-ADB0-C371B869D6D1}" type="TxLink">
            <a:rPr lang="en-US" altLang="en-US" sz="2400" b="1" i="0" u="none" strike="noStrike">
              <a:solidFill>
                <a:schemeClr val="tx1"/>
              </a:solidFill>
              <a:latin typeface="等线"/>
              <a:ea typeface="等线"/>
            </a:rPr>
            <a:pPr algn="ctr"/>
            <a:t>106.23</a:t>
          </a:fld>
          <a:endParaRPr lang="zh-CN" altLang="en-US" sz="2400" b="1">
            <a:solidFill>
              <a:schemeClr val="tx1"/>
            </a:solidFill>
          </a:endParaRPr>
        </a:p>
      </xdr:txBody>
    </xdr:sp>
    <xdr:clientData/>
  </xdr:oneCellAnchor>
  <xdr:twoCellAnchor>
    <xdr:from>
      <xdr:col>4</xdr:col>
      <xdr:colOff>381000</xdr:colOff>
      <xdr:row>14</xdr:row>
      <xdr:rowOff>114300</xdr:rowOff>
    </xdr:from>
    <xdr:to>
      <xdr:col>7</xdr:col>
      <xdr:colOff>352200</xdr:colOff>
      <xdr:row>18</xdr:row>
      <xdr:rowOff>169260</xdr:rowOff>
    </xdr:to>
    <xdr:sp macro="" textlink="">
      <xdr:nvSpPr>
        <xdr:cNvPr id="18" name="Rectangle 17">
          <a:extLst>
            <a:ext uri="{FF2B5EF4-FFF2-40B4-BE49-F238E27FC236}">
              <a16:creationId xmlns:a16="http://schemas.microsoft.com/office/drawing/2014/main" id="{8F711A23-E933-4495-BE06-291118FB9498}"/>
            </a:ext>
          </a:extLst>
        </xdr:cNvPr>
        <xdr:cNvSpPr/>
      </xdr:nvSpPr>
      <xdr:spPr>
        <a:xfrm>
          <a:off x="2865120" y="2834640"/>
          <a:ext cx="1800000" cy="7560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altLang="zh-CN" sz="1100" baseline="0"/>
            <a:t>Peak Month</a:t>
          </a:r>
          <a:endParaRPr lang="zh-CN" altLang="en-US" sz="1100"/>
        </a:p>
      </xdr:txBody>
    </xdr:sp>
    <xdr:clientData/>
  </xdr:twoCellAnchor>
  <xdr:oneCellAnchor>
    <xdr:from>
      <xdr:col>4</xdr:col>
      <xdr:colOff>297180</xdr:colOff>
      <xdr:row>15</xdr:row>
      <xdr:rowOff>137161</xdr:rowOff>
    </xdr:from>
    <xdr:ext cx="1973580" cy="396240"/>
    <xdr:sp macro="" textlink="A8">
      <xdr:nvSpPr>
        <xdr:cNvPr id="24" name="TextBox 23">
          <a:extLst>
            <a:ext uri="{FF2B5EF4-FFF2-40B4-BE49-F238E27FC236}">
              <a16:creationId xmlns:a16="http://schemas.microsoft.com/office/drawing/2014/main" id="{ED4E978B-0F23-4497-B323-A06DB0AFC8C1}"/>
            </a:ext>
          </a:extLst>
        </xdr:cNvPr>
        <xdr:cNvSpPr txBox="1"/>
      </xdr:nvSpPr>
      <xdr:spPr>
        <a:xfrm>
          <a:off x="2781300" y="3032761"/>
          <a:ext cx="19735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035965B-94A0-4AA5-BEE4-6B969DC7A639}" type="TxLink">
            <a:rPr lang="en-US" altLang="en-US" sz="2400" b="1" i="0" u="none" strike="noStrike">
              <a:solidFill>
                <a:schemeClr val="tx1"/>
              </a:solidFill>
              <a:latin typeface="等线"/>
              <a:ea typeface="等线"/>
            </a:rPr>
            <a:pPr algn="ctr"/>
            <a:t>August</a:t>
          </a:fld>
          <a:endParaRPr lang="zh-CN" altLang="en-US" sz="2400" b="1">
            <a:solidFill>
              <a:schemeClr val="tx1"/>
            </a:solidFill>
          </a:endParaRPr>
        </a:p>
      </xdr:txBody>
    </xdr:sp>
    <xdr:clientData/>
  </xdr:oneCellAnchor>
  <xdr:twoCellAnchor>
    <xdr:from>
      <xdr:col>12</xdr:col>
      <xdr:colOff>220980</xdr:colOff>
      <xdr:row>14</xdr:row>
      <xdr:rowOff>83820</xdr:rowOff>
    </xdr:from>
    <xdr:to>
      <xdr:col>15</xdr:col>
      <xdr:colOff>192180</xdr:colOff>
      <xdr:row>18</xdr:row>
      <xdr:rowOff>138780</xdr:rowOff>
    </xdr:to>
    <xdr:sp macro="" textlink="">
      <xdr:nvSpPr>
        <xdr:cNvPr id="27" name="Rectangle 26">
          <a:extLst>
            <a:ext uri="{FF2B5EF4-FFF2-40B4-BE49-F238E27FC236}">
              <a16:creationId xmlns:a16="http://schemas.microsoft.com/office/drawing/2014/main" id="{337527F2-A37B-4080-B67D-105703539BCF}"/>
            </a:ext>
          </a:extLst>
        </xdr:cNvPr>
        <xdr:cNvSpPr/>
      </xdr:nvSpPr>
      <xdr:spPr>
        <a:xfrm>
          <a:off x="7581900" y="2804160"/>
          <a:ext cx="1800000" cy="7560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altLang="zh-CN" sz="1100"/>
            <a:t>No</a:t>
          </a:r>
          <a:r>
            <a:rPr lang="en-US" altLang="zh-CN" sz="1100" baseline="0"/>
            <a:t>-Show Rate</a:t>
          </a:r>
          <a:endParaRPr lang="zh-CN" altLang="en-US" sz="1100"/>
        </a:p>
      </xdr:txBody>
    </xdr:sp>
    <xdr:clientData/>
  </xdr:twoCellAnchor>
  <xdr:oneCellAnchor>
    <xdr:from>
      <xdr:col>13</xdr:col>
      <xdr:colOff>30480</xdr:colOff>
      <xdr:row>15</xdr:row>
      <xdr:rowOff>99060</xdr:rowOff>
    </xdr:from>
    <xdr:ext cx="925446" cy="509178"/>
    <xdr:sp macro="" textlink="A10">
      <xdr:nvSpPr>
        <xdr:cNvPr id="29" name="TextBox 28">
          <a:extLst>
            <a:ext uri="{FF2B5EF4-FFF2-40B4-BE49-F238E27FC236}">
              <a16:creationId xmlns:a16="http://schemas.microsoft.com/office/drawing/2014/main" id="{85C3AD90-5965-4806-8B49-CD1991BA98ED}"/>
            </a:ext>
          </a:extLst>
        </xdr:cNvPr>
        <xdr:cNvSpPr txBox="1"/>
      </xdr:nvSpPr>
      <xdr:spPr>
        <a:xfrm>
          <a:off x="8001000" y="2994660"/>
          <a:ext cx="925446" cy="509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5AFA7C53-E46F-46A1-901E-6D084BFE30DA}" type="TxLink">
            <a:rPr lang="en-US" altLang="en-US" sz="2400" b="1" i="0" u="none" strike="noStrike">
              <a:solidFill>
                <a:schemeClr val="tx1"/>
              </a:solidFill>
              <a:latin typeface="等线"/>
              <a:ea typeface="等线"/>
            </a:rPr>
            <a:pPr algn="ctr"/>
            <a:t>0.60%</a:t>
          </a:fld>
          <a:endParaRPr lang="zh-CN" altLang="en-US" sz="2400" b="1">
            <a:solidFill>
              <a:schemeClr val="tx1"/>
            </a:solidFill>
          </a:endParaRPr>
        </a:p>
      </xdr:txBody>
    </xdr:sp>
    <xdr:clientData/>
  </xdr:oneCellAnchor>
  <xdr:twoCellAnchor editAs="oneCell">
    <xdr:from>
      <xdr:col>12</xdr:col>
      <xdr:colOff>556260</xdr:colOff>
      <xdr:row>2</xdr:row>
      <xdr:rowOff>160021</xdr:rowOff>
    </xdr:from>
    <xdr:to>
      <xdr:col>16</xdr:col>
      <xdr:colOff>493860</xdr:colOff>
      <xdr:row>7</xdr:row>
      <xdr:rowOff>111721</xdr:rowOff>
    </xdr:to>
    <mc:AlternateContent xmlns:mc="http://schemas.openxmlformats.org/markup-compatibility/2006" xmlns:a14="http://schemas.microsoft.com/office/drawing/2010/main">
      <mc:Choice Requires="a14">
        <xdr:graphicFrame macro="">
          <xdr:nvGraphicFramePr>
            <xdr:cNvPr id="33" name="appointment_status 1">
              <a:extLst>
                <a:ext uri="{FF2B5EF4-FFF2-40B4-BE49-F238E27FC236}">
                  <a16:creationId xmlns:a16="http://schemas.microsoft.com/office/drawing/2014/main" id="{FF106ACA-7588-46A0-B34D-4A27B7231E03}"/>
                </a:ext>
              </a:extLst>
            </xdr:cNvPr>
            <xdr:cNvGraphicFramePr/>
          </xdr:nvGraphicFramePr>
          <xdr:xfrm>
            <a:off x="0" y="0"/>
            <a:ext cx="0" cy="0"/>
          </xdr:xfrm>
          <a:graphic>
            <a:graphicData uri="http://schemas.microsoft.com/office/drawing/2010/slicer">
              <sle:slicer xmlns:sle="http://schemas.microsoft.com/office/drawing/2010/slicer" name="appointment_status 1"/>
            </a:graphicData>
          </a:graphic>
        </xdr:graphicFrame>
      </mc:Choice>
      <mc:Fallback xmlns="">
        <xdr:sp macro="" textlink="">
          <xdr:nvSpPr>
            <xdr:cNvPr id="0" name=""/>
            <xdr:cNvSpPr>
              <a:spLocks noTextEdit="1"/>
            </xdr:cNvSpPr>
          </xdr:nvSpPr>
          <xdr:spPr>
            <a:xfrm>
              <a:off x="7917180" y="777241"/>
              <a:ext cx="2376000" cy="828000"/>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571500</xdr:colOff>
      <xdr:row>20</xdr:row>
      <xdr:rowOff>15240</xdr:rowOff>
    </xdr:from>
    <xdr:to>
      <xdr:col>15</xdr:col>
      <xdr:colOff>601980</xdr:colOff>
      <xdr:row>34</xdr:row>
      <xdr:rowOff>7620</xdr:rowOff>
    </xdr:to>
    <xdr:graphicFrame macro="">
      <xdr:nvGraphicFramePr>
        <xdr:cNvPr id="28" name="Chart 27">
          <a:extLst>
            <a:ext uri="{FF2B5EF4-FFF2-40B4-BE49-F238E27FC236}">
              <a16:creationId xmlns:a16="http://schemas.microsoft.com/office/drawing/2014/main" id="{B5CA3C0A-DC91-4542-AF6F-E37B4A23E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205740</xdr:colOff>
      <xdr:row>14</xdr:row>
      <xdr:rowOff>106680</xdr:rowOff>
    </xdr:from>
    <xdr:to>
      <xdr:col>11</xdr:col>
      <xdr:colOff>176940</xdr:colOff>
      <xdr:row>18</xdr:row>
      <xdr:rowOff>161640</xdr:rowOff>
    </xdr:to>
    <xdr:sp macro="" textlink="">
      <xdr:nvSpPr>
        <xdr:cNvPr id="30" name="Rectangle 29">
          <a:extLst>
            <a:ext uri="{FF2B5EF4-FFF2-40B4-BE49-F238E27FC236}">
              <a16:creationId xmlns:a16="http://schemas.microsoft.com/office/drawing/2014/main" id="{B4DABF86-5CAD-4F7A-9564-0F63D61F961B}"/>
            </a:ext>
          </a:extLst>
        </xdr:cNvPr>
        <xdr:cNvSpPr/>
      </xdr:nvSpPr>
      <xdr:spPr>
        <a:xfrm>
          <a:off x="5128260" y="2827020"/>
          <a:ext cx="1800000" cy="7560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altLang="zh-CN" sz="1100"/>
            <a:t>Top</a:t>
          </a:r>
          <a:r>
            <a:rPr lang="en-US" altLang="zh-CN" sz="1100" baseline="0"/>
            <a:t> Vistior Type</a:t>
          </a:r>
          <a:endParaRPr lang="zh-CN" altLang="en-US" sz="1100"/>
        </a:p>
      </xdr:txBody>
    </xdr:sp>
    <xdr:clientData/>
  </xdr:twoCellAnchor>
  <xdr:oneCellAnchor>
    <xdr:from>
      <xdr:col>8</xdr:col>
      <xdr:colOff>349540</xdr:colOff>
      <xdr:row>15</xdr:row>
      <xdr:rowOff>121920</xdr:rowOff>
    </xdr:from>
    <xdr:ext cx="1476046" cy="509178"/>
    <xdr:sp macro="" textlink="A9">
      <xdr:nvSpPr>
        <xdr:cNvPr id="31" name="TextBox 30">
          <a:extLst>
            <a:ext uri="{FF2B5EF4-FFF2-40B4-BE49-F238E27FC236}">
              <a16:creationId xmlns:a16="http://schemas.microsoft.com/office/drawing/2014/main" id="{DB1D96D3-9145-4888-A639-A1CFA94F4B62}"/>
            </a:ext>
          </a:extLst>
        </xdr:cNvPr>
        <xdr:cNvSpPr txBox="1"/>
      </xdr:nvSpPr>
      <xdr:spPr>
        <a:xfrm>
          <a:off x="5272060" y="3017520"/>
          <a:ext cx="1476046" cy="509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4B39E0D2-9618-4688-B486-9EE39E88E539}" type="TxLink">
            <a:rPr lang="en-US" altLang="en-US" sz="2400" b="1" i="0" u="none" strike="noStrike">
              <a:solidFill>
                <a:schemeClr val="tx1"/>
              </a:solidFill>
              <a:latin typeface="等线"/>
              <a:ea typeface="等线"/>
            </a:rPr>
            <a:t>Transient</a:t>
          </a:fld>
          <a:endParaRPr lang="zh-CN" altLang="en-US" sz="2400" b="1">
            <a:solidFill>
              <a:schemeClr val="tx1"/>
            </a:solidFill>
          </a:endParaRPr>
        </a:p>
      </xdr:txBody>
    </xdr:sp>
    <xdr:clientData/>
  </xdr:oneCellAnchor>
  <xdr:twoCellAnchor>
    <xdr:from>
      <xdr:col>0</xdr:col>
      <xdr:colOff>464820</xdr:colOff>
      <xdr:row>49</xdr:row>
      <xdr:rowOff>167640</xdr:rowOff>
    </xdr:from>
    <xdr:to>
      <xdr:col>8</xdr:col>
      <xdr:colOff>15240</xdr:colOff>
      <xdr:row>65</xdr:row>
      <xdr:rowOff>106680</xdr:rowOff>
    </xdr:to>
    <xdr:graphicFrame macro="">
      <xdr:nvGraphicFramePr>
        <xdr:cNvPr id="32" name="Chart 31">
          <a:extLst>
            <a:ext uri="{FF2B5EF4-FFF2-40B4-BE49-F238E27FC236}">
              <a16:creationId xmlns:a16="http://schemas.microsoft.com/office/drawing/2014/main" id="{DD80CB16-70FF-4040-9873-03E8EEE22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441960</xdr:colOff>
      <xdr:row>49</xdr:row>
      <xdr:rowOff>152400</xdr:rowOff>
    </xdr:from>
    <xdr:to>
      <xdr:col>16</xdr:col>
      <xdr:colOff>137160</xdr:colOff>
      <xdr:row>65</xdr:row>
      <xdr:rowOff>91440</xdr:rowOff>
    </xdr:to>
    <xdr:graphicFrame macro="">
      <xdr:nvGraphicFramePr>
        <xdr:cNvPr id="34" name="Chart 33">
          <a:extLst>
            <a:ext uri="{FF2B5EF4-FFF2-40B4-BE49-F238E27FC236}">
              <a16:creationId xmlns:a16="http://schemas.microsoft.com/office/drawing/2014/main" id="{8A43C512-9B96-42AB-890C-7DD6BDEA6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g Wang" refreshedDate="46232.547393865738" createdVersion="8" refreshedVersion="8" minRefreshableVersion="3" recordCount="1000" xr:uid="{098C1349-FFDA-4A7E-B87B-7C5695FC5362}">
  <cacheSource type="worksheet">
    <worksheetSource name="Table2"/>
  </cacheSource>
  <cacheFields count="32">
    <cacheField name="office_location" numFmtId="0">
      <sharedItems count="2">
        <s v="Branch Office"/>
        <s v="Head Office"/>
      </sharedItems>
    </cacheField>
    <cacheField name="appointment_cancelled" numFmtId="0">
      <sharedItems containsSemiMixedTypes="0" containsString="0" containsNumber="1" containsInteger="1" minValue="0" maxValue="1" count="2">
        <n v="1"/>
        <n v="0"/>
      </sharedItems>
    </cacheField>
    <cacheField name="days_before_appointment" numFmtId="0">
      <sharedItems containsSemiMixedTypes="0" containsString="0" containsNumber="1" containsInteger="1" minValue="0" maxValue="594"/>
    </cacheField>
    <cacheField name="appointment_year" numFmtId="0">
      <sharedItems containsSemiMixedTypes="0" containsString="0" containsNumber="1" containsInteger="1" minValue="2015" maxValue="2017"/>
    </cacheField>
    <cacheField name="appointment_month" numFmtId="0">
      <sharedItems count="12">
        <s v="July"/>
        <s v="October"/>
        <s v="September"/>
        <s v="December"/>
        <s v="August"/>
        <s v="November"/>
        <s v="March"/>
        <s v="May"/>
        <s v="January"/>
        <s v="February"/>
        <s v="June"/>
        <s v="April"/>
      </sharedItems>
    </cacheField>
    <cacheField name="arrival_date_week_number" numFmtId="0">
      <sharedItems containsSemiMixedTypes="0" containsString="0" containsNumber="1" containsInteger="1" minValue="1" maxValue="53"/>
    </cacheField>
    <cacheField name="appointment_day" numFmtId="0">
      <sharedItems containsSemiMixedTypes="0" containsString="0" containsNumber="1" containsInteger="1" minValue="1" maxValue="31"/>
    </cacheField>
    <cacheField name="stays_in_weekend_nights" numFmtId="0">
      <sharedItems containsSemiMixedTypes="0" containsString="0" containsNumber="1" containsInteger="1" minValue="0" maxValue="6"/>
    </cacheField>
    <cacheField name="stays_in_week_nights" numFmtId="0">
      <sharedItems containsSemiMixedTypes="0" containsString="0" containsNumber="1" containsInteger="1" minValue="0" maxValue="15"/>
    </cacheField>
    <cacheField name="visitors" numFmtId="0">
      <sharedItems containsSemiMixedTypes="0" containsString="0" containsNumber="1" containsInteger="1" minValue="0" maxValue="4"/>
    </cacheField>
    <cacheField name="additional_visitors" numFmtId="0">
      <sharedItems containsSemiMixedTypes="0" containsString="0" containsNumber="1" containsInteger="1" minValue="0" maxValue="2"/>
    </cacheField>
    <cacheField name="babies" numFmtId="0">
      <sharedItems containsSemiMixedTypes="0" containsString="0" containsNumber="1" containsInteger="1" minValue="0" maxValue="1"/>
    </cacheField>
    <cacheField name="meal" numFmtId="0">
      <sharedItems/>
    </cacheField>
    <cacheField name="visitor_country" numFmtId="0">
      <sharedItems containsBlank="1"/>
    </cacheField>
    <cacheField name="visitor_source" numFmtId="0">
      <sharedItems/>
    </cacheField>
    <cacheField name="appointment_channel" numFmtId="0">
      <sharedItems count="4">
        <s v="TA/TO"/>
        <s v="Corporate"/>
        <s v="Direct"/>
        <s v="GDS"/>
      </sharedItems>
    </cacheField>
    <cacheField name="is_repeated_guest" numFmtId="0">
      <sharedItems containsSemiMixedTypes="0" containsString="0" containsNumber="1" containsInteger="1" minValue="0" maxValue="1"/>
    </cacheField>
    <cacheField name="previous_cancellations" numFmtId="0">
      <sharedItems containsSemiMixedTypes="0" containsString="0" containsNumber="1" containsInteger="1" minValue="0" maxValue="26"/>
    </cacheField>
    <cacheField name="previous_bookings_not_canceled" numFmtId="0">
      <sharedItems containsSemiMixedTypes="0" containsString="0" containsNumber="1" containsInteger="1" minValue="0" maxValue="46"/>
    </cacheField>
    <cacheField name="reserved_meeting_room" numFmtId="0">
      <sharedItems/>
    </cacheField>
    <cacheField name="assigned_meeting_room" numFmtId="0">
      <sharedItems/>
    </cacheField>
    <cacheField name="appointment_changes" numFmtId="0">
      <sharedItems containsSemiMixedTypes="0" containsString="0" containsNumber="1" containsInteger="1" minValue="0" maxValue="13"/>
    </cacheField>
    <cacheField name="deposit_type" numFmtId="0">
      <sharedItems/>
    </cacheField>
    <cacheField name="agent" numFmtId="0">
      <sharedItems containsString="0" containsBlank="1" containsNumber="1" containsInteger="1" minValue="1" maxValue="495"/>
    </cacheField>
    <cacheField name="company" numFmtId="0">
      <sharedItems containsString="0" containsBlank="1" containsNumber="1" containsInteger="1" minValue="38" maxValue="498"/>
    </cacheField>
    <cacheField name="days_in_waiting_list" numFmtId="0">
      <sharedItems containsSemiMixedTypes="0" containsString="0" containsNumber="1" containsInteger="1" minValue="0" maxValue="391"/>
    </cacheField>
    <cacheField name="visitor_type" numFmtId="0">
      <sharedItems count="4">
        <s v="Transient"/>
        <s v="Transient-Party"/>
        <s v="Contract"/>
        <s v="Group"/>
      </sharedItems>
    </cacheField>
    <cacheField name="meeting_cost" numFmtId="0">
      <sharedItems containsSemiMixedTypes="0" containsString="0" containsNumber="1" minValue="0" maxValue="314.67" count="452">
        <n v="76.5"/>
        <n v="109"/>
        <n v="80"/>
        <n v="57.29"/>
        <n v="60"/>
        <n v="140"/>
        <n v="62"/>
        <n v="0"/>
        <n v="80.75"/>
        <n v="65"/>
        <n v="70"/>
        <n v="72.5"/>
        <n v="101.5"/>
        <n v="90"/>
        <n v="61.2"/>
        <n v="58.95"/>
        <n v="111.2"/>
        <n v="66"/>
        <n v="94.5"/>
        <n v="47.54"/>
        <n v="153"/>
        <n v="48"/>
        <n v="193"/>
        <n v="62.8"/>
        <n v="55.4"/>
        <n v="100"/>
        <n v="35"/>
        <n v="113"/>
        <n v="89.25"/>
        <n v="67.5"/>
        <n v="44.1"/>
        <n v="94"/>
        <n v="92"/>
        <n v="118.17"/>
        <n v="170"/>
        <n v="47"/>
        <n v="90.95"/>
        <n v="86"/>
        <n v="50"/>
        <n v="37"/>
        <n v="95.81"/>
        <n v="151.22999999999999"/>
        <n v="115"/>
        <n v="95.96"/>
        <n v="137"/>
        <n v="75"/>
        <n v="54.4"/>
        <n v="112.2"/>
        <n v="68"/>
        <n v="199"/>
        <n v="123"/>
        <n v="122"/>
        <n v="45"/>
        <n v="83.33"/>
        <n v="98"/>
        <n v="169"/>
        <n v="134"/>
        <n v="105"/>
        <n v="130"/>
        <n v="48.2"/>
        <n v="168.57"/>
        <n v="64"/>
        <n v="110.7"/>
        <n v="108"/>
        <n v="178.33"/>
        <n v="118.5"/>
        <n v="73"/>
        <n v="50.4"/>
        <n v="56.52"/>
        <n v="172"/>
        <n v="224.67"/>
        <n v="74"/>
        <n v="49.07"/>
        <n v="38.4"/>
        <n v="73.75"/>
        <n v="173"/>
        <n v="114"/>
        <n v="97.02"/>
        <n v="40"/>
        <n v="116"/>
        <n v="47.6"/>
        <n v="64.150000000000006"/>
        <n v="113.6"/>
        <n v="71.69"/>
        <n v="82"/>
        <n v="81"/>
        <n v="54.99"/>
        <n v="145"/>
        <n v="112"/>
        <n v="85"/>
        <n v="154.5"/>
        <n v="36"/>
        <n v="56"/>
        <n v="83"/>
        <n v="81.900000000000006"/>
        <n v="73.510000000000005"/>
        <n v="124"/>
        <n v="79"/>
        <n v="30.5"/>
        <n v="85.67"/>
        <n v="136"/>
        <n v="66.64"/>
        <n v="68.739999999999995"/>
        <n v="127"/>
        <n v="74.599999999999994"/>
        <n v="71.260000000000005"/>
        <n v="94.24"/>
        <n v="58"/>
        <n v="90.1"/>
        <n v="78.099999999999994"/>
        <n v="106.2"/>
        <n v="80.8"/>
        <n v="97"/>
        <n v="77.290000000000006"/>
        <n v="114.5"/>
        <n v="53.38"/>
        <n v="112.9"/>
        <n v="185.57"/>
        <n v="66.8"/>
        <n v="95"/>
        <n v="67.44"/>
        <n v="54.8"/>
        <n v="149.68"/>
        <n v="91.85"/>
        <n v="99.45"/>
        <n v="46"/>
        <n v="123.33"/>
        <n v="90.3"/>
        <n v="126"/>
        <n v="168.3"/>
        <n v="79.900000000000006"/>
        <n v="110.15"/>
        <n v="192.73"/>
        <n v="85.5"/>
        <n v="78"/>
        <n v="107"/>
        <n v="64.8"/>
        <n v="159.30000000000001"/>
        <n v="89"/>
        <n v="42.69"/>
        <n v="133.58000000000001"/>
        <n v="38.22"/>
        <n v="129"/>
        <n v="118.8"/>
        <n v="150"/>
        <n v="97.33"/>
        <n v="84"/>
        <n v="36.04"/>
        <n v="33.299999999999997"/>
        <n v="100.8"/>
        <n v="67"/>
        <n v="153.03"/>
        <n v="164.25"/>
        <n v="118"/>
        <n v="89.75"/>
        <n v="88"/>
        <n v="126.9"/>
        <n v="69.36"/>
        <n v="142.19999999999999"/>
        <n v="103.5"/>
        <n v="73.8"/>
        <n v="117.9"/>
        <n v="72"/>
        <n v="79.8"/>
        <n v="134.30000000000001"/>
        <n v="87"/>
        <n v="52"/>
        <n v="54"/>
        <n v="76.22"/>
        <n v="120"/>
        <n v="2"/>
        <n v="74.8"/>
        <n v="60.3"/>
        <n v="194"/>
        <n v="79.150000000000006"/>
        <n v="106.68"/>
        <n v="75.95"/>
        <n v="272.7"/>
        <n v="105.3"/>
        <n v="95.13"/>
        <n v="149"/>
        <n v="52.2"/>
        <n v="84.6"/>
        <n v="59"/>
        <n v="114.75"/>
        <n v="150.30000000000001"/>
        <n v="114.3"/>
        <n v="111.6"/>
        <n v="99"/>
        <n v="100.5"/>
        <n v="101"/>
        <n v="138"/>
        <n v="84.95"/>
        <n v="105.6"/>
        <n v="72.8"/>
        <n v="174.67"/>
        <n v="71.2"/>
        <n v="177"/>
        <n v="92.25"/>
        <n v="110"/>
        <n v="121.83"/>
        <n v="131.4"/>
        <n v="171.9"/>
        <n v="149.4"/>
        <n v="116.1"/>
        <n v="96.76"/>
        <n v="108.11"/>
        <n v="166.25"/>
        <n v="66.180000000000007"/>
        <n v="35.15"/>
        <n v="79.2"/>
        <n v="187"/>
        <n v="139"/>
        <n v="128"/>
        <n v="108.38"/>
        <n v="54.5"/>
        <n v="99.9"/>
        <n v="125.4"/>
        <n v="169.2"/>
        <n v="151"/>
        <n v="152.1"/>
        <n v="119"/>
        <n v="37.799999999999997"/>
        <n v="152.19999999999999"/>
        <n v="121.01"/>
        <n v="88.4"/>
        <n v="135.66999999999999"/>
        <n v="187.25"/>
        <n v="108.68"/>
        <n v="191.58"/>
        <n v="147"/>
        <n v="37.4"/>
        <n v="144.5"/>
        <n v="167.45"/>
        <n v="129.65"/>
        <n v="27.5"/>
        <n v="192.86"/>
        <n v="152"/>
        <n v="55"/>
        <n v="69.7"/>
        <n v="25"/>
        <n v="200"/>
        <n v="41.4"/>
        <n v="201"/>
        <n v="129.33000000000001"/>
        <n v="72.900000000000006"/>
        <n v="135"/>
        <n v="119.85"/>
        <n v="84.58"/>
        <n v="163"/>
        <n v="68.25"/>
        <n v="69"/>
        <n v="88.2"/>
        <n v="30"/>
        <n v="130.5"/>
        <n v="73.95"/>
        <n v="43.43"/>
        <n v="226.95"/>
        <n v="85.33"/>
        <n v="76"/>
        <n v="8"/>
        <n v="100.87"/>
        <n v="46.07"/>
        <n v="162.9"/>
        <n v="194.33"/>
        <n v="104"/>
        <n v="121.47"/>
        <n v="106"/>
        <n v="83.58"/>
        <n v="81.09"/>
        <n v="253.5"/>
        <n v="152.6"/>
        <n v="146"/>
        <n v="72.25"/>
        <n v="123.25"/>
        <n v="69.22"/>
        <n v="119.4"/>
        <n v="89.1"/>
        <n v="159"/>
        <n v="112.03"/>
        <n v="73.900000000000006"/>
        <n v="53.1"/>
        <n v="120.5"/>
        <n v="74.930000000000007"/>
        <n v="105.83"/>
        <n v="86.5"/>
        <n v="57.64"/>
        <n v="96.3"/>
        <n v="96.23"/>
        <n v="274"/>
        <n v="170.1"/>
        <n v="96"/>
        <n v="159.5"/>
        <n v="75.81"/>
        <n v="78.3"/>
        <n v="73.5"/>
        <n v="86.63"/>
        <n v="219.6"/>
        <n v="160.80000000000001"/>
        <n v="189.9"/>
        <n v="161"/>
        <n v="95.69"/>
        <n v="194.29"/>
        <n v="162"/>
        <n v="70.44"/>
        <n v="97.55"/>
        <n v="160"/>
        <n v="143.69999999999999"/>
        <n v="141.33000000000001"/>
        <n v="99.33"/>
        <n v="189.86"/>
        <n v="124.5"/>
        <n v="43"/>
        <n v="143"/>
        <n v="95.75"/>
        <n v="73.33"/>
        <n v="57.5"/>
        <n v="158.66999999999999"/>
        <n v="108.42"/>
        <n v="108.45"/>
        <n v="77.86"/>
        <n v="107.1"/>
        <n v="127.67"/>
        <n v="75.23"/>
        <n v="104.85"/>
        <n v="252"/>
        <n v="42.19"/>
        <n v="88.84"/>
        <n v="198.5"/>
        <n v="102.3"/>
        <n v="82.45"/>
        <n v="175.65"/>
        <n v="48.5"/>
        <n v="99.1"/>
        <n v="102.9"/>
        <n v="131"/>
        <n v="139.5"/>
        <n v="98.1"/>
        <n v="148"/>
        <n v="78.349999999999994"/>
        <n v="165.6"/>
        <n v="156.66999999999999"/>
        <n v="57"/>
        <n v="179.1"/>
        <n v="172.8"/>
        <n v="212"/>
        <n v="125.1"/>
        <n v="86.85"/>
        <n v="102.1"/>
        <n v="144"/>
        <n v="187.24"/>
        <n v="112.67"/>
        <n v="117"/>
        <n v="123.3"/>
        <n v="84.15"/>
        <n v="109.8"/>
        <n v="163.80000000000001"/>
        <n v="52.4"/>
        <n v="125"/>
        <n v="93.6"/>
        <n v="211.25"/>
        <n v="29"/>
        <n v="147.5"/>
        <n v="230"/>
        <n v="98.88"/>
        <n v="93.38"/>
        <n v="80.099999999999994"/>
        <n v="204.3"/>
        <n v="117.6"/>
        <n v="274.45"/>
        <n v="100.3"/>
        <n v="91.1"/>
        <n v="189"/>
        <n v="185.25"/>
        <n v="198"/>
        <n v="184.29"/>
        <n v="39.6"/>
        <n v="214"/>
        <n v="91.8"/>
        <n v="113.1"/>
        <n v="132.86000000000001"/>
        <n v="153.5"/>
        <n v="294"/>
        <n v="305"/>
        <n v="234.5"/>
        <n v="146.16"/>
        <n v="132.6"/>
        <n v="113.29"/>
        <n v="142"/>
        <n v="30.99"/>
        <n v="51"/>
        <n v="195"/>
        <n v="172.5"/>
        <n v="52.43"/>
        <n v="95.4"/>
        <n v="190"/>
        <n v="314.67"/>
        <n v="132.75"/>
        <n v="93"/>
        <n v="157.5"/>
        <n v="57.6"/>
        <n v="146.25"/>
        <n v="121.77"/>
        <n v="133.33000000000001"/>
        <n v="225"/>
        <n v="106.5"/>
        <n v="151.58000000000001"/>
        <n v="83.16"/>
        <n v="153.75"/>
        <n v="184.5"/>
        <n v="166.5"/>
        <n v="127.8"/>
        <n v="84.8"/>
        <n v="122.4"/>
        <n v="121.33"/>
        <n v="48.05"/>
        <n v="97.2"/>
        <n v="52.55"/>
        <n v="207"/>
        <n v="250"/>
        <n v="237.5"/>
        <n v="220"/>
        <n v="141"/>
        <n v="216.67"/>
        <n v="34"/>
        <n v="78.94"/>
        <n v="95.7"/>
        <n v="129.5"/>
        <n v="50.96"/>
        <n v="77"/>
        <n v="71.099999999999994"/>
        <n v="115.2"/>
        <n v="118.4"/>
        <n v="98.4"/>
        <n v="95.1"/>
        <n v="110.5"/>
        <n v="200.7"/>
        <n v="138.02000000000001"/>
        <n v="106.35"/>
        <n v="63"/>
        <n v="63.95"/>
        <n v="127.5"/>
        <n v="76.23"/>
        <n v="158"/>
        <n v="224.1"/>
        <n v="92.98"/>
        <n v="26.64"/>
        <n v="137.25"/>
        <n v="114.4"/>
        <n v="191.67"/>
        <n v="115.8"/>
        <n v="79.5"/>
      </sharedItems>
    </cacheField>
    <cacheField name="required_car_parking_spaces" numFmtId="0">
      <sharedItems containsSemiMixedTypes="0" containsString="0" containsNumber="1" containsInteger="1" minValue="0" maxValue="1"/>
    </cacheField>
    <cacheField name="total_of_special_requests" numFmtId="0">
      <sharedItems containsSemiMixedTypes="0" containsString="0" containsNumber="1" containsInteger="1" minValue="0" maxValue="4"/>
    </cacheField>
    <cacheField name="appointment_status" numFmtId="0">
      <sharedItems count="3">
        <s v="Canceled"/>
        <s v="Check-Out"/>
        <s v="No-Show"/>
      </sharedItems>
    </cacheField>
    <cacheField name="appointment_status_date" numFmtId="14">
      <sharedItems containsSemiMixedTypes="0" containsNonDate="0" containsDate="1" containsString="0" minDate="2014-10-17T00:00:00" maxDate="2017-09-05T00:00:00"/>
    </cacheField>
  </cacheFields>
  <extLst>
    <ext xmlns:x14="http://schemas.microsoft.com/office/spreadsheetml/2009/9/main" uri="{725AE2AE-9491-48be-B2B4-4EB974FC3084}">
      <x14:pivotCacheDefinition pivotCacheId="647305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82"/>
    <n v="2015"/>
    <x v="0"/>
    <n v="29"/>
    <n v="16"/>
    <n v="0"/>
    <n v="3"/>
    <n v="2"/>
    <n v="0"/>
    <n v="0"/>
    <s v="BB"/>
    <s v="PRT"/>
    <s v="Online TA"/>
    <x v="0"/>
    <n v="0"/>
    <n v="0"/>
    <n v="0"/>
    <s v="A"/>
    <s v="A"/>
    <n v="0"/>
    <s v="No Deposit"/>
    <n v="9"/>
    <m/>
    <n v="0"/>
    <x v="0"/>
    <x v="0"/>
    <n v="0"/>
    <n v="0"/>
    <x v="0"/>
    <d v="2015-07-16T00:00:00"/>
  </r>
  <r>
    <x v="0"/>
    <x v="1"/>
    <n v="102"/>
    <n v="2015"/>
    <x v="1"/>
    <n v="42"/>
    <n v="16"/>
    <n v="0"/>
    <n v="2"/>
    <n v="2"/>
    <n v="0"/>
    <n v="0"/>
    <s v="HB"/>
    <s v="DEU"/>
    <s v="Offline TA/TO"/>
    <x v="0"/>
    <n v="0"/>
    <n v="0"/>
    <n v="0"/>
    <s v="A"/>
    <s v="D"/>
    <n v="0"/>
    <s v="No Deposit"/>
    <n v="6"/>
    <m/>
    <n v="0"/>
    <x v="1"/>
    <x v="1"/>
    <n v="0"/>
    <n v="0"/>
    <x v="1"/>
    <d v="2015-10-18T00:00:00"/>
  </r>
  <r>
    <x v="1"/>
    <x v="1"/>
    <n v="222"/>
    <n v="2015"/>
    <x v="2"/>
    <n v="38"/>
    <n v="14"/>
    <n v="1"/>
    <n v="1"/>
    <n v="2"/>
    <n v="0"/>
    <n v="0"/>
    <s v="HB"/>
    <s v="ESP"/>
    <s v="Groups"/>
    <x v="0"/>
    <n v="0"/>
    <n v="0"/>
    <n v="0"/>
    <s v="A"/>
    <s v="A"/>
    <n v="0"/>
    <s v="No Deposit"/>
    <n v="68"/>
    <m/>
    <n v="0"/>
    <x v="0"/>
    <x v="2"/>
    <n v="0"/>
    <n v="0"/>
    <x v="1"/>
    <d v="2015-09-16T00:00:00"/>
  </r>
  <r>
    <x v="1"/>
    <x v="1"/>
    <n v="79"/>
    <n v="2015"/>
    <x v="3"/>
    <n v="52"/>
    <n v="24"/>
    <n v="2"/>
    <n v="5"/>
    <n v="2"/>
    <n v="0"/>
    <n v="0"/>
    <s v="HB"/>
    <s v="GBR"/>
    <s v="Offline TA/TO"/>
    <x v="0"/>
    <n v="0"/>
    <n v="0"/>
    <n v="0"/>
    <s v="A"/>
    <s v="A"/>
    <n v="0"/>
    <s v="No Deposit"/>
    <n v="156"/>
    <m/>
    <n v="0"/>
    <x v="0"/>
    <x v="3"/>
    <n v="0"/>
    <n v="2"/>
    <x v="1"/>
    <d v="2015-12-31T00:00:00"/>
  </r>
  <r>
    <x v="0"/>
    <x v="0"/>
    <n v="239"/>
    <n v="2015"/>
    <x v="1"/>
    <n v="42"/>
    <n v="17"/>
    <n v="0"/>
    <n v="1"/>
    <n v="2"/>
    <n v="0"/>
    <n v="0"/>
    <s v="BB"/>
    <s v="PRT"/>
    <s v="Groups"/>
    <x v="0"/>
    <n v="0"/>
    <n v="1"/>
    <n v="0"/>
    <s v="A"/>
    <s v="A"/>
    <n v="0"/>
    <s v="Non Refund"/>
    <n v="1"/>
    <m/>
    <n v="0"/>
    <x v="0"/>
    <x v="4"/>
    <n v="0"/>
    <n v="0"/>
    <x v="0"/>
    <d v="2015-08-17T00:00:00"/>
  </r>
  <r>
    <x v="0"/>
    <x v="0"/>
    <n v="97"/>
    <n v="2015"/>
    <x v="1"/>
    <n v="41"/>
    <n v="5"/>
    <n v="1"/>
    <n v="3"/>
    <n v="1"/>
    <n v="0"/>
    <n v="0"/>
    <s v="BB"/>
    <s v="PRT"/>
    <s v="Groups"/>
    <x v="0"/>
    <n v="0"/>
    <n v="0"/>
    <n v="0"/>
    <s v="A"/>
    <s v="A"/>
    <n v="0"/>
    <s v="Non Refund"/>
    <n v="29"/>
    <m/>
    <n v="0"/>
    <x v="0"/>
    <x v="5"/>
    <n v="0"/>
    <n v="0"/>
    <x v="0"/>
    <d v="2015-07-03T00:00:00"/>
  </r>
  <r>
    <x v="0"/>
    <x v="0"/>
    <n v="360"/>
    <n v="2015"/>
    <x v="1"/>
    <n v="42"/>
    <n v="12"/>
    <n v="1"/>
    <n v="1"/>
    <n v="2"/>
    <n v="0"/>
    <n v="0"/>
    <s v="BB"/>
    <s v="PRT"/>
    <s v="Groups"/>
    <x v="0"/>
    <n v="0"/>
    <n v="1"/>
    <n v="0"/>
    <s v="A"/>
    <s v="A"/>
    <n v="0"/>
    <s v="Non Refund"/>
    <n v="1"/>
    <m/>
    <n v="0"/>
    <x v="2"/>
    <x v="6"/>
    <n v="0"/>
    <n v="0"/>
    <x v="0"/>
    <d v="2015-01-01T00:00:00"/>
  </r>
  <r>
    <x v="1"/>
    <x v="1"/>
    <n v="165"/>
    <n v="2015"/>
    <x v="3"/>
    <n v="53"/>
    <n v="30"/>
    <n v="0"/>
    <n v="4"/>
    <n v="1"/>
    <n v="0"/>
    <n v="0"/>
    <s v="Undefined"/>
    <s v="PRT"/>
    <s v="Groups"/>
    <x v="0"/>
    <n v="0"/>
    <n v="0"/>
    <n v="0"/>
    <s v="A"/>
    <s v="A"/>
    <n v="0"/>
    <s v="No Deposit"/>
    <n v="308"/>
    <m/>
    <n v="122"/>
    <x v="1"/>
    <x v="7"/>
    <n v="0"/>
    <n v="0"/>
    <x v="1"/>
    <d v="2016-01-03T00:00:00"/>
  </r>
  <r>
    <x v="0"/>
    <x v="1"/>
    <n v="4"/>
    <n v="2015"/>
    <x v="4"/>
    <n v="35"/>
    <n v="25"/>
    <n v="0"/>
    <n v="4"/>
    <n v="2"/>
    <n v="0"/>
    <n v="0"/>
    <s v="BB"/>
    <s v="PRT"/>
    <s v="Groups"/>
    <x v="0"/>
    <n v="0"/>
    <n v="0"/>
    <n v="0"/>
    <s v="A"/>
    <s v="A"/>
    <n v="0"/>
    <s v="No Deposit"/>
    <n v="1"/>
    <m/>
    <n v="0"/>
    <x v="1"/>
    <x v="6"/>
    <n v="0"/>
    <n v="0"/>
    <x v="1"/>
    <d v="2015-08-29T00:00:00"/>
  </r>
  <r>
    <x v="0"/>
    <x v="1"/>
    <n v="237"/>
    <n v="2015"/>
    <x v="2"/>
    <n v="38"/>
    <n v="14"/>
    <n v="1"/>
    <n v="2"/>
    <n v="1"/>
    <n v="0"/>
    <n v="0"/>
    <s v="BB"/>
    <s v="DEU"/>
    <s v="Online TA"/>
    <x v="0"/>
    <n v="0"/>
    <n v="0"/>
    <n v="0"/>
    <s v="A"/>
    <s v="A"/>
    <n v="0"/>
    <s v="No Deposit"/>
    <n v="9"/>
    <m/>
    <n v="0"/>
    <x v="1"/>
    <x v="8"/>
    <n v="0"/>
    <n v="0"/>
    <x v="1"/>
    <d v="2015-09-17T00:00:00"/>
  </r>
  <r>
    <x v="0"/>
    <x v="1"/>
    <n v="21"/>
    <n v="2015"/>
    <x v="3"/>
    <n v="51"/>
    <n v="17"/>
    <n v="0"/>
    <n v="2"/>
    <n v="1"/>
    <n v="0"/>
    <n v="0"/>
    <s v="BB"/>
    <s v="PRT"/>
    <s v="Corporate"/>
    <x v="1"/>
    <n v="0"/>
    <n v="0"/>
    <n v="0"/>
    <s v="A"/>
    <s v="A"/>
    <n v="0"/>
    <s v="No Deposit"/>
    <m/>
    <n v="40"/>
    <n v="0"/>
    <x v="1"/>
    <x v="9"/>
    <n v="0"/>
    <n v="0"/>
    <x v="1"/>
    <d v="2015-12-19T00:00:00"/>
  </r>
  <r>
    <x v="0"/>
    <x v="0"/>
    <n v="160"/>
    <n v="2015"/>
    <x v="3"/>
    <n v="53"/>
    <n v="30"/>
    <n v="0"/>
    <n v="3"/>
    <n v="2"/>
    <n v="0"/>
    <n v="0"/>
    <s v="BB"/>
    <s v="PRT"/>
    <s v="Offline TA/TO"/>
    <x v="0"/>
    <n v="0"/>
    <n v="0"/>
    <n v="0"/>
    <s v="A"/>
    <s v="A"/>
    <n v="0"/>
    <s v="No Deposit"/>
    <n v="3"/>
    <m/>
    <n v="111"/>
    <x v="1"/>
    <x v="10"/>
    <n v="0"/>
    <n v="0"/>
    <x v="0"/>
    <d v="2015-12-23T00:00:00"/>
  </r>
  <r>
    <x v="0"/>
    <x v="0"/>
    <n v="274"/>
    <n v="2015"/>
    <x v="0"/>
    <n v="29"/>
    <n v="18"/>
    <n v="2"/>
    <n v="2"/>
    <n v="2"/>
    <n v="0"/>
    <n v="0"/>
    <s v="BB"/>
    <s v="PRT"/>
    <s v="Groups"/>
    <x v="0"/>
    <n v="0"/>
    <n v="1"/>
    <n v="0"/>
    <s v="A"/>
    <s v="A"/>
    <n v="0"/>
    <s v="No Deposit"/>
    <n v="1"/>
    <m/>
    <n v="0"/>
    <x v="1"/>
    <x v="6"/>
    <n v="0"/>
    <n v="0"/>
    <x v="0"/>
    <d v="2015-07-06T00:00:00"/>
  </r>
  <r>
    <x v="0"/>
    <x v="0"/>
    <n v="1"/>
    <n v="2015"/>
    <x v="3"/>
    <n v="53"/>
    <n v="29"/>
    <n v="0"/>
    <n v="4"/>
    <n v="2"/>
    <n v="0"/>
    <n v="1"/>
    <s v="BB"/>
    <s v="PRT"/>
    <s v="Groups"/>
    <x v="0"/>
    <n v="0"/>
    <n v="0"/>
    <n v="0"/>
    <s v="B"/>
    <s v="B"/>
    <n v="2"/>
    <s v="No Deposit"/>
    <n v="29"/>
    <m/>
    <n v="0"/>
    <x v="0"/>
    <x v="11"/>
    <n v="0"/>
    <n v="2"/>
    <x v="0"/>
    <d v="2015-12-29T00:00:00"/>
  </r>
  <r>
    <x v="0"/>
    <x v="0"/>
    <n v="364"/>
    <n v="2015"/>
    <x v="1"/>
    <n v="42"/>
    <n v="16"/>
    <n v="0"/>
    <n v="2"/>
    <n v="2"/>
    <n v="0"/>
    <n v="0"/>
    <s v="HB"/>
    <s v="PRT"/>
    <s v="Offline TA/TO"/>
    <x v="0"/>
    <n v="0"/>
    <n v="1"/>
    <n v="0"/>
    <s v="A"/>
    <s v="A"/>
    <n v="0"/>
    <s v="Non Refund"/>
    <n v="6"/>
    <m/>
    <n v="0"/>
    <x v="1"/>
    <x v="12"/>
    <n v="0"/>
    <n v="0"/>
    <x v="0"/>
    <d v="2015-07-06T00:00:00"/>
  </r>
  <r>
    <x v="0"/>
    <x v="0"/>
    <n v="25"/>
    <n v="2015"/>
    <x v="3"/>
    <n v="50"/>
    <n v="8"/>
    <n v="0"/>
    <n v="2"/>
    <n v="1"/>
    <n v="0"/>
    <n v="0"/>
    <s v="BB"/>
    <s v="PRT"/>
    <s v="Offline TA/TO"/>
    <x v="0"/>
    <n v="0"/>
    <n v="1"/>
    <n v="0"/>
    <s v="A"/>
    <s v="A"/>
    <n v="0"/>
    <s v="Non Refund"/>
    <n v="19"/>
    <m/>
    <n v="0"/>
    <x v="0"/>
    <x v="13"/>
    <n v="0"/>
    <n v="0"/>
    <x v="0"/>
    <d v="2015-11-17T00:00:00"/>
  </r>
  <r>
    <x v="1"/>
    <x v="1"/>
    <n v="164"/>
    <n v="2015"/>
    <x v="5"/>
    <n v="46"/>
    <n v="9"/>
    <n v="2"/>
    <n v="5"/>
    <n v="2"/>
    <n v="0"/>
    <n v="0"/>
    <s v="HB"/>
    <s v="FRA"/>
    <s v="Online TA"/>
    <x v="0"/>
    <n v="0"/>
    <n v="0"/>
    <n v="0"/>
    <s v="A"/>
    <s v="D"/>
    <n v="0"/>
    <s v="No Deposit"/>
    <n v="240"/>
    <m/>
    <n v="0"/>
    <x v="0"/>
    <x v="14"/>
    <n v="1"/>
    <n v="0"/>
    <x v="1"/>
    <d v="2015-11-16T00:00:00"/>
  </r>
  <r>
    <x v="1"/>
    <x v="0"/>
    <n v="246"/>
    <n v="2015"/>
    <x v="2"/>
    <n v="36"/>
    <n v="5"/>
    <n v="2"/>
    <n v="5"/>
    <n v="2"/>
    <n v="0"/>
    <n v="0"/>
    <s v="BB"/>
    <m/>
    <s v="Offline TA/TO"/>
    <x v="0"/>
    <n v="0"/>
    <n v="1"/>
    <n v="0"/>
    <s v="A"/>
    <s v="A"/>
    <n v="0"/>
    <s v="No Deposit"/>
    <n v="96"/>
    <m/>
    <n v="0"/>
    <x v="1"/>
    <x v="15"/>
    <n v="0"/>
    <n v="0"/>
    <x v="0"/>
    <d v="2015-06-17T00:00:00"/>
  </r>
  <r>
    <x v="0"/>
    <x v="0"/>
    <n v="98"/>
    <n v="2015"/>
    <x v="5"/>
    <n v="48"/>
    <n v="23"/>
    <n v="1"/>
    <n v="2"/>
    <n v="1"/>
    <n v="0"/>
    <n v="0"/>
    <s v="BB"/>
    <s v="PRT"/>
    <s v="Groups"/>
    <x v="0"/>
    <n v="0"/>
    <n v="0"/>
    <n v="0"/>
    <s v="A"/>
    <s v="A"/>
    <n v="0"/>
    <s v="No Deposit"/>
    <n v="37"/>
    <m/>
    <n v="0"/>
    <x v="1"/>
    <x v="10"/>
    <n v="0"/>
    <n v="0"/>
    <x v="2"/>
    <d v="2015-11-23T00:00:00"/>
  </r>
  <r>
    <x v="0"/>
    <x v="0"/>
    <n v="292"/>
    <n v="2015"/>
    <x v="4"/>
    <n v="32"/>
    <n v="5"/>
    <n v="0"/>
    <n v="2"/>
    <n v="2"/>
    <n v="0"/>
    <n v="0"/>
    <s v="BB"/>
    <s v="PRT"/>
    <s v="Groups"/>
    <x v="0"/>
    <n v="0"/>
    <n v="1"/>
    <n v="0"/>
    <s v="A"/>
    <s v="A"/>
    <n v="0"/>
    <s v="Non Refund"/>
    <n v="1"/>
    <m/>
    <n v="0"/>
    <x v="1"/>
    <x v="6"/>
    <n v="0"/>
    <n v="0"/>
    <x v="0"/>
    <d v="2015-07-02T00:00:00"/>
  </r>
  <r>
    <x v="1"/>
    <x v="0"/>
    <n v="49"/>
    <n v="2015"/>
    <x v="0"/>
    <n v="30"/>
    <n v="20"/>
    <n v="3"/>
    <n v="6"/>
    <n v="2"/>
    <n v="0"/>
    <n v="0"/>
    <s v="FB"/>
    <s v="PRT"/>
    <s v="Offline TA/TO"/>
    <x v="0"/>
    <n v="0"/>
    <n v="0"/>
    <n v="0"/>
    <s v="D"/>
    <s v="D"/>
    <n v="0"/>
    <s v="No Deposit"/>
    <n v="15"/>
    <m/>
    <n v="0"/>
    <x v="0"/>
    <x v="16"/>
    <n v="0"/>
    <n v="0"/>
    <x v="0"/>
    <d v="2015-06-01T00:00:00"/>
  </r>
  <r>
    <x v="0"/>
    <x v="0"/>
    <n v="379"/>
    <n v="2015"/>
    <x v="1"/>
    <n v="44"/>
    <n v="31"/>
    <n v="1"/>
    <n v="1"/>
    <n v="2"/>
    <n v="0"/>
    <n v="0"/>
    <s v="BB"/>
    <s v="PRT"/>
    <s v="Groups"/>
    <x v="0"/>
    <n v="0"/>
    <n v="1"/>
    <n v="0"/>
    <s v="A"/>
    <s v="A"/>
    <n v="0"/>
    <s v="Non Refund"/>
    <n v="1"/>
    <m/>
    <n v="0"/>
    <x v="0"/>
    <x v="6"/>
    <n v="0"/>
    <n v="0"/>
    <x v="0"/>
    <d v="2015-07-23T00:00:00"/>
  </r>
  <r>
    <x v="0"/>
    <x v="1"/>
    <n v="4"/>
    <n v="2015"/>
    <x v="4"/>
    <n v="33"/>
    <n v="11"/>
    <n v="0"/>
    <n v="5"/>
    <n v="2"/>
    <n v="0"/>
    <n v="0"/>
    <s v="BB"/>
    <s v="FRA"/>
    <s v="Online TA"/>
    <x v="0"/>
    <n v="0"/>
    <n v="0"/>
    <n v="0"/>
    <s v="A"/>
    <s v="A"/>
    <n v="0"/>
    <s v="No Deposit"/>
    <n v="9"/>
    <m/>
    <n v="0"/>
    <x v="2"/>
    <x v="13"/>
    <n v="0"/>
    <n v="2"/>
    <x v="1"/>
    <d v="2015-08-16T00:00:00"/>
  </r>
  <r>
    <x v="1"/>
    <x v="1"/>
    <n v="1"/>
    <n v="2015"/>
    <x v="1"/>
    <n v="42"/>
    <n v="13"/>
    <n v="0"/>
    <n v="1"/>
    <n v="2"/>
    <n v="0"/>
    <n v="0"/>
    <s v="BB"/>
    <s v="USA"/>
    <s v="Online TA"/>
    <x v="0"/>
    <n v="0"/>
    <n v="0"/>
    <n v="0"/>
    <s v="D"/>
    <s v="D"/>
    <n v="1"/>
    <s v="No Deposit"/>
    <n v="240"/>
    <m/>
    <n v="0"/>
    <x v="0"/>
    <x v="17"/>
    <n v="0"/>
    <n v="1"/>
    <x v="1"/>
    <d v="2015-10-14T00:00:00"/>
  </r>
  <r>
    <x v="0"/>
    <x v="1"/>
    <n v="53"/>
    <n v="2015"/>
    <x v="1"/>
    <n v="41"/>
    <n v="9"/>
    <n v="1"/>
    <n v="2"/>
    <n v="2"/>
    <n v="0"/>
    <n v="0"/>
    <s v="BB"/>
    <s v="GBR"/>
    <s v="Online TA"/>
    <x v="0"/>
    <n v="0"/>
    <n v="0"/>
    <n v="0"/>
    <s v="A"/>
    <s v="A"/>
    <n v="0"/>
    <s v="No Deposit"/>
    <n v="9"/>
    <m/>
    <n v="0"/>
    <x v="2"/>
    <x v="18"/>
    <n v="0"/>
    <n v="0"/>
    <x v="1"/>
    <d v="2015-10-12T00:00:00"/>
  </r>
  <r>
    <x v="1"/>
    <x v="0"/>
    <n v="260"/>
    <n v="2015"/>
    <x v="3"/>
    <n v="52"/>
    <n v="20"/>
    <n v="4"/>
    <n v="9"/>
    <n v="1"/>
    <n v="0"/>
    <n v="0"/>
    <s v="BB"/>
    <s v="PRT"/>
    <s v="Online TA"/>
    <x v="0"/>
    <n v="0"/>
    <n v="0"/>
    <n v="0"/>
    <s v="D"/>
    <s v="D"/>
    <n v="0"/>
    <s v="No Deposit"/>
    <n v="240"/>
    <m/>
    <n v="0"/>
    <x v="0"/>
    <x v="19"/>
    <n v="0"/>
    <n v="1"/>
    <x v="0"/>
    <d v="2015-08-24T00:00:00"/>
  </r>
  <r>
    <x v="0"/>
    <x v="1"/>
    <n v="1"/>
    <n v="2015"/>
    <x v="4"/>
    <n v="33"/>
    <n v="9"/>
    <n v="1"/>
    <n v="0"/>
    <n v="2"/>
    <n v="2"/>
    <n v="0"/>
    <s v="BB"/>
    <s v="PRT"/>
    <s v="Online TA"/>
    <x v="0"/>
    <n v="0"/>
    <n v="0"/>
    <n v="0"/>
    <s v="F"/>
    <s v="F"/>
    <n v="0"/>
    <s v="No Deposit"/>
    <n v="9"/>
    <m/>
    <n v="0"/>
    <x v="0"/>
    <x v="20"/>
    <n v="0"/>
    <n v="2"/>
    <x v="1"/>
    <d v="2015-08-10T00:00:00"/>
  </r>
  <r>
    <x v="0"/>
    <x v="0"/>
    <n v="97"/>
    <n v="2015"/>
    <x v="1"/>
    <n v="41"/>
    <n v="5"/>
    <n v="1"/>
    <n v="3"/>
    <n v="1"/>
    <n v="0"/>
    <n v="0"/>
    <s v="BB"/>
    <s v="PRT"/>
    <s v="Groups"/>
    <x v="0"/>
    <n v="0"/>
    <n v="0"/>
    <n v="0"/>
    <s v="A"/>
    <s v="A"/>
    <n v="0"/>
    <s v="Non Refund"/>
    <n v="29"/>
    <m/>
    <n v="0"/>
    <x v="0"/>
    <x v="5"/>
    <n v="0"/>
    <n v="0"/>
    <x v="0"/>
    <d v="2015-07-03T00:00:00"/>
  </r>
  <r>
    <x v="1"/>
    <x v="1"/>
    <n v="2"/>
    <n v="2015"/>
    <x v="1"/>
    <n v="41"/>
    <n v="9"/>
    <n v="0"/>
    <n v="1"/>
    <n v="1"/>
    <n v="0"/>
    <n v="0"/>
    <s v="BB"/>
    <s v="PRT"/>
    <s v="Groups"/>
    <x v="1"/>
    <n v="0"/>
    <n v="0"/>
    <n v="1"/>
    <s v="A"/>
    <s v="D"/>
    <n v="0"/>
    <s v="No Deposit"/>
    <m/>
    <n v="86"/>
    <n v="0"/>
    <x v="0"/>
    <x v="21"/>
    <n v="0"/>
    <n v="0"/>
    <x v="1"/>
    <d v="2015-10-10T00:00:00"/>
  </r>
  <r>
    <x v="1"/>
    <x v="1"/>
    <n v="8"/>
    <n v="2015"/>
    <x v="0"/>
    <n v="28"/>
    <n v="7"/>
    <n v="0"/>
    <n v="4"/>
    <n v="3"/>
    <n v="2"/>
    <n v="0"/>
    <s v="BB"/>
    <s v="ESP"/>
    <s v="Online TA"/>
    <x v="0"/>
    <n v="0"/>
    <n v="0"/>
    <n v="0"/>
    <s v="H"/>
    <s v="H"/>
    <n v="2"/>
    <s v="No Deposit"/>
    <n v="240"/>
    <m/>
    <n v="0"/>
    <x v="0"/>
    <x v="22"/>
    <n v="0"/>
    <n v="1"/>
    <x v="1"/>
    <d v="2015-07-11T00:00:00"/>
  </r>
  <r>
    <x v="0"/>
    <x v="0"/>
    <n v="262"/>
    <n v="2015"/>
    <x v="5"/>
    <n v="46"/>
    <n v="9"/>
    <n v="1"/>
    <n v="2"/>
    <n v="2"/>
    <n v="0"/>
    <n v="0"/>
    <s v="BB"/>
    <s v="PRT"/>
    <s v="Groups"/>
    <x v="0"/>
    <n v="0"/>
    <n v="1"/>
    <n v="0"/>
    <s v="A"/>
    <s v="A"/>
    <n v="0"/>
    <s v="Non Refund"/>
    <n v="1"/>
    <m/>
    <n v="0"/>
    <x v="0"/>
    <x v="23"/>
    <n v="0"/>
    <n v="0"/>
    <x v="0"/>
    <d v="2015-09-04T00:00:00"/>
  </r>
  <r>
    <x v="0"/>
    <x v="0"/>
    <n v="19"/>
    <n v="2015"/>
    <x v="1"/>
    <n v="41"/>
    <n v="6"/>
    <n v="0"/>
    <n v="3"/>
    <n v="1"/>
    <n v="0"/>
    <n v="0"/>
    <s v="BB"/>
    <s v="PRT"/>
    <s v="Offline TA/TO"/>
    <x v="0"/>
    <n v="1"/>
    <n v="1"/>
    <n v="0"/>
    <s v="A"/>
    <s v="A"/>
    <n v="0"/>
    <s v="Non Refund"/>
    <n v="82"/>
    <m/>
    <n v="0"/>
    <x v="0"/>
    <x v="2"/>
    <n v="0"/>
    <n v="0"/>
    <x v="0"/>
    <d v="2015-09-17T00:00:00"/>
  </r>
  <r>
    <x v="1"/>
    <x v="1"/>
    <n v="36"/>
    <n v="2015"/>
    <x v="3"/>
    <n v="53"/>
    <n v="27"/>
    <n v="2"/>
    <n v="0"/>
    <n v="2"/>
    <n v="0"/>
    <n v="0"/>
    <s v="HB"/>
    <s v="ESP"/>
    <s v="Offline TA/TO"/>
    <x v="0"/>
    <n v="0"/>
    <n v="0"/>
    <n v="0"/>
    <s v="A"/>
    <s v="D"/>
    <n v="1"/>
    <s v="No Deposit"/>
    <n v="6"/>
    <m/>
    <n v="0"/>
    <x v="0"/>
    <x v="24"/>
    <n v="1"/>
    <n v="0"/>
    <x v="1"/>
    <d v="2015-12-29T00:00:00"/>
  </r>
  <r>
    <x v="0"/>
    <x v="1"/>
    <n v="164"/>
    <n v="2015"/>
    <x v="1"/>
    <n v="40"/>
    <n v="2"/>
    <n v="0"/>
    <n v="2"/>
    <n v="1"/>
    <n v="0"/>
    <n v="0"/>
    <s v="BB"/>
    <s v="PRT"/>
    <s v="Offline TA/TO"/>
    <x v="0"/>
    <n v="0"/>
    <n v="0"/>
    <n v="0"/>
    <s v="A"/>
    <s v="A"/>
    <n v="0"/>
    <s v="No Deposit"/>
    <n v="19"/>
    <m/>
    <n v="0"/>
    <x v="1"/>
    <x v="25"/>
    <n v="0"/>
    <n v="0"/>
    <x v="1"/>
    <d v="2015-10-04T00:00:00"/>
  </r>
  <r>
    <x v="1"/>
    <x v="1"/>
    <n v="8"/>
    <n v="2015"/>
    <x v="5"/>
    <n v="48"/>
    <n v="25"/>
    <n v="0"/>
    <n v="1"/>
    <n v="1"/>
    <n v="0"/>
    <n v="0"/>
    <s v="BB"/>
    <m/>
    <s v="Corporate"/>
    <x v="1"/>
    <n v="0"/>
    <n v="0"/>
    <n v="7"/>
    <s v="A"/>
    <s v="D"/>
    <n v="0"/>
    <s v="No Deposit"/>
    <m/>
    <n v="204"/>
    <n v="0"/>
    <x v="0"/>
    <x v="26"/>
    <n v="0"/>
    <n v="1"/>
    <x v="1"/>
    <d v="2015-11-26T00:00:00"/>
  </r>
  <r>
    <x v="0"/>
    <x v="0"/>
    <n v="97"/>
    <n v="2015"/>
    <x v="1"/>
    <n v="41"/>
    <n v="5"/>
    <n v="1"/>
    <n v="3"/>
    <n v="1"/>
    <n v="0"/>
    <n v="0"/>
    <s v="BB"/>
    <s v="PRT"/>
    <s v="Groups"/>
    <x v="0"/>
    <n v="0"/>
    <n v="0"/>
    <n v="0"/>
    <s v="A"/>
    <s v="A"/>
    <n v="0"/>
    <s v="Non Refund"/>
    <n v="29"/>
    <m/>
    <n v="0"/>
    <x v="0"/>
    <x v="5"/>
    <n v="0"/>
    <n v="0"/>
    <x v="0"/>
    <d v="2015-07-03T00:00:00"/>
  </r>
  <r>
    <x v="0"/>
    <x v="1"/>
    <n v="14"/>
    <n v="2015"/>
    <x v="2"/>
    <n v="36"/>
    <n v="4"/>
    <n v="2"/>
    <n v="2"/>
    <n v="2"/>
    <n v="0"/>
    <n v="0"/>
    <s v="HB"/>
    <s v="ESP"/>
    <s v="Online TA"/>
    <x v="0"/>
    <n v="0"/>
    <n v="0"/>
    <n v="0"/>
    <s v="A"/>
    <s v="B"/>
    <n v="0"/>
    <s v="No Deposit"/>
    <n v="15"/>
    <m/>
    <n v="0"/>
    <x v="0"/>
    <x v="27"/>
    <n v="1"/>
    <n v="3"/>
    <x v="1"/>
    <d v="2015-09-08T00:00:00"/>
  </r>
  <r>
    <x v="0"/>
    <x v="1"/>
    <n v="200"/>
    <n v="2015"/>
    <x v="1"/>
    <n v="40"/>
    <n v="2"/>
    <n v="1"/>
    <n v="2"/>
    <n v="2"/>
    <n v="0"/>
    <n v="0"/>
    <s v="BB"/>
    <s v="IRL"/>
    <s v="Online TA"/>
    <x v="0"/>
    <n v="0"/>
    <n v="0"/>
    <n v="0"/>
    <s v="A"/>
    <s v="A"/>
    <n v="0"/>
    <s v="No Deposit"/>
    <n v="8"/>
    <m/>
    <n v="0"/>
    <x v="0"/>
    <x v="28"/>
    <n v="0"/>
    <n v="1"/>
    <x v="1"/>
    <d v="2015-10-05T00:00:00"/>
  </r>
  <r>
    <x v="0"/>
    <x v="1"/>
    <n v="2"/>
    <n v="2015"/>
    <x v="4"/>
    <n v="33"/>
    <n v="9"/>
    <n v="1"/>
    <n v="0"/>
    <n v="2"/>
    <n v="0"/>
    <n v="0"/>
    <s v="BB"/>
    <s v="PRT"/>
    <s v="Direct"/>
    <x v="2"/>
    <n v="0"/>
    <n v="0"/>
    <n v="0"/>
    <s v="E"/>
    <s v="E"/>
    <n v="0"/>
    <s v="No Deposit"/>
    <m/>
    <m/>
    <n v="0"/>
    <x v="0"/>
    <x v="29"/>
    <n v="0"/>
    <n v="2"/>
    <x v="1"/>
    <d v="2015-08-10T00:00:00"/>
  </r>
  <r>
    <x v="1"/>
    <x v="1"/>
    <n v="0"/>
    <n v="2015"/>
    <x v="5"/>
    <n v="45"/>
    <n v="4"/>
    <n v="0"/>
    <n v="2"/>
    <n v="1"/>
    <n v="0"/>
    <n v="0"/>
    <s v="BB"/>
    <s v="PRT"/>
    <s v="Online TA"/>
    <x v="0"/>
    <n v="0"/>
    <n v="0"/>
    <n v="0"/>
    <s v="A"/>
    <s v="A"/>
    <n v="1"/>
    <s v="No Deposit"/>
    <n v="240"/>
    <m/>
    <n v="0"/>
    <x v="0"/>
    <x v="30"/>
    <n v="0"/>
    <n v="1"/>
    <x v="1"/>
    <d v="2015-11-06T00:00:00"/>
  </r>
  <r>
    <x v="0"/>
    <x v="0"/>
    <n v="74"/>
    <n v="2015"/>
    <x v="2"/>
    <n v="38"/>
    <n v="18"/>
    <n v="0"/>
    <n v="2"/>
    <n v="2"/>
    <n v="0"/>
    <n v="0"/>
    <s v="HB"/>
    <s v="PRT"/>
    <s v="Offline TA/TO"/>
    <x v="0"/>
    <n v="0"/>
    <n v="0"/>
    <n v="0"/>
    <s v="A"/>
    <s v="A"/>
    <n v="0"/>
    <s v="Non Refund"/>
    <n v="6"/>
    <m/>
    <n v="0"/>
    <x v="1"/>
    <x v="12"/>
    <n v="0"/>
    <n v="0"/>
    <x v="0"/>
    <d v="2015-07-06T00:00:00"/>
  </r>
  <r>
    <x v="0"/>
    <x v="1"/>
    <n v="2"/>
    <n v="2015"/>
    <x v="3"/>
    <n v="50"/>
    <n v="11"/>
    <n v="0"/>
    <n v="1"/>
    <n v="2"/>
    <n v="0"/>
    <n v="0"/>
    <s v="SC"/>
    <s v="PRT"/>
    <s v="Online TA"/>
    <x v="0"/>
    <n v="0"/>
    <n v="0"/>
    <n v="0"/>
    <s v="A"/>
    <s v="A"/>
    <n v="0"/>
    <s v="No Deposit"/>
    <n v="9"/>
    <m/>
    <n v="0"/>
    <x v="0"/>
    <x v="31"/>
    <n v="1"/>
    <n v="0"/>
    <x v="1"/>
    <d v="2015-12-12T00:00:00"/>
  </r>
  <r>
    <x v="0"/>
    <x v="0"/>
    <n v="92"/>
    <n v="2015"/>
    <x v="0"/>
    <n v="27"/>
    <n v="1"/>
    <n v="2"/>
    <n v="4"/>
    <n v="2"/>
    <n v="0"/>
    <n v="0"/>
    <s v="BB"/>
    <s v="PRT"/>
    <s v="Online TA"/>
    <x v="0"/>
    <n v="0"/>
    <n v="0"/>
    <n v="0"/>
    <s v="A"/>
    <s v="A"/>
    <n v="0"/>
    <s v="No Deposit"/>
    <n v="9"/>
    <m/>
    <n v="0"/>
    <x v="0"/>
    <x v="0"/>
    <n v="0"/>
    <n v="2"/>
    <x v="0"/>
    <d v="2015-06-23T00:00:00"/>
  </r>
  <r>
    <x v="1"/>
    <x v="0"/>
    <n v="78"/>
    <n v="2015"/>
    <x v="1"/>
    <n v="41"/>
    <n v="9"/>
    <n v="1"/>
    <n v="2"/>
    <n v="2"/>
    <n v="0"/>
    <n v="0"/>
    <s v="FB"/>
    <s v="ESP"/>
    <s v="Groups"/>
    <x v="0"/>
    <n v="0"/>
    <n v="0"/>
    <n v="0"/>
    <s v="A"/>
    <s v="A"/>
    <n v="0"/>
    <s v="Non Refund"/>
    <n v="134"/>
    <m/>
    <n v="0"/>
    <x v="0"/>
    <x v="32"/>
    <n v="0"/>
    <n v="0"/>
    <x v="0"/>
    <d v="2015-08-14T00:00:00"/>
  </r>
  <r>
    <x v="1"/>
    <x v="1"/>
    <n v="49"/>
    <n v="2015"/>
    <x v="0"/>
    <n v="31"/>
    <n v="27"/>
    <n v="1"/>
    <n v="5"/>
    <n v="2"/>
    <n v="0"/>
    <n v="0"/>
    <s v="BB"/>
    <s v="PRT"/>
    <s v="Online TA"/>
    <x v="0"/>
    <n v="0"/>
    <n v="0"/>
    <n v="0"/>
    <s v="A"/>
    <s v="A"/>
    <n v="0"/>
    <s v="No Deposit"/>
    <n v="240"/>
    <m/>
    <n v="0"/>
    <x v="0"/>
    <x v="33"/>
    <n v="0"/>
    <n v="0"/>
    <x v="1"/>
    <d v="2015-08-02T00:00:00"/>
  </r>
  <r>
    <x v="0"/>
    <x v="0"/>
    <n v="153"/>
    <n v="2015"/>
    <x v="4"/>
    <n v="32"/>
    <n v="3"/>
    <n v="1"/>
    <n v="2"/>
    <n v="2"/>
    <n v="0"/>
    <n v="0"/>
    <s v="BB"/>
    <s v="PRT"/>
    <s v="Groups"/>
    <x v="0"/>
    <n v="0"/>
    <n v="1"/>
    <n v="0"/>
    <s v="A"/>
    <s v="A"/>
    <n v="0"/>
    <s v="Non Refund"/>
    <n v="1"/>
    <m/>
    <n v="0"/>
    <x v="0"/>
    <x v="4"/>
    <n v="0"/>
    <n v="0"/>
    <x v="0"/>
    <d v="2015-05-19T00:00:00"/>
  </r>
  <r>
    <x v="0"/>
    <x v="1"/>
    <n v="17"/>
    <n v="2015"/>
    <x v="2"/>
    <n v="39"/>
    <n v="26"/>
    <n v="2"/>
    <n v="2"/>
    <n v="1"/>
    <n v="0"/>
    <n v="0"/>
    <s v="BB"/>
    <s v="USA"/>
    <s v="Groups"/>
    <x v="0"/>
    <n v="0"/>
    <n v="0"/>
    <n v="0"/>
    <s v="A"/>
    <s v="A"/>
    <n v="1"/>
    <s v="No Deposit"/>
    <n v="1"/>
    <m/>
    <n v="0"/>
    <x v="1"/>
    <x v="34"/>
    <n v="0"/>
    <n v="0"/>
    <x v="1"/>
    <d v="2015-09-30T00:00:00"/>
  </r>
  <r>
    <x v="1"/>
    <x v="1"/>
    <n v="163"/>
    <n v="2015"/>
    <x v="1"/>
    <n v="43"/>
    <n v="23"/>
    <n v="1"/>
    <n v="2"/>
    <n v="1"/>
    <n v="0"/>
    <n v="0"/>
    <s v="BB"/>
    <s v="GBR"/>
    <s v="Online TA"/>
    <x v="0"/>
    <n v="0"/>
    <n v="0"/>
    <n v="0"/>
    <s v="A"/>
    <s v="C"/>
    <n v="0"/>
    <s v="No Deposit"/>
    <n v="240"/>
    <m/>
    <n v="0"/>
    <x v="1"/>
    <x v="35"/>
    <n v="0"/>
    <n v="1"/>
    <x v="1"/>
    <d v="2015-10-26T00:00:00"/>
  </r>
  <r>
    <x v="1"/>
    <x v="1"/>
    <n v="120"/>
    <n v="2015"/>
    <x v="4"/>
    <n v="32"/>
    <n v="4"/>
    <n v="2"/>
    <n v="5"/>
    <n v="2"/>
    <n v="0"/>
    <n v="0"/>
    <s v="BB"/>
    <s v="FRA"/>
    <s v="Offline TA/TO"/>
    <x v="0"/>
    <n v="0"/>
    <n v="0"/>
    <n v="0"/>
    <s v="A"/>
    <s v="D"/>
    <n v="0"/>
    <s v="No Deposit"/>
    <n v="6"/>
    <m/>
    <n v="0"/>
    <x v="1"/>
    <x v="36"/>
    <n v="0"/>
    <n v="1"/>
    <x v="1"/>
    <d v="2015-08-11T00:00:00"/>
  </r>
  <r>
    <x v="0"/>
    <x v="0"/>
    <n v="151"/>
    <n v="2015"/>
    <x v="0"/>
    <n v="30"/>
    <n v="25"/>
    <n v="2"/>
    <n v="1"/>
    <n v="2"/>
    <n v="0"/>
    <n v="0"/>
    <s v="HB"/>
    <s v="PRT"/>
    <s v="Groups"/>
    <x v="0"/>
    <n v="0"/>
    <n v="1"/>
    <n v="0"/>
    <s v="A"/>
    <s v="A"/>
    <n v="0"/>
    <s v="Non Refund"/>
    <n v="1"/>
    <m/>
    <n v="0"/>
    <x v="1"/>
    <x v="37"/>
    <n v="0"/>
    <n v="0"/>
    <x v="0"/>
    <d v="2015-07-09T00:00:00"/>
  </r>
  <r>
    <x v="0"/>
    <x v="0"/>
    <n v="364"/>
    <n v="2015"/>
    <x v="1"/>
    <n v="42"/>
    <n v="16"/>
    <n v="0"/>
    <n v="2"/>
    <n v="2"/>
    <n v="0"/>
    <n v="0"/>
    <s v="HB"/>
    <s v="PRT"/>
    <s v="Offline TA/TO"/>
    <x v="0"/>
    <n v="0"/>
    <n v="1"/>
    <n v="0"/>
    <s v="A"/>
    <s v="A"/>
    <n v="0"/>
    <s v="Non Refund"/>
    <n v="6"/>
    <m/>
    <n v="0"/>
    <x v="1"/>
    <x v="12"/>
    <n v="0"/>
    <n v="0"/>
    <x v="0"/>
    <d v="2015-07-06T00:00:00"/>
  </r>
  <r>
    <x v="0"/>
    <x v="0"/>
    <n v="110"/>
    <n v="2015"/>
    <x v="0"/>
    <n v="30"/>
    <n v="25"/>
    <n v="2"/>
    <n v="1"/>
    <n v="2"/>
    <n v="0"/>
    <n v="0"/>
    <s v="HB"/>
    <s v="ITA"/>
    <s v="Offline TA/TO"/>
    <x v="0"/>
    <n v="0"/>
    <n v="0"/>
    <n v="0"/>
    <s v="A"/>
    <s v="A"/>
    <n v="0"/>
    <s v="No Deposit"/>
    <n v="17"/>
    <m/>
    <n v="0"/>
    <x v="1"/>
    <x v="18"/>
    <n v="0"/>
    <n v="0"/>
    <x v="0"/>
    <d v="2015-07-16T00:00:00"/>
  </r>
  <r>
    <x v="1"/>
    <x v="0"/>
    <n v="275"/>
    <n v="2015"/>
    <x v="1"/>
    <n v="41"/>
    <n v="4"/>
    <n v="2"/>
    <n v="0"/>
    <n v="2"/>
    <n v="0"/>
    <n v="0"/>
    <s v="HB"/>
    <s v="PRT"/>
    <s v="Offline TA/TO"/>
    <x v="0"/>
    <n v="0"/>
    <n v="26"/>
    <n v="0"/>
    <s v="A"/>
    <s v="A"/>
    <n v="0"/>
    <s v="Non Refund"/>
    <n v="208"/>
    <m/>
    <n v="0"/>
    <x v="0"/>
    <x v="38"/>
    <n v="0"/>
    <n v="0"/>
    <x v="0"/>
    <d v="2015-01-30T00:00:00"/>
  </r>
  <r>
    <x v="0"/>
    <x v="1"/>
    <n v="74"/>
    <n v="2015"/>
    <x v="2"/>
    <n v="38"/>
    <n v="18"/>
    <n v="0"/>
    <n v="2"/>
    <n v="2"/>
    <n v="0"/>
    <n v="0"/>
    <s v="HB"/>
    <s v="PRT"/>
    <s v="Offline TA/TO"/>
    <x v="0"/>
    <n v="0"/>
    <n v="0"/>
    <n v="0"/>
    <s v="A"/>
    <s v="A"/>
    <n v="0"/>
    <s v="No Deposit"/>
    <n v="6"/>
    <m/>
    <n v="0"/>
    <x v="1"/>
    <x v="1"/>
    <n v="0"/>
    <n v="0"/>
    <x v="1"/>
    <d v="2015-09-20T00:00:00"/>
  </r>
  <r>
    <x v="1"/>
    <x v="1"/>
    <n v="11"/>
    <n v="2015"/>
    <x v="3"/>
    <n v="50"/>
    <n v="6"/>
    <n v="2"/>
    <n v="0"/>
    <n v="2"/>
    <n v="0"/>
    <n v="0"/>
    <s v="BB"/>
    <s v="ESP"/>
    <s v="Offline TA/TO"/>
    <x v="0"/>
    <n v="0"/>
    <n v="0"/>
    <n v="0"/>
    <s v="D"/>
    <s v="D"/>
    <n v="0"/>
    <s v="No Deposit"/>
    <n v="5"/>
    <m/>
    <n v="0"/>
    <x v="0"/>
    <x v="39"/>
    <n v="0"/>
    <n v="0"/>
    <x v="1"/>
    <d v="2015-12-08T00:00:00"/>
  </r>
  <r>
    <x v="0"/>
    <x v="0"/>
    <n v="279"/>
    <n v="2015"/>
    <x v="0"/>
    <n v="30"/>
    <n v="23"/>
    <n v="0"/>
    <n v="2"/>
    <n v="2"/>
    <n v="0"/>
    <n v="0"/>
    <s v="BB"/>
    <s v="PRT"/>
    <s v="Groups"/>
    <x v="0"/>
    <n v="0"/>
    <n v="1"/>
    <n v="0"/>
    <s v="A"/>
    <s v="A"/>
    <n v="0"/>
    <s v="No Deposit"/>
    <n v="1"/>
    <m/>
    <n v="0"/>
    <x v="2"/>
    <x v="6"/>
    <n v="0"/>
    <n v="0"/>
    <x v="0"/>
    <d v="2015-01-01T00:00:00"/>
  </r>
  <r>
    <x v="0"/>
    <x v="0"/>
    <n v="2"/>
    <n v="2015"/>
    <x v="5"/>
    <n v="46"/>
    <n v="9"/>
    <n v="3"/>
    <n v="8"/>
    <n v="2"/>
    <n v="0"/>
    <n v="0"/>
    <s v="BB"/>
    <s v="PRT"/>
    <s v="Direct"/>
    <x v="2"/>
    <n v="0"/>
    <n v="0"/>
    <n v="0"/>
    <s v="A"/>
    <s v="A"/>
    <n v="0"/>
    <s v="No Deposit"/>
    <n v="14"/>
    <m/>
    <n v="0"/>
    <x v="0"/>
    <x v="40"/>
    <n v="0"/>
    <n v="0"/>
    <x v="0"/>
    <d v="2015-11-09T00:00:00"/>
  </r>
  <r>
    <x v="1"/>
    <x v="1"/>
    <n v="54"/>
    <n v="2015"/>
    <x v="4"/>
    <n v="34"/>
    <n v="18"/>
    <n v="0"/>
    <n v="5"/>
    <n v="2"/>
    <n v="0"/>
    <n v="0"/>
    <s v="HB"/>
    <s v="ESP"/>
    <s v="Online TA"/>
    <x v="0"/>
    <n v="0"/>
    <n v="0"/>
    <n v="0"/>
    <s v="A"/>
    <s v="A"/>
    <n v="0"/>
    <s v="No Deposit"/>
    <n v="241"/>
    <m/>
    <n v="0"/>
    <x v="0"/>
    <x v="41"/>
    <n v="0"/>
    <n v="1"/>
    <x v="1"/>
    <d v="2015-08-23T00:00:00"/>
  </r>
  <r>
    <x v="1"/>
    <x v="1"/>
    <n v="30"/>
    <n v="2015"/>
    <x v="4"/>
    <n v="35"/>
    <n v="28"/>
    <n v="0"/>
    <n v="1"/>
    <n v="2"/>
    <n v="0"/>
    <n v="0"/>
    <s v="BB"/>
    <s v="ESP"/>
    <s v="Direct"/>
    <x v="2"/>
    <n v="0"/>
    <n v="0"/>
    <n v="0"/>
    <s v="A"/>
    <s v="G"/>
    <n v="0"/>
    <s v="No Deposit"/>
    <n v="250"/>
    <m/>
    <n v="0"/>
    <x v="0"/>
    <x v="42"/>
    <n v="0"/>
    <n v="3"/>
    <x v="1"/>
    <d v="2015-08-29T00:00:00"/>
  </r>
  <r>
    <x v="0"/>
    <x v="0"/>
    <n v="85"/>
    <n v="2015"/>
    <x v="0"/>
    <n v="30"/>
    <n v="24"/>
    <n v="2"/>
    <n v="3"/>
    <n v="2"/>
    <n v="0"/>
    <n v="0"/>
    <s v="BB"/>
    <s v="PRT"/>
    <s v="Online TA"/>
    <x v="0"/>
    <n v="0"/>
    <n v="0"/>
    <n v="0"/>
    <s v="A"/>
    <s v="A"/>
    <n v="0"/>
    <s v="No Deposit"/>
    <n v="9"/>
    <m/>
    <n v="0"/>
    <x v="0"/>
    <x v="0"/>
    <n v="0"/>
    <n v="0"/>
    <x v="0"/>
    <d v="2015-05-20T00:00:00"/>
  </r>
  <r>
    <x v="0"/>
    <x v="1"/>
    <n v="26"/>
    <n v="2015"/>
    <x v="1"/>
    <n v="44"/>
    <n v="31"/>
    <n v="2"/>
    <n v="5"/>
    <n v="2"/>
    <n v="0"/>
    <n v="0"/>
    <s v="BB"/>
    <s v="ITA"/>
    <s v="Online TA"/>
    <x v="0"/>
    <n v="0"/>
    <n v="0"/>
    <n v="0"/>
    <s v="A"/>
    <s v="A"/>
    <n v="0"/>
    <s v="No Deposit"/>
    <n v="9"/>
    <m/>
    <n v="0"/>
    <x v="2"/>
    <x v="43"/>
    <n v="0"/>
    <n v="1"/>
    <x v="1"/>
    <d v="2015-11-07T00:00:00"/>
  </r>
  <r>
    <x v="0"/>
    <x v="0"/>
    <n v="233"/>
    <n v="2015"/>
    <x v="5"/>
    <n v="45"/>
    <n v="7"/>
    <n v="1"/>
    <n v="1"/>
    <n v="2"/>
    <n v="0"/>
    <n v="0"/>
    <s v="BB"/>
    <s v="PRT"/>
    <s v="Groups"/>
    <x v="0"/>
    <n v="0"/>
    <n v="0"/>
    <n v="0"/>
    <s v="A"/>
    <s v="A"/>
    <n v="0"/>
    <s v="No Deposit"/>
    <n v="1"/>
    <m/>
    <n v="0"/>
    <x v="1"/>
    <x v="4"/>
    <n v="0"/>
    <n v="0"/>
    <x v="0"/>
    <d v="2015-10-21T00:00:00"/>
  </r>
  <r>
    <x v="0"/>
    <x v="0"/>
    <n v="355"/>
    <n v="2015"/>
    <x v="1"/>
    <n v="41"/>
    <n v="7"/>
    <n v="0"/>
    <n v="2"/>
    <n v="2"/>
    <n v="0"/>
    <n v="0"/>
    <s v="BB"/>
    <s v="PRT"/>
    <s v="Groups"/>
    <x v="0"/>
    <n v="0"/>
    <n v="1"/>
    <n v="0"/>
    <s v="A"/>
    <s v="A"/>
    <n v="0"/>
    <s v="Non Refund"/>
    <n v="1"/>
    <m/>
    <n v="0"/>
    <x v="1"/>
    <x v="6"/>
    <n v="0"/>
    <n v="0"/>
    <x v="0"/>
    <d v="2015-07-02T00:00:00"/>
  </r>
  <r>
    <x v="0"/>
    <x v="1"/>
    <n v="6"/>
    <n v="2015"/>
    <x v="3"/>
    <n v="53"/>
    <n v="31"/>
    <n v="0"/>
    <n v="2"/>
    <n v="2"/>
    <n v="0"/>
    <n v="0"/>
    <s v="BB"/>
    <s v="RUS"/>
    <s v="Online TA"/>
    <x v="0"/>
    <n v="0"/>
    <n v="0"/>
    <n v="0"/>
    <s v="D"/>
    <s v="D"/>
    <n v="0"/>
    <s v="No Deposit"/>
    <n v="9"/>
    <m/>
    <n v="0"/>
    <x v="0"/>
    <x v="44"/>
    <n v="0"/>
    <n v="1"/>
    <x v="1"/>
    <d v="2016-01-02T00:00:00"/>
  </r>
  <r>
    <x v="0"/>
    <x v="1"/>
    <n v="39"/>
    <n v="2015"/>
    <x v="4"/>
    <n v="33"/>
    <n v="14"/>
    <n v="0"/>
    <n v="2"/>
    <n v="2"/>
    <n v="0"/>
    <n v="0"/>
    <s v="HB"/>
    <s v="DEU"/>
    <s v="Offline TA/TO"/>
    <x v="0"/>
    <n v="0"/>
    <n v="0"/>
    <n v="0"/>
    <s v="A"/>
    <s v="D"/>
    <n v="0"/>
    <s v="No Deposit"/>
    <n v="6"/>
    <m/>
    <n v="0"/>
    <x v="1"/>
    <x v="1"/>
    <n v="0"/>
    <n v="0"/>
    <x v="1"/>
    <d v="2015-08-16T00:00:00"/>
  </r>
  <r>
    <x v="0"/>
    <x v="0"/>
    <n v="286"/>
    <n v="2015"/>
    <x v="0"/>
    <n v="31"/>
    <n v="30"/>
    <n v="0"/>
    <n v="2"/>
    <n v="2"/>
    <n v="0"/>
    <n v="0"/>
    <s v="BB"/>
    <s v="PRT"/>
    <s v="Groups"/>
    <x v="0"/>
    <n v="0"/>
    <n v="1"/>
    <n v="0"/>
    <s v="A"/>
    <s v="A"/>
    <n v="0"/>
    <s v="Non Refund"/>
    <n v="1"/>
    <m/>
    <n v="0"/>
    <x v="2"/>
    <x v="6"/>
    <n v="0"/>
    <n v="0"/>
    <x v="0"/>
    <d v="2015-01-01T00:00:00"/>
  </r>
  <r>
    <x v="0"/>
    <x v="1"/>
    <n v="102"/>
    <n v="2015"/>
    <x v="1"/>
    <n v="42"/>
    <n v="16"/>
    <n v="0"/>
    <n v="2"/>
    <n v="2"/>
    <n v="0"/>
    <n v="0"/>
    <s v="HB"/>
    <s v="DEU"/>
    <s v="Offline TA/TO"/>
    <x v="0"/>
    <n v="0"/>
    <n v="0"/>
    <n v="0"/>
    <s v="A"/>
    <s v="A"/>
    <n v="0"/>
    <s v="No Deposit"/>
    <n v="6"/>
    <m/>
    <n v="0"/>
    <x v="1"/>
    <x v="1"/>
    <n v="0"/>
    <n v="0"/>
    <x v="1"/>
    <d v="2015-10-18T00:00:00"/>
  </r>
  <r>
    <x v="0"/>
    <x v="0"/>
    <n v="330"/>
    <n v="2015"/>
    <x v="2"/>
    <n v="37"/>
    <n v="12"/>
    <n v="2"/>
    <n v="1"/>
    <n v="2"/>
    <n v="0"/>
    <n v="0"/>
    <s v="BB"/>
    <s v="PRT"/>
    <s v="Groups"/>
    <x v="0"/>
    <n v="0"/>
    <n v="1"/>
    <n v="0"/>
    <s v="A"/>
    <s v="A"/>
    <n v="0"/>
    <s v="No Deposit"/>
    <n v="1"/>
    <m/>
    <n v="0"/>
    <x v="1"/>
    <x v="23"/>
    <n v="0"/>
    <n v="0"/>
    <x v="0"/>
    <d v="2015-01-01T00:00:00"/>
  </r>
  <r>
    <x v="0"/>
    <x v="0"/>
    <n v="50"/>
    <n v="2015"/>
    <x v="1"/>
    <n v="43"/>
    <n v="24"/>
    <n v="1"/>
    <n v="1"/>
    <n v="2"/>
    <n v="0"/>
    <n v="0"/>
    <s v="BB"/>
    <s v="PRT"/>
    <s v="Groups"/>
    <x v="2"/>
    <n v="0"/>
    <n v="0"/>
    <n v="0"/>
    <s v="A"/>
    <s v="A"/>
    <n v="0"/>
    <s v="Non Refund"/>
    <m/>
    <m/>
    <n v="0"/>
    <x v="0"/>
    <x v="45"/>
    <n v="0"/>
    <n v="0"/>
    <x v="0"/>
    <d v="2015-10-07T00:00:00"/>
  </r>
  <r>
    <x v="1"/>
    <x v="0"/>
    <n v="6"/>
    <n v="2015"/>
    <x v="3"/>
    <n v="50"/>
    <n v="6"/>
    <n v="2"/>
    <n v="0"/>
    <n v="2"/>
    <n v="0"/>
    <n v="0"/>
    <s v="BB"/>
    <s v="PRT"/>
    <s v="Online TA"/>
    <x v="0"/>
    <n v="0"/>
    <n v="1"/>
    <n v="0"/>
    <s v="D"/>
    <s v="D"/>
    <n v="0"/>
    <s v="No Deposit"/>
    <n v="240"/>
    <m/>
    <n v="0"/>
    <x v="0"/>
    <x v="46"/>
    <n v="0"/>
    <n v="0"/>
    <x v="0"/>
    <d v="2015-12-01T00:00:00"/>
  </r>
  <r>
    <x v="0"/>
    <x v="1"/>
    <n v="83"/>
    <n v="2015"/>
    <x v="2"/>
    <n v="40"/>
    <n v="30"/>
    <n v="0"/>
    <n v="1"/>
    <n v="2"/>
    <n v="0"/>
    <n v="0"/>
    <s v="HB"/>
    <s v="PRT"/>
    <s v="Offline TA/TO"/>
    <x v="0"/>
    <n v="0"/>
    <n v="0"/>
    <n v="0"/>
    <s v="A"/>
    <s v="A"/>
    <n v="0"/>
    <s v="No Deposit"/>
    <n v="26"/>
    <m/>
    <n v="77"/>
    <x v="1"/>
    <x v="47"/>
    <n v="0"/>
    <n v="0"/>
    <x v="1"/>
    <d v="2015-10-01T00:00:00"/>
  </r>
  <r>
    <x v="0"/>
    <x v="0"/>
    <n v="77"/>
    <n v="2015"/>
    <x v="4"/>
    <n v="32"/>
    <n v="3"/>
    <n v="5"/>
    <n v="12"/>
    <n v="2"/>
    <n v="0"/>
    <n v="0"/>
    <s v="BB"/>
    <s v="PRT"/>
    <s v="Online TA"/>
    <x v="0"/>
    <n v="0"/>
    <n v="0"/>
    <n v="0"/>
    <s v="A"/>
    <s v="A"/>
    <n v="0"/>
    <s v="No Deposit"/>
    <n v="9"/>
    <m/>
    <n v="0"/>
    <x v="0"/>
    <x v="0"/>
    <n v="0"/>
    <n v="0"/>
    <x v="0"/>
    <d v="2015-05-21T00:00:00"/>
  </r>
  <r>
    <x v="1"/>
    <x v="1"/>
    <n v="167"/>
    <n v="2015"/>
    <x v="2"/>
    <n v="38"/>
    <n v="17"/>
    <n v="4"/>
    <n v="10"/>
    <n v="2"/>
    <n v="0"/>
    <n v="0"/>
    <s v="HB"/>
    <s v="GBR"/>
    <s v="Offline TA/TO"/>
    <x v="0"/>
    <n v="0"/>
    <n v="0"/>
    <n v="0"/>
    <s v="D"/>
    <s v="D"/>
    <n v="0"/>
    <s v="No Deposit"/>
    <n v="243"/>
    <m/>
    <n v="0"/>
    <x v="2"/>
    <x v="48"/>
    <n v="0"/>
    <n v="3"/>
    <x v="1"/>
    <d v="2015-10-01T00:00:00"/>
  </r>
  <r>
    <x v="1"/>
    <x v="0"/>
    <n v="256"/>
    <n v="2015"/>
    <x v="4"/>
    <n v="31"/>
    <n v="1"/>
    <n v="3"/>
    <n v="6"/>
    <n v="2"/>
    <n v="2"/>
    <n v="0"/>
    <s v="BB"/>
    <s v="PRT"/>
    <s v="Online TA"/>
    <x v="0"/>
    <n v="0"/>
    <n v="1"/>
    <n v="0"/>
    <s v="G"/>
    <s v="G"/>
    <n v="1"/>
    <s v="No Deposit"/>
    <n v="240"/>
    <m/>
    <n v="0"/>
    <x v="1"/>
    <x v="49"/>
    <n v="0"/>
    <n v="1"/>
    <x v="0"/>
    <d v="2015-07-27T00:00:00"/>
  </r>
  <r>
    <x v="1"/>
    <x v="1"/>
    <n v="109"/>
    <n v="2015"/>
    <x v="0"/>
    <n v="27"/>
    <n v="4"/>
    <n v="2"/>
    <n v="6"/>
    <n v="2"/>
    <n v="0"/>
    <n v="0"/>
    <s v="BB"/>
    <s v="PRT"/>
    <s v="Online TA"/>
    <x v="0"/>
    <n v="0"/>
    <n v="0"/>
    <n v="0"/>
    <s v="A"/>
    <s v="A"/>
    <n v="0"/>
    <s v="No Deposit"/>
    <n v="240"/>
    <m/>
    <n v="0"/>
    <x v="0"/>
    <x v="50"/>
    <n v="0"/>
    <n v="1"/>
    <x v="1"/>
    <d v="2015-07-12T00:00:00"/>
  </r>
  <r>
    <x v="0"/>
    <x v="1"/>
    <n v="4"/>
    <n v="2015"/>
    <x v="4"/>
    <n v="34"/>
    <n v="17"/>
    <n v="1"/>
    <n v="3"/>
    <n v="2"/>
    <n v="0"/>
    <n v="0"/>
    <s v="BB"/>
    <s v="ESP"/>
    <s v="Online TA"/>
    <x v="0"/>
    <n v="0"/>
    <n v="0"/>
    <n v="0"/>
    <s v="A"/>
    <s v="A"/>
    <n v="0"/>
    <s v="No Deposit"/>
    <n v="9"/>
    <m/>
    <n v="0"/>
    <x v="2"/>
    <x v="51"/>
    <n v="0"/>
    <n v="3"/>
    <x v="1"/>
    <d v="2015-08-21T00:00:00"/>
  </r>
  <r>
    <x v="0"/>
    <x v="1"/>
    <n v="13"/>
    <n v="2015"/>
    <x v="1"/>
    <n v="41"/>
    <n v="6"/>
    <n v="0"/>
    <n v="3"/>
    <n v="2"/>
    <n v="0"/>
    <n v="0"/>
    <s v="BB"/>
    <s v="FRA"/>
    <s v="Offline TA/TO"/>
    <x v="0"/>
    <n v="0"/>
    <n v="0"/>
    <n v="0"/>
    <s v="D"/>
    <s v="D"/>
    <n v="0"/>
    <s v="No Deposit"/>
    <n v="28"/>
    <m/>
    <n v="0"/>
    <x v="0"/>
    <x v="45"/>
    <n v="0"/>
    <n v="1"/>
    <x v="1"/>
    <d v="2015-10-09T00:00:00"/>
  </r>
  <r>
    <x v="0"/>
    <x v="0"/>
    <n v="265"/>
    <n v="2015"/>
    <x v="0"/>
    <n v="28"/>
    <n v="9"/>
    <n v="0"/>
    <n v="2"/>
    <n v="2"/>
    <n v="0"/>
    <n v="0"/>
    <s v="BB"/>
    <s v="PRT"/>
    <s v="Groups"/>
    <x v="0"/>
    <n v="0"/>
    <n v="1"/>
    <n v="0"/>
    <s v="A"/>
    <s v="A"/>
    <n v="0"/>
    <s v="No Deposit"/>
    <n v="1"/>
    <m/>
    <n v="0"/>
    <x v="2"/>
    <x v="6"/>
    <n v="0"/>
    <n v="0"/>
    <x v="0"/>
    <d v="2015-01-01T00:00:00"/>
  </r>
  <r>
    <x v="1"/>
    <x v="0"/>
    <n v="111"/>
    <n v="2015"/>
    <x v="1"/>
    <n v="43"/>
    <n v="23"/>
    <n v="1"/>
    <n v="2"/>
    <n v="2"/>
    <n v="0"/>
    <n v="0"/>
    <s v="BB"/>
    <s v="PRT"/>
    <s v="Online TA"/>
    <x v="0"/>
    <n v="0"/>
    <n v="0"/>
    <n v="0"/>
    <s v="A"/>
    <s v="A"/>
    <n v="0"/>
    <s v="No Deposit"/>
    <n v="240"/>
    <m/>
    <n v="0"/>
    <x v="0"/>
    <x v="52"/>
    <n v="0"/>
    <n v="1"/>
    <x v="0"/>
    <d v="2015-07-20T00:00:00"/>
  </r>
  <r>
    <x v="0"/>
    <x v="0"/>
    <n v="195"/>
    <n v="2015"/>
    <x v="2"/>
    <n v="38"/>
    <n v="17"/>
    <n v="0"/>
    <n v="2"/>
    <n v="2"/>
    <n v="0"/>
    <n v="0"/>
    <s v="BB"/>
    <s v="PRT"/>
    <s v="Offline TA/TO"/>
    <x v="0"/>
    <n v="0"/>
    <n v="1"/>
    <n v="0"/>
    <s v="A"/>
    <s v="A"/>
    <n v="0"/>
    <s v="No Deposit"/>
    <n v="20"/>
    <m/>
    <n v="0"/>
    <x v="0"/>
    <x v="21"/>
    <n v="0"/>
    <n v="0"/>
    <x v="0"/>
    <d v="2015-07-23T00:00:00"/>
  </r>
  <r>
    <x v="1"/>
    <x v="1"/>
    <n v="3"/>
    <n v="2015"/>
    <x v="1"/>
    <n v="41"/>
    <n v="9"/>
    <n v="1"/>
    <n v="2"/>
    <n v="2"/>
    <n v="0"/>
    <n v="0"/>
    <s v="BB"/>
    <s v="DEU"/>
    <s v="Online TA"/>
    <x v="0"/>
    <n v="0"/>
    <n v="0"/>
    <n v="0"/>
    <s v="E"/>
    <s v="E"/>
    <n v="0"/>
    <s v="No Deposit"/>
    <n v="240"/>
    <m/>
    <n v="0"/>
    <x v="0"/>
    <x v="53"/>
    <n v="0"/>
    <n v="2"/>
    <x v="1"/>
    <d v="2015-10-12T00:00:00"/>
  </r>
  <r>
    <x v="0"/>
    <x v="0"/>
    <n v="174"/>
    <n v="2015"/>
    <x v="1"/>
    <n v="41"/>
    <n v="10"/>
    <n v="1"/>
    <n v="1"/>
    <n v="2"/>
    <n v="0"/>
    <n v="0"/>
    <s v="BB"/>
    <s v="PRT"/>
    <s v="Offline TA/TO"/>
    <x v="0"/>
    <n v="0"/>
    <n v="0"/>
    <n v="0"/>
    <s v="A"/>
    <s v="A"/>
    <n v="0"/>
    <s v="Non Refund"/>
    <n v="3"/>
    <m/>
    <n v="0"/>
    <x v="0"/>
    <x v="10"/>
    <n v="0"/>
    <n v="0"/>
    <x v="0"/>
    <d v="2015-08-31T00:00:00"/>
  </r>
  <r>
    <x v="0"/>
    <x v="0"/>
    <n v="272"/>
    <n v="2015"/>
    <x v="0"/>
    <n v="29"/>
    <n v="16"/>
    <n v="0"/>
    <n v="2"/>
    <n v="2"/>
    <n v="0"/>
    <n v="0"/>
    <s v="BB"/>
    <s v="PRT"/>
    <s v="Groups"/>
    <x v="0"/>
    <n v="0"/>
    <n v="1"/>
    <n v="0"/>
    <s v="A"/>
    <s v="A"/>
    <n v="0"/>
    <s v="No Deposit"/>
    <n v="1"/>
    <m/>
    <n v="0"/>
    <x v="2"/>
    <x v="6"/>
    <n v="0"/>
    <n v="0"/>
    <x v="0"/>
    <d v="2015-01-01T00:00:00"/>
  </r>
  <r>
    <x v="1"/>
    <x v="1"/>
    <n v="54"/>
    <n v="2015"/>
    <x v="2"/>
    <n v="36"/>
    <n v="5"/>
    <n v="2"/>
    <n v="5"/>
    <n v="2"/>
    <n v="0"/>
    <n v="0"/>
    <s v="BB"/>
    <s v="CN"/>
    <s v="Direct"/>
    <x v="2"/>
    <n v="0"/>
    <n v="0"/>
    <n v="0"/>
    <s v="A"/>
    <s v="A"/>
    <n v="0"/>
    <s v="No Deposit"/>
    <n v="250"/>
    <m/>
    <n v="0"/>
    <x v="0"/>
    <x v="54"/>
    <n v="0"/>
    <n v="2"/>
    <x v="1"/>
    <d v="2015-09-12T00:00:00"/>
  </r>
  <r>
    <x v="1"/>
    <x v="0"/>
    <n v="80"/>
    <n v="2015"/>
    <x v="4"/>
    <n v="31"/>
    <n v="1"/>
    <n v="4"/>
    <n v="6"/>
    <n v="2"/>
    <n v="2"/>
    <n v="0"/>
    <s v="BB"/>
    <s v="PRT"/>
    <s v="Online TA"/>
    <x v="0"/>
    <n v="0"/>
    <n v="0"/>
    <n v="0"/>
    <s v="C"/>
    <s v="C"/>
    <n v="0"/>
    <s v="No Deposit"/>
    <n v="242"/>
    <m/>
    <n v="0"/>
    <x v="0"/>
    <x v="55"/>
    <n v="0"/>
    <n v="1"/>
    <x v="0"/>
    <d v="2015-07-21T00:00:00"/>
  </r>
  <r>
    <x v="1"/>
    <x v="0"/>
    <n v="16"/>
    <n v="2015"/>
    <x v="0"/>
    <n v="30"/>
    <n v="25"/>
    <n v="1"/>
    <n v="1"/>
    <n v="2"/>
    <n v="0"/>
    <n v="0"/>
    <s v="BB"/>
    <s v="PRT"/>
    <s v="Direct"/>
    <x v="2"/>
    <n v="0"/>
    <n v="0"/>
    <n v="0"/>
    <s v="A"/>
    <s v="A"/>
    <n v="0"/>
    <s v="No Deposit"/>
    <m/>
    <m/>
    <n v="0"/>
    <x v="0"/>
    <x v="56"/>
    <n v="0"/>
    <n v="0"/>
    <x v="0"/>
    <d v="2015-07-23T00:00:00"/>
  </r>
  <r>
    <x v="1"/>
    <x v="0"/>
    <n v="2"/>
    <n v="2015"/>
    <x v="1"/>
    <n v="42"/>
    <n v="14"/>
    <n v="0"/>
    <n v="1"/>
    <n v="1"/>
    <n v="0"/>
    <n v="0"/>
    <s v="BB"/>
    <s v="PRT"/>
    <s v="Corporate"/>
    <x v="1"/>
    <n v="0"/>
    <n v="1"/>
    <n v="0"/>
    <s v="A"/>
    <s v="A"/>
    <n v="0"/>
    <s v="No Deposit"/>
    <m/>
    <m/>
    <n v="0"/>
    <x v="0"/>
    <x v="35"/>
    <n v="0"/>
    <n v="0"/>
    <x v="0"/>
    <d v="2015-10-12T00:00:00"/>
  </r>
  <r>
    <x v="1"/>
    <x v="0"/>
    <n v="99"/>
    <n v="2015"/>
    <x v="1"/>
    <n v="43"/>
    <n v="24"/>
    <n v="1"/>
    <n v="1"/>
    <n v="2"/>
    <n v="0"/>
    <n v="0"/>
    <s v="BB"/>
    <s v="PRT"/>
    <s v="Online TA"/>
    <x v="0"/>
    <n v="0"/>
    <n v="0"/>
    <n v="0"/>
    <s v="E"/>
    <s v="E"/>
    <n v="0"/>
    <s v="No Deposit"/>
    <n v="240"/>
    <m/>
    <n v="0"/>
    <x v="0"/>
    <x v="9"/>
    <n v="0"/>
    <n v="2"/>
    <x v="0"/>
    <d v="2015-08-26T00:00:00"/>
  </r>
  <r>
    <x v="0"/>
    <x v="0"/>
    <n v="273"/>
    <n v="2015"/>
    <x v="0"/>
    <n v="29"/>
    <n v="17"/>
    <n v="0"/>
    <n v="2"/>
    <n v="2"/>
    <n v="0"/>
    <n v="0"/>
    <s v="HB"/>
    <s v="PRT"/>
    <s v="Offline TA/TO"/>
    <x v="0"/>
    <n v="0"/>
    <n v="1"/>
    <n v="0"/>
    <s v="A"/>
    <s v="A"/>
    <n v="0"/>
    <s v="No Deposit"/>
    <n v="6"/>
    <m/>
    <n v="0"/>
    <x v="1"/>
    <x v="12"/>
    <n v="0"/>
    <n v="0"/>
    <x v="0"/>
    <d v="2015-07-06T00:00:00"/>
  </r>
  <r>
    <x v="0"/>
    <x v="1"/>
    <n v="21"/>
    <n v="2015"/>
    <x v="2"/>
    <n v="36"/>
    <n v="3"/>
    <n v="0"/>
    <n v="2"/>
    <n v="2"/>
    <n v="0"/>
    <n v="0"/>
    <s v="BB"/>
    <s v="SWE"/>
    <s v="Online TA"/>
    <x v="0"/>
    <n v="0"/>
    <n v="0"/>
    <n v="0"/>
    <s v="A"/>
    <s v="A"/>
    <n v="0"/>
    <s v="No Deposit"/>
    <n v="9"/>
    <m/>
    <n v="0"/>
    <x v="2"/>
    <x v="57"/>
    <n v="0"/>
    <n v="0"/>
    <x v="1"/>
    <d v="2015-09-05T00:00:00"/>
  </r>
  <r>
    <x v="0"/>
    <x v="0"/>
    <n v="3"/>
    <n v="2015"/>
    <x v="4"/>
    <n v="34"/>
    <n v="17"/>
    <n v="1"/>
    <n v="3"/>
    <n v="2"/>
    <n v="0"/>
    <n v="0"/>
    <s v="BB"/>
    <s v="PRT"/>
    <s v="Corporate"/>
    <x v="1"/>
    <n v="0"/>
    <n v="0"/>
    <n v="0"/>
    <s v="A"/>
    <s v="A"/>
    <n v="0"/>
    <s v="No Deposit"/>
    <m/>
    <n v="38"/>
    <n v="0"/>
    <x v="0"/>
    <x v="58"/>
    <n v="0"/>
    <n v="0"/>
    <x v="0"/>
    <d v="2015-08-17T00:00:00"/>
  </r>
  <r>
    <x v="0"/>
    <x v="0"/>
    <n v="6"/>
    <n v="2015"/>
    <x v="2"/>
    <n v="39"/>
    <n v="20"/>
    <n v="2"/>
    <n v="0"/>
    <n v="2"/>
    <n v="0"/>
    <n v="0"/>
    <s v="BB"/>
    <s v="PRT"/>
    <s v="Corporate"/>
    <x v="1"/>
    <n v="0"/>
    <n v="1"/>
    <n v="0"/>
    <s v="A"/>
    <s v="A"/>
    <n v="0"/>
    <s v="Non Refund"/>
    <n v="78"/>
    <m/>
    <n v="0"/>
    <x v="0"/>
    <x v="25"/>
    <n v="0"/>
    <n v="0"/>
    <x v="0"/>
    <d v="2015-09-15T00:00:00"/>
  </r>
  <r>
    <x v="0"/>
    <x v="1"/>
    <n v="0"/>
    <n v="2015"/>
    <x v="1"/>
    <n v="42"/>
    <n v="12"/>
    <n v="1"/>
    <n v="2"/>
    <n v="1"/>
    <n v="0"/>
    <n v="0"/>
    <s v="BB"/>
    <s v="PRT"/>
    <s v="Corporate"/>
    <x v="1"/>
    <n v="0"/>
    <n v="0"/>
    <n v="0"/>
    <s v="A"/>
    <s v="A"/>
    <n v="0"/>
    <s v="No Deposit"/>
    <m/>
    <n v="40"/>
    <n v="0"/>
    <x v="0"/>
    <x v="9"/>
    <n v="0"/>
    <n v="0"/>
    <x v="1"/>
    <d v="2015-10-15T00:00:00"/>
  </r>
  <r>
    <x v="1"/>
    <x v="1"/>
    <n v="9"/>
    <n v="2015"/>
    <x v="1"/>
    <n v="42"/>
    <n v="14"/>
    <n v="1"/>
    <n v="4"/>
    <n v="2"/>
    <n v="0"/>
    <n v="0"/>
    <s v="BB"/>
    <s v="PRT"/>
    <s v="Online TA"/>
    <x v="0"/>
    <n v="0"/>
    <n v="0"/>
    <n v="0"/>
    <s v="A"/>
    <s v="A"/>
    <n v="0"/>
    <s v="No Deposit"/>
    <n v="241"/>
    <m/>
    <n v="0"/>
    <x v="0"/>
    <x v="59"/>
    <n v="0"/>
    <n v="1"/>
    <x v="1"/>
    <d v="2015-10-19T00:00:00"/>
  </r>
  <r>
    <x v="1"/>
    <x v="1"/>
    <n v="8"/>
    <n v="2015"/>
    <x v="0"/>
    <n v="29"/>
    <n v="14"/>
    <n v="2"/>
    <n v="5"/>
    <n v="2"/>
    <n v="0"/>
    <n v="0"/>
    <s v="HB"/>
    <s v="ESP"/>
    <s v="Online TA"/>
    <x v="0"/>
    <n v="0"/>
    <n v="0"/>
    <n v="0"/>
    <s v="A"/>
    <s v="A"/>
    <n v="1"/>
    <s v="No Deposit"/>
    <n v="240"/>
    <m/>
    <n v="0"/>
    <x v="0"/>
    <x v="60"/>
    <n v="0"/>
    <n v="1"/>
    <x v="1"/>
    <d v="2015-07-21T00:00:00"/>
  </r>
  <r>
    <x v="0"/>
    <x v="0"/>
    <n v="330"/>
    <n v="2015"/>
    <x v="2"/>
    <n v="37"/>
    <n v="12"/>
    <n v="2"/>
    <n v="2"/>
    <n v="2"/>
    <n v="0"/>
    <n v="0"/>
    <s v="BB"/>
    <s v="PRT"/>
    <s v="Groups"/>
    <x v="0"/>
    <n v="0"/>
    <n v="1"/>
    <n v="0"/>
    <s v="A"/>
    <s v="A"/>
    <n v="0"/>
    <s v="No Deposit"/>
    <n v="1"/>
    <m/>
    <n v="0"/>
    <x v="1"/>
    <x v="6"/>
    <n v="0"/>
    <n v="0"/>
    <x v="0"/>
    <d v="2015-07-06T00:00:00"/>
  </r>
  <r>
    <x v="0"/>
    <x v="1"/>
    <n v="9"/>
    <n v="2015"/>
    <x v="4"/>
    <n v="35"/>
    <n v="23"/>
    <n v="2"/>
    <n v="0"/>
    <n v="2"/>
    <n v="0"/>
    <n v="0"/>
    <s v="BB"/>
    <s v="ESP"/>
    <s v="Direct"/>
    <x v="2"/>
    <n v="0"/>
    <n v="0"/>
    <n v="0"/>
    <s v="A"/>
    <s v="A"/>
    <n v="0"/>
    <s v="No Deposit"/>
    <n v="14"/>
    <m/>
    <n v="0"/>
    <x v="0"/>
    <x v="45"/>
    <n v="0"/>
    <n v="0"/>
    <x v="1"/>
    <d v="2015-08-25T00:00:00"/>
  </r>
  <r>
    <x v="1"/>
    <x v="0"/>
    <n v="11"/>
    <n v="2015"/>
    <x v="3"/>
    <n v="49"/>
    <n v="5"/>
    <n v="2"/>
    <n v="1"/>
    <n v="2"/>
    <n v="0"/>
    <n v="0"/>
    <s v="FB"/>
    <s v="PRT"/>
    <s v="Offline TA/TO"/>
    <x v="0"/>
    <n v="0"/>
    <n v="1"/>
    <n v="0"/>
    <s v="A"/>
    <s v="A"/>
    <n v="0"/>
    <s v="No Deposit"/>
    <m/>
    <m/>
    <n v="0"/>
    <x v="1"/>
    <x v="61"/>
    <n v="0"/>
    <n v="0"/>
    <x v="0"/>
    <d v="2015-11-27T00:00:00"/>
  </r>
  <r>
    <x v="0"/>
    <x v="0"/>
    <n v="153"/>
    <n v="2015"/>
    <x v="4"/>
    <n v="32"/>
    <n v="3"/>
    <n v="1"/>
    <n v="2"/>
    <n v="2"/>
    <n v="0"/>
    <n v="0"/>
    <s v="BB"/>
    <s v="PRT"/>
    <s v="Groups"/>
    <x v="0"/>
    <n v="0"/>
    <n v="1"/>
    <n v="0"/>
    <s v="A"/>
    <s v="A"/>
    <n v="0"/>
    <s v="Non Refund"/>
    <n v="1"/>
    <m/>
    <n v="0"/>
    <x v="0"/>
    <x v="4"/>
    <n v="0"/>
    <n v="0"/>
    <x v="0"/>
    <d v="2015-05-19T00:00:00"/>
  </r>
  <r>
    <x v="1"/>
    <x v="1"/>
    <n v="107"/>
    <n v="2015"/>
    <x v="0"/>
    <n v="27"/>
    <n v="2"/>
    <n v="2"/>
    <n v="5"/>
    <n v="2"/>
    <n v="0"/>
    <n v="0"/>
    <s v="BB"/>
    <s v="PRT"/>
    <s v="Online TA"/>
    <x v="0"/>
    <n v="0"/>
    <n v="0"/>
    <n v="0"/>
    <s v="A"/>
    <s v="A"/>
    <n v="0"/>
    <s v="No Deposit"/>
    <n v="240"/>
    <m/>
    <n v="0"/>
    <x v="0"/>
    <x v="62"/>
    <n v="0"/>
    <n v="2"/>
    <x v="1"/>
    <d v="2015-07-09T00:00:00"/>
  </r>
  <r>
    <x v="0"/>
    <x v="1"/>
    <n v="80"/>
    <n v="2015"/>
    <x v="1"/>
    <n v="41"/>
    <n v="9"/>
    <n v="0"/>
    <n v="2"/>
    <n v="1"/>
    <n v="0"/>
    <n v="0"/>
    <s v="HB"/>
    <s v="PRT"/>
    <s v="Offline TA/TO"/>
    <x v="0"/>
    <n v="0"/>
    <n v="0"/>
    <n v="0"/>
    <s v="D"/>
    <s v="D"/>
    <n v="0"/>
    <s v="No Deposit"/>
    <n v="12"/>
    <m/>
    <n v="50"/>
    <x v="1"/>
    <x v="63"/>
    <n v="0"/>
    <n v="0"/>
    <x v="1"/>
    <d v="2015-10-11T00:00:00"/>
  </r>
  <r>
    <x v="1"/>
    <x v="1"/>
    <n v="32"/>
    <n v="2015"/>
    <x v="4"/>
    <n v="34"/>
    <n v="21"/>
    <n v="2"/>
    <n v="4"/>
    <n v="2"/>
    <n v="0"/>
    <n v="0"/>
    <s v="BB"/>
    <s v="CHE"/>
    <s v="Online TA"/>
    <x v="0"/>
    <n v="0"/>
    <n v="0"/>
    <n v="0"/>
    <s v="A"/>
    <s v="A"/>
    <n v="0"/>
    <s v="No Deposit"/>
    <n v="240"/>
    <m/>
    <n v="0"/>
    <x v="0"/>
    <x v="64"/>
    <n v="0"/>
    <n v="2"/>
    <x v="1"/>
    <d v="2015-08-27T00:00:00"/>
  </r>
  <r>
    <x v="0"/>
    <x v="1"/>
    <n v="55"/>
    <n v="2015"/>
    <x v="2"/>
    <n v="37"/>
    <n v="6"/>
    <n v="2"/>
    <n v="0"/>
    <n v="2"/>
    <n v="0"/>
    <n v="0"/>
    <s v="BB"/>
    <s v="ESP"/>
    <s v="Groups"/>
    <x v="0"/>
    <n v="0"/>
    <n v="0"/>
    <n v="0"/>
    <s v="A"/>
    <s v="A"/>
    <n v="0"/>
    <s v="No Deposit"/>
    <n v="1"/>
    <m/>
    <n v="0"/>
    <x v="1"/>
    <x v="45"/>
    <n v="0"/>
    <n v="0"/>
    <x v="1"/>
    <d v="2015-09-08T00:00:00"/>
  </r>
  <r>
    <x v="0"/>
    <x v="1"/>
    <n v="5"/>
    <n v="2015"/>
    <x v="3"/>
    <n v="52"/>
    <n v="22"/>
    <n v="0"/>
    <n v="5"/>
    <n v="0"/>
    <n v="2"/>
    <n v="0"/>
    <s v="BB"/>
    <s v="PRT"/>
    <s v="Complementary"/>
    <x v="2"/>
    <n v="0"/>
    <n v="0"/>
    <n v="0"/>
    <s v="B"/>
    <s v="B"/>
    <n v="1"/>
    <s v="No Deposit"/>
    <m/>
    <m/>
    <n v="0"/>
    <x v="0"/>
    <x v="7"/>
    <n v="0"/>
    <n v="0"/>
    <x v="1"/>
    <d v="2015-12-27T00:00:00"/>
  </r>
  <r>
    <x v="0"/>
    <x v="0"/>
    <n v="342"/>
    <n v="2015"/>
    <x v="2"/>
    <n v="39"/>
    <n v="24"/>
    <n v="0"/>
    <n v="2"/>
    <n v="2"/>
    <n v="0"/>
    <n v="0"/>
    <s v="BB"/>
    <s v="PRT"/>
    <s v="Groups"/>
    <x v="0"/>
    <n v="0"/>
    <n v="1"/>
    <n v="0"/>
    <s v="A"/>
    <s v="A"/>
    <n v="0"/>
    <s v="Non Refund"/>
    <n v="1"/>
    <m/>
    <n v="0"/>
    <x v="2"/>
    <x v="6"/>
    <n v="0"/>
    <n v="0"/>
    <x v="0"/>
    <d v="2015-01-01T00:00:00"/>
  </r>
  <r>
    <x v="1"/>
    <x v="1"/>
    <n v="91"/>
    <n v="2015"/>
    <x v="0"/>
    <n v="29"/>
    <n v="17"/>
    <n v="1"/>
    <n v="2"/>
    <n v="2"/>
    <n v="1"/>
    <n v="0"/>
    <s v="BB"/>
    <s v="MOZ"/>
    <s v="Online TA"/>
    <x v="0"/>
    <n v="0"/>
    <n v="0"/>
    <n v="0"/>
    <s v="A"/>
    <s v="A"/>
    <n v="4"/>
    <s v="No Deposit"/>
    <n v="240"/>
    <m/>
    <n v="0"/>
    <x v="0"/>
    <x v="65"/>
    <n v="0"/>
    <n v="3"/>
    <x v="1"/>
    <d v="2015-07-20T00:00:00"/>
  </r>
  <r>
    <x v="1"/>
    <x v="1"/>
    <n v="287"/>
    <n v="2015"/>
    <x v="1"/>
    <n v="42"/>
    <n v="15"/>
    <n v="1"/>
    <n v="3"/>
    <n v="1"/>
    <n v="0"/>
    <n v="0"/>
    <s v="BB"/>
    <s v="GBR"/>
    <s v="Groups"/>
    <x v="1"/>
    <n v="0"/>
    <n v="0"/>
    <n v="0"/>
    <s v="A"/>
    <s v="A"/>
    <n v="1"/>
    <s v="No Deposit"/>
    <m/>
    <n v="223"/>
    <n v="0"/>
    <x v="1"/>
    <x v="39"/>
    <n v="0"/>
    <n v="0"/>
    <x v="1"/>
    <d v="2015-10-19T00:00:00"/>
  </r>
  <r>
    <x v="0"/>
    <x v="1"/>
    <n v="32"/>
    <n v="2015"/>
    <x v="5"/>
    <n v="47"/>
    <n v="20"/>
    <n v="0"/>
    <n v="2"/>
    <n v="1"/>
    <n v="0"/>
    <n v="0"/>
    <s v="BB"/>
    <s v="PRT"/>
    <s v="Offline TA/TO"/>
    <x v="0"/>
    <n v="0"/>
    <n v="0"/>
    <n v="0"/>
    <s v="A"/>
    <s v="A"/>
    <n v="2"/>
    <s v="No Deposit"/>
    <n v="119"/>
    <m/>
    <n v="0"/>
    <x v="1"/>
    <x v="66"/>
    <n v="0"/>
    <n v="0"/>
    <x v="1"/>
    <d v="2015-11-22T00:00:00"/>
  </r>
  <r>
    <x v="1"/>
    <x v="0"/>
    <n v="121"/>
    <n v="2015"/>
    <x v="3"/>
    <n v="49"/>
    <n v="4"/>
    <n v="0"/>
    <n v="1"/>
    <n v="2"/>
    <n v="0"/>
    <n v="0"/>
    <s v="BB"/>
    <s v="PRT"/>
    <s v="Online TA"/>
    <x v="0"/>
    <n v="0"/>
    <n v="0"/>
    <n v="0"/>
    <s v="E"/>
    <s v="E"/>
    <n v="0"/>
    <s v="No Deposit"/>
    <n v="240"/>
    <m/>
    <n v="0"/>
    <x v="0"/>
    <x v="67"/>
    <n v="0"/>
    <n v="2"/>
    <x v="0"/>
    <d v="2015-08-17T00:00:00"/>
  </r>
  <r>
    <x v="0"/>
    <x v="1"/>
    <n v="152"/>
    <n v="2015"/>
    <x v="1"/>
    <n v="44"/>
    <n v="29"/>
    <n v="1"/>
    <n v="3"/>
    <n v="2"/>
    <n v="0"/>
    <n v="0"/>
    <s v="BB"/>
    <s v="DEU"/>
    <s v="Offline TA/TO"/>
    <x v="0"/>
    <n v="0"/>
    <n v="0"/>
    <n v="0"/>
    <s v="A"/>
    <s v="A"/>
    <n v="0"/>
    <s v="No Deposit"/>
    <n v="16"/>
    <m/>
    <n v="0"/>
    <x v="0"/>
    <x v="68"/>
    <n v="0"/>
    <n v="0"/>
    <x v="1"/>
    <d v="2015-11-02T00:00:00"/>
  </r>
  <r>
    <x v="1"/>
    <x v="1"/>
    <n v="13"/>
    <n v="2015"/>
    <x v="4"/>
    <n v="34"/>
    <n v="18"/>
    <n v="0"/>
    <n v="1"/>
    <n v="2"/>
    <n v="0"/>
    <n v="0"/>
    <s v="BB"/>
    <s v="PRT"/>
    <s v="Direct"/>
    <x v="2"/>
    <n v="0"/>
    <n v="0"/>
    <n v="0"/>
    <s v="A"/>
    <s v="A"/>
    <n v="0"/>
    <s v="No Deposit"/>
    <n v="250"/>
    <m/>
    <n v="0"/>
    <x v="0"/>
    <x v="69"/>
    <n v="0"/>
    <n v="0"/>
    <x v="1"/>
    <d v="2015-08-19T00:00:00"/>
  </r>
  <r>
    <x v="0"/>
    <x v="1"/>
    <n v="34"/>
    <n v="2015"/>
    <x v="2"/>
    <n v="39"/>
    <n v="23"/>
    <n v="0"/>
    <n v="3"/>
    <n v="2"/>
    <n v="0"/>
    <n v="0"/>
    <s v="HB"/>
    <s v="ESP"/>
    <s v="Offline TA/TO"/>
    <x v="0"/>
    <n v="0"/>
    <n v="0"/>
    <n v="0"/>
    <s v="A"/>
    <s v="A"/>
    <n v="0"/>
    <s v="No Deposit"/>
    <n v="52"/>
    <m/>
    <n v="33"/>
    <x v="1"/>
    <x v="70"/>
    <n v="0"/>
    <n v="0"/>
    <x v="1"/>
    <d v="2015-09-26T00:00:00"/>
  </r>
  <r>
    <x v="0"/>
    <x v="0"/>
    <n v="327"/>
    <n v="2015"/>
    <x v="2"/>
    <n v="37"/>
    <n v="9"/>
    <n v="0"/>
    <n v="2"/>
    <n v="2"/>
    <n v="0"/>
    <n v="0"/>
    <s v="BB"/>
    <s v="PRT"/>
    <s v="Groups"/>
    <x v="0"/>
    <n v="0"/>
    <n v="1"/>
    <n v="0"/>
    <s v="A"/>
    <s v="A"/>
    <n v="0"/>
    <s v="Non Refund"/>
    <n v="1"/>
    <m/>
    <n v="0"/>
    <x v="1"/>
    <x v="6"/>
    <n v="0"/>
    <n v="0"/>
    <x v="0"/>
    <d v="2015-07-02T00:00:00"/>
  </r>
  <r>
    <x v="1"/>
    <x v="1"/>
    <n v="0"/>
    <n v="2015"/>
    <x v="1"/>
    <n v="40"/>
    <n v="3"/>
    <n v="0"/>
    <n v="1"/>
    <n v="1"/>
    <n v="0"/>
    <n v="0"/>
    <s v="BB"/>
    <s v="AUT"/>
    <s v="Direct"/>
    <x v="2"/>
    <n v="0"/>
    <n v="0"/>
    <n v="0"/>
    <s v="A"/>
    <s v="C"/>
    <n v="0"/>
    <s v="No Deposit"/>
    <m/>
    <m/>
    <n v="0"/>
    <x v="0"/>
    <x v="71"/>
    <n v="1"/>
    <n v="0"/>
    <x v="1"/>
    <d v="2015-10-04T00:00:00"/>
  </r>
  <r>
    <x v="0"/>
    <x v="1"/>
    <n v="92"/>
    <n v="2015"/>
    <x v="5"/>
    <n v="48"/>
    <n v="26"/>
    <n v="0"/>
    <n v="3"/>
    <n v="2"/>
    <n v="0"/>
    <n v="0"/>
    <s v="BB"/>
    <s v="GBR"/>
    <s v="Offline TA/TO"/>
    <x v="0"/>
    <n v="0"/>
    <n v="0"/>
    <n v="0"/>
    <s v="A"/>
    <s v="A"/>
    <n v="0"/>
    <s v="No Deposit"/>
    <n v="6"/>
    <m/>
    <n v="0"/>
    <x v="0"/>
    <x v="72"/>
    <n v="0"/>
    <n v="1"/>
    <x v="1"/>
    <d v="2015-11-29T00:00:00"/>
  </r>
  <r>
    <x v="0"/>
    <x v="0"/>
    <n v="279"/>
    <n v="2015"/>
    <x v="0"/>
    <n v="30"/>
    <n v="23"/>
    <n v="0"/>
    <n v="2"/>
    <n v="2"/>
    <n v="0"/>
    <n v="0"/>
    <s v="BB"/>
    <s v="PRT"/>
    <s v="Groups"/>
    <x v="0"/>
    <n v="1"/>
    <n v="1"/>
    <n v="0"/>
    <s v="A"/>
    <s v="A"/>
    <n v="0"/>
    <s v="No Deposit"/>
    <n v="1"/>
    <m/>
    <n v="0"/>
    <x v="1"/>
    <x v="23"/>
    <n v="0"/>
    <n v="0"/>
    <x v="0"/>
    <d v="2014-10-17T00:00:00"/>
  </r>
  <r>
    <x v="1"/>
    <x v="1"/>
    <n v="21"/>
    <n v="2015"/>
    <x v="5"/>
    <n v="48"/>
    <n v="24"/>
    <n v="0"/>
    <n v="1"/>
    <n v="2"/>
    <n v="0"/>
    <n v="0"/>
    <s v="BB"/>
    <s v="ESP"/>
    <s v="Offline TA/TO"/>
    <x v="0"/>
    <n v="0"/>
    <n v="0"/>
    <n v="0"/>
    <s v="A"/>
    <s v="A"/>
    <n v="0"/>
    <s v="No Deposit"/>
    <n v="314"/>
    <m/>
    <n v="0"/>
    <x v="0"/>
    <x v="73"/>
    <n v="1"/>
    <n v="2"/>
    <x v="1"/>
    <d v="2015-11-25T00:00:00"/>
  </r>
  <r>
    <x v="0"/>
    <x v="1"/>
    <n v="59"/>
    <n v="2015"/>
    <x v="1"/>
    <n v="42"/>
    <n v="15"/>
    <n v="2"/>
    <n v="3"/>
    <n v="2"/>
    <n v="0"/>
    <n v="0"/>
    <s v="BB"/>
    <s v="NLD"/>
    <s v="Offline TA/TO"/>
    <x v="0"/>
    <n v="0"/>
    <n v="0"/>
    <n v="0"/>
    <s v="A"/>
    <s v="A"/>
    <n v="0"/>
    <s v="No Deposit"/>
    <n v="83"/>
    <m/>
    <n v="0"/>
    <x v="2"/>
    <x v="0"/>
    <n v="0"/>
    <n v="1"/>
    <x v="1"/>
    <d v="2015-10-20T00:00:00"/>
  </r>
  <r>
    <x v="0"/>
    <x v="1"/>
    <n v="102"/>
    <n v="2015"/>
    <x v="4"/>
    <n v="34"/>
    <n v="21"/>
    <n v="0"/>
    <n v="2"/>
    <n v="2"/>
    <n v="0"/>
    <n v="0"/>
    <s v="BB"/>
    <s v="PRT"/>
    <s v="Online TA"/>
    <x v="0"/>
    <n v="0"/>
    <n v="0"/>
    <n v="0"/>
    <s v="A"/>
    <s v="A"/>
    <n v="0"/>
    <s v="No Deposit"/>
    <n v="9"/>
    <m/>
    <n v="0"/>
    <x v="0"/>
    <x v="0"/>
    <n v="0"/>
    <n v="1"/>
    <x v="1"/>
    <d v="2015-08-23T00:00:00"/>
  </r>
  <r>
    <x v="1"/>
    <x v="1"/>
    <n v="13"/>
    <n v="2015"/>
    <x v="3"/>
    <n v="52"/>
    <n v="23"/>
    <n v="0"/>
    <n v="4"/>
    <n v="1"/>
    <n v="0"/>
    <n v="0"/>
    <s v="BB"/>
    <s v="FRA"/>
    <s v="Online TA"/>
    <x v="0"/>
    <n v="0"/>
    <n v="0"/>
    <n v="0"/>
    <s v="E"/>
    <s v="E"/>
    <n v="1"/>
    <s v="No Deposit"/>
    <n v="240"/>
    <m/>
    <n v="0"/>
    <x v="0"/>
    <x v="74"/>
    <n v="0"/>
    <n v="1"/>
    <x v="1"/>
    <d v="2015-12-27T00:00:00"/>
  </r>
  <r>
    <x v="1"/>
    <x v="1"/>
    <n v="134"/>
    <n v="2015"/>
    <x v="4"/>
    <n v="35"/>
    <n v="29"/>
    <n v="2"/>
    <n v="3"/>
    <n v="2"/>
    <n v="0"/>
    <n v="0"/>
    <s v="BB"/>
    <s v="PRT"/>
    <s v="Online TA"/>
    <x v="0"/>
    <n v="0"/>
    <n v="0"/>
    <n v="0"/>
    <s v="E"/>
    <s v="E"/>
    <n v="0"/>
    <s v="No Deposit"/>
    <n v="240"/>
    <m/>
    <n v="0"/>
    <x v="0"/>
    <x v="5"/>
    <n v="0"/>
    <n v="2"/>
    <x v="1"/>
    <d v="2015-09-03T00:00:00"/>
  </r>
  <r>
    <x v="1"/>
    <x v="0"/>
    <n v="52"/>
    <n v="2015"/>
    <x v="4"/>
    <n v="32"/>
    <n v="3"/>
    <n v="1"/>
    <n v="4"/>
    <n v="2"/>
    <n v="0"/>
    <n v="0"/>
    <s v="BB"/>
    <s v="PRT"/>
    <s v="Online TA"/>
    <x v="0"/>
    <n v="0"/>
    <n v="0"/>
    <n v="0"/>
    <s v="D"/>
    <s v="D"/>
    <n v="0"/>
    <s v="No Deposit"/>
    <n v="240"/>
    <m/>
    <n v="0"/>
    <x v="0"/>
    <x v="75"/>
    <n v="0"/>
    <n v="0"/>
    <x v="0"/>
    <d v="2015-07-13T00:00:00"/>
  </r>
  <r>
    <x v="0"/>
    <x v="1"/>
    <n v="5"/>
    <n v="2015"/>
    <x v="2"/>
    <n v="37"/>
    <n v="9"/>
    <n v="0"/>
    <n v="2"/>
    <n v="1"/>
    <n v="0"/>
    <n v="0"/>
    <s v="BB"/>
    <s v="DEU"/>
    <s v="Online TA"/>
    <x v="0"/>
    <n v="0"/>
    <n v="0"/>
    <n v="0"/>
    <s v="A"/>
    <s v="A"/>
    <n v="0"/>
    <s v="No Deposit"/>
    <n v="9"/>
    <m/>
    <n v="0"/>
    <x v="2"/>
    <x v="76"/>
    <n v="0"/>
    <n v="2"/>
    <x v="1"/>
    <d v="2015-09-11T00:00:00"/>
  </r>
  <r>
    <x v="0"/>
    <x v="1"/>
    <n v="6"/>
    <n v="2015"/>
    <x v="1"/>
    <n v="42"/>
    <n v="11"/>
    <n v="2"/>
    <n v="1"/>
    <n v="1"/>
    <n v="0"/>
    <n v="0"/>
    <s v="BB"/>
    <s v="GBR"/>
    <s v="Online TA"/>
    <x v="0"/>
    <n v="0"/>
    <n v="0"/>
    <n v="0"/>
    <s v="A"/>
    <s v="A"/>
    <n v="0"/>
    <s v="No Deposit"/>
    <n v="7"/>
    <m/>
    <n v="0"/>
    <x v="0"/>
    <x v="77"/>
    <n v="0"/>
    <n v="2"/>
    <x v="1"/>
    <d v="2015-10-14T00:00:00"/>
  </r>
  <r>
    <x v="0"/>
    <x v="1"/>
    <n v="19"/>
    <n v="2015"/>
    <x v="1"/>
    <n v="41"/>
    <n v="6"/>
    <n v="0"/>
    <n v="3"/>
    <n v="2"/>
    <n v="0"/>
    <n v="0"/>
    <s v="BB"/>
    <s v="PRT"/>
    <s v="Offline TA/TO"/>
    <x v="0"/>
    <n v="1"/>
    <n v="0"/>
    <n v="0"/>
    <s v="A"/>
    <s v="A"/>
    <n v="0"/>
    <s v="No Deposit"/>
    <n v="82"/>
    <m/>
    <n v="0"/>
    <x v="1"/>
    <x v="13"/>
    <n v="0"/>
    <n v="0"/>
    <x v="1"/>
    <d v="2015-10-09T00:00:00"/>
  </r>
  <r>
    <x v="1"/>
    <x v="1"/>
    <n v="5"/>
    <n v="2015"/>
    <x v="5"/>
    <n v="48"/>
    <n v="22"/>
    <n v="2"/>
    <n v="0"/>
    <n v="1"/>
    <n v="0"/>
    <n v="0"/>
    <s v="BB"/>
    <s v="USA"/>
    <s v="Online TA"/>
    <x v="0"/>
    <n v="0"/>
    <n v="0"/>
    <n v="0"/>
    <s v="A"/>
    <s v="D"/>
    <n v="0"/>
    <s v="No Deposit"/>
    <n v="240"/>
    <m/>
    <n v="0"/>
    <x v="0"/>
    <x v="78"/>
    <n v="0"/>
    <n v="1"/>
    <x v="1"/>
    <d v="2015-11-24T00:00:00"/>
  </r>
  <r>
    <x v="0"/>
    <x v="0"/>
    <n v="0"/>
    <n v="2015"/>
    <x v="2"/>
    <n v="39"/>
    <n v="26"/>
    <n v="0"/>
    <n v="1"/>
    <n v="2"/>
    <n v="0"/>
    <n v="0"/>
    <s v="BB"/>
    <s v="PRT"/>
    <s v="Direct"/>
    <x v="2"/>
    <n v="1"/>
    <n v="0"/>
    <n v="0"/>
    <s v="A"/>
    <s v="A"/>
    <n v="0"/>
    <s v="No Deposit"/>
    <m/>
    <m/>
    <n v="0"/>
    <x v="0"/>
    <x v="34"/>
    <n v="0"/>
    <n v="0"/>
    <x v="2"/>
    <d v="2015-09-26T00:00:00"/>
  </r>
  <r>
    <x v="0"/>
    <x v="1"/>
    <n v="8"/>
    <n v="2015"/>
    <x v="2"/>
    <n v="40"/>
    <n v="29"/>
    <n v="0"/>
    <n v="3"/>
    <n v="1"/>
    <n v="0"/>
    <n v="0"/>
    <s v="BB"/>
    <s v="PRT"/>
    <s v="Corporate"/>
    <x v="1"/>
    <n v="0"/>
    <n v="0"/>
    <n v="0"/>
    <s v="A"/>
    <s v="A"/>
    <n v="0"/>
    <s v="No Deposit"/>
    <m/>
    <n v="40"/>
    <n v="0"/>
    <x v="0"/>
    <x v="9"/>
    <n v="0"/>
    <n v="0"/>
    <x v="1"/>
    <d v="2015-10-02T00:00:00"/>
  </r>
  <r>
    <x v="0"/>
    <x v="1"/>
    <n v="63"/>
    <n v="2015"/>
    <x v="2"/>
    <n v="36"/>
    <n v="4"/>
    <n v="0"/>
    <n v="2"/>
    <n v="2"/>
    <n v="0"/>
    <n v="0"/>
    <s v="HB"/>
    <s v="PRT"/>
    <s v="Offline TA/TO"/>
    <x v="0"/>
    <n v="0"/>
    <n v="0"/>
    <n v="0"/>
    <s v="A"/>
    <s v="D"/>
    <n v="0"/>
    <s v="No Deposit"/>
    <n v="21"/>
    <m/>
    <n v="0"/>
    <x v="1"/>
    <x v="79"/>
    <n v="0"/>
    <n v="0"/>
    <x v="1"/>
    <d v="2015-09-06T00:00:00"/>
  </r>
  <r>
    <x v="1"/>
    <x v="1"/>
    <n v="25"/>
    <n v="2015"/>
    <x v="5"/>
    <n v="45"/>
    <n v="3"/>
    <n v="0"/>
    <n v="4"/>
    <n v="1"/>
    <n v="0"/>
    <n v="0"/>
    <s v="BB"/>
    <s v="BEL"/>
    <s v="Offline TA/TO"/>
    <x v="0"/>
    <n v="0"/>
    <n v="0"/>
    <n v="0"/>
    <s v="D"/>
    <s v="D"/>
    <n v="0"/>
    <s v="No Deposit"/>
    <n v="314"/>
    <m/>
    <n v="0"/>
    <x v="0"/>
    <x v="80"/>
    <n v="0"/>
    <n v="0"/>
    <x v="1"/>
    <d v="2015-11-07T00:00:00"/>
  </r>
  <r>
    <x v="0"/>
    <x v="1"/>
    <n v="1"/>
    <n v="2015"/>
    <x v="2"/>
    <n v="36"/>
    <n v="1"/>
    <n v="0"/>
    <n v="3"/>
    <n v="1"/>
    <n v="0"/>
    <n v="0"/>
    <s v="BB"/>
    <s v="ESP"/>
    <s v="Groups"/>
    <x v="0"/>
    <n v="0"/>
    <n v="0"/>
    <n v="0"/>
    <s v="A"/>
    <s v="D"/>
    <n v="0"/>
    <s v="No Deposit"/>
    <n v="1"/>
    <m/>
    <n v="0"/>
    <x v="0"/>
    <x v="7"/>
    <n v="0"/>
    <n v="0"/>
    <x v="1"/>
    <d v="2015-09-04T00:00:00"/>
  </r>
  <r>
    <x v="0"/>
    <x v="1"/>
    <n v="16"/>
    <n v="2015"/>
    <x v="2"/>
    <n v="39"/>
    <n v="25"/>
    <n v="2"/>
    <n v="3"/>
    <n v="1"/>
    <n v="0"/>
    <n v="0"/>
    <s v="BB"/>
    <s v="PRT"/>
    <s v="Groups"/>
    <x v="0"/>
    <n v="0"/>
    <n v="0"/>
    <n v="0"/>
    <s v="A"/>
    <s v="A"/>
    <n v="0"/>
    <s v="No Deposit"/>
    <n v="1"/>
    <m/>
    <n v="0"/>
    <x v="1"/>
    <x v="34"/>
    <n v="0"/>
    <n v="0"/>
    <x v="1"/>
    <d v="2015-09-30T00:00:00"/>
  </r>
  <r>
    <x v="0"/>
    <x v="1"/>
    <n v="207"/>
    <n v="2015"/>
    <x v="4"/>
    <n v="34"/>
    <n v="21"/>
    <n v="2"/>
    <n v="3"/>
    <n v="2"/>
    <n v="0"/>
    <n v="0"/>
    <s v="BB"/>
    <s v="ESP"/>
    <s v="Online TA"/>
    <x v="0"/>
    <n v="0"/>
    <n v="0"/>
    <n v="0"/>
    <s v="A"/>
    <s v="D"/>
    <n v="0"/>
    <s v="No Deposit"/>
    <n v="9"/>
    <m/>
    <n v="0"/>
    <x v="1"/>
    <x v="0"/>
    <n v="0"/>
    <n v="3"/>
    <x v="1"/>
    <d v="2015-08-26T00:00:00"/>
  </r>
  <r>
    <x v="0"/>
    <x v="1"/>
    <n v="14"/>
    <n v="2015"/>
    <x v="2"/>
    <n v="36"/>
    <n v="1"/>
    <n v="0"/>
    <n v="1"/>
    <n v="2"/>
    <n v="0"/>
    <n v="0"/>
    <s v="BB"/>
    <s v="PRT"/>
    <s v="Online TA"/>
    <x v="0"/>
    <n v="0"/>
    <n v="0"/>
    <n v="0"/>
    <s v="A"/>
    <s v="D"/>
    <n v="0"/>
    <s v="No Deposit"/>
    <n v="9"/>
    <m/>
    <n v="0"/>
    <x v="2"/>
    <x v="57"/>
    <n v="0"/>
    <n v="2"/>
    <x v="1"/>
    <d v="2015-09-02T00:00:00"/>
  </r>
  <r>
    <x v="0"/>
    <x v="1"/>
    <n v="40"/>
    <n v="2015"/>
    <x v="3"/>
    <n v="52"/>
    <n v="26"/>
    <n v="2"/>
    <n v="3"/>
    <n v="2"/>
    <n v="0"/>
    <n v="0"/>
    <s v="BB"/>
    <s v="FRA"/>
    <s v="Online TA"/>
    <x v="0"/>
    <n v="0"/>
    <n v="0"/>
    <n v="0"/>
    <s v="A"/>
    <s v="A"/>
    <n v="0"/>
    <s v="No Deposit"/>
    <n v="11"/>
    <m/>
    <n v="0"/>
    <x v="0"/>
    <x v="81"/>
    <n v="0"/>
    <n v="0"/>
    <x v="1"/>
    <d v="2015-12-31T00:00:00"/>
  </r>
  <r>
    <x v="0"/>
    <x v="1"/>
    <n v="7"/>
    <n v="2015"/>
    <x v="2"/>
    <n v="38"/>
    <n v="16"/>
    <n v="0"/>
    <n v="2"/>
    <n v="1"/>
    <n v="0"/>
    <n v="0"/>
    <s v="BB"/>
    <s v="ESP"/>
    <s v="Offline TA/TO"/>
    <x v="0"/>
    <n v="0"/>
    <n v="0"/>
    <n v="0"/>
    <s v="A"/>
    <s v="A"/>
    <n v="0"/>
    <s v="No Deposit"/>
    <n v="13"/>
    <m/>
    <n v="0"/>
    <x v="2"/>
    <x v="82"/>
    <n v="0"/>
    <n v="0"/>
    <x v="1"/>
    <d v="2015-09-18T00:00:00"/>
  </r>
  <r>
    <x v="1"/>
    <x v="1"/>
    <n v="104"/>
    <n v="2015"/>
    <x v="2"/>
    <n v="36"/>
    <n v="2"/>
    <n v="1"/>
    <n v="4"/>
    <n v="2"/>
    <n v="0"/>
    <n v="0"/>
    <s v="BB"/>
    <s v="GBR"/>
    <s v="Online TA"/>
    <x v="0"/>
    <n v="0"/>
    <n v="0"/>
    <n v="0"/>
    <s v="A"/>
    <s v="D"/>
    <n v="0"/>
    <s v="No Deposit"/>
    <n v="241"/>
    <m/>
    <n v="0"/>
    <x v="0"/>
    <x v="83"/>
    <n v="0"/>
    <n v="0"/>
    <x v="1"/>
    <d v="2015-09-07T00:00:00"/>
  </r>
  <r>
    <x v="0"/>
    <x v="1"/>
    <n v="164"/>
    <n v="2015"/>
    <x v="1"/>
    <n v="40"/>
    <n v="2"/>
    <n v="0"/>
    <n v="2"/>
    <n v="1"/>
    <n v="0"/>
    <n v="0"/>
    <s v="BB"/>
    <s v="PRT"/>
    <s v="Offline TA/TO"/>
    <x v="0"/>
    <n v="0"/>
    <n v="0"/>
    <n v="0"/>
    <s v="A"/>
    <s v="D"/>
    <n v="0"/>
    <s v="No Deposit"/>
    <n v="19"/>
    <m/>
    <n v="0"/>
    <x v="1"/>
    <x v="25"/>
    <n v="0"/>
    <n v="0"/>
    <x v="1"/>
    <d v="2015-10-04T00:00:00"/>
  </r>
  <r>
    <x v="0"/>
    <x v="1"/>
    <n v="56"/>
    <n v="2015"/>
    <x v="2"/>
    <n v="38"/>
    <n v="17"/>
    <n v="0"/>
    <n v="2"/>
    <n v="2"/>
    <n v="0"/>
    <n v="0"/>
    <s v="HB"/>
    <s v="FRA"/>
    <s v="Offline TA/TO"/>
    <x v="0"/>
    <n v="0"/>
    <n v="0"/>
    <n v="0"/>
    <s v="A"/>
    <s v="D"/>
    <n v="0"/>
    <s v="No Deposit"/>
    <n v="20"/>
    <m/>
    <n v="0"/>
    <x v="1"/>
    <x v="84"/>
    <n v="0"/>
    <n v="0"/>
    <x v="1"/>
    <d v="2015-09-19T00:00:00"/>
  </r>
  <r>
    <x v="0"/>
    <x v="1"/>
    <n v="9"/>
    <n v="2015"/>
    <x v="4"/>
    <n v="34"/>
    <n v="19"/>
    <n v="0"/>
    <n v="3"/>
    <n v="2"/>
    <n v="0"/>
    <n v="0"/>
    <s v="BB"/>
    <s v="FRA"/>
    <s v="Online TA"/>
    <x v="0"/>
    <n v="0"/>
    <n v="0"/>
    <n v="0"/>
    <s v="A"/>
    <s v="A"/>
    <n v="0"/>
    <s v="No Deposit"/>
    <n v="9"/>
    <m/>
    <n v="0"/>
    <x v="0"/>
    <x v="85"/>
    <n v="0"/>
    <n v="1"/>
    <x v="1"/>
    <d v="2015-08-22T00:00:00"/>
  </r>
  <r>
    <x v="0"/>
    <x v="0"/>
    <n v="304"/>
    <n v="2015"/>
    <x v="4"/>
    <n v="34"/>
    <n v="17"/>
    <n v="1"/>
    <n v="1"/>
    <n v="2"/>
    <n v="0"/>
    <n v="0"/>
    <s v="BB"/>
    <s v="PRT"/>
    <s v="Groups"/>
    <x v="0"/>
    <n v="0"/>
    <n v="1"/>
    <n v="0"/>
    <s v="A"/>
    <s v="A"/>
    <n v="0"/>
    <s v="Non Refund"/>
    <n v="1"/>
    <m/>
    <n v="0"/>
    <x v="2"/>
    <x v="6"/>
    <n v="0"/>
    <n v="0"/>
    <x v="0"/>
    <d v="2015-01-01T00:00:00"/>
  </r>
  <r>
    <x v="1"/>
    <x v="1"/>
    <n v="0"/>
    <n v="2015"/>
    <x v="5"/>
    <n v="45"/>
    <n v="3"/>
    <n v="0"/>
    <n v="1"/>
    <n v="1"/>
    <n v="0"/>
    <n v="0"/>
    <s v="BB"/>
    <m/>
    <s v="Direct"/>
    <x v="2"/>
    <n v="0"/>
    <n v="0"/>
    <n v="0"/>
    <s v="A"/>
    <s v="A"/>
    <n v="0"/>
    <s v="No Deposit"/>
    <m/>
    <m/>
    <n v="0"/>
    <x v="0"/>
    <x v="78"/>
    <n v="0"/>
    <n v="0"/>
    <x v="1"/>
    <d v="2015-11-04T00:00:00"/>
  </r>
  <r>
    <x v="1"/>
    <x v="0"/>
    <n v="260"/>
    <n v="2015"/>
    <x v="2"/>
    <n v="38"/>
    <n v="19"/>
    <n v="2"/>
    <n v="5"/>
    <n v="2"/>
    <n v="0"/>
    <n v="0"/>
    <s v="BB"/>
    <s v="PRT"/>
    <s v="Offline TA/TO"/>
    <x v="0"/>
    <n v="0"/>
    <n v="1"/>
    <n v="0"/>
    <s v="A"/>
    <s v="A"/>
    <n v="0"/>
    <s v="Non Refund"/>
    <n v="96"/>
    <m/>
    <n v="0"/>
    <x v="0"/>
    <x v="86"/>
    <n v="0"/>
    <n v="0"/>
    <x v="0"/>
    <d v="2015-06-17T00:00:00"/>
  </r>
  <r>
    <x v="0"/>
    <x v="1"/>
    <n v="39"/>
    <n v="2015"/>
    <x v="4"/>
    <n v="33"/>
    <n v="14"/>
    <n v="0"/>
    <n v="2"/>
    <n v="2"/>
    <n v="0"/>
    <n v="0"/>
    <s v="HB"/>
    <s v="DEU"/>
    <s v="Offline TA/TO"/>
    <x v="0"/>
    <n v="0"/>
    <n v="0"/>
    <n v="0"/>
    <s v="A"/>
    <s v="A"/>
    <n v="0"/>
    <s v="No Deposit"/>
    <n v="6"/>
    <m/>
    <n v="0"/>
    <x v="1"/>
    <x v="1"/>
    <n v="0"/>
    <n v="0"/>
    <x v="1"/>
    <d v="2015-08-16T00:00:00"/>
  </r>
  <r>
    <x v="0"/>
    <x v="0"/>
    <n v="19"/>
    <n v="2015"/>
    <x v="2"/>
    <n v="39"/>
    <n v="21"/>
    <n v="1"/>
    <n v="1"/>
    <n v="2"/>
    <n v="0"/>
    <n v="0"/>
    <s v="BB"/>
    <s v="PRT"/>
    <s v="Offline TA/TO"/>
    <x v="0"/>
    <n v="0"/>
    <n v="0"/>
    <n v="0"/>
    <s v="A"/>
    <s v="A"/>
    <n v="0"/>
    <s v="No Deposit"/>
    <n v="20"/>
    <m/>
    <n v="0"/>
    <x v="1"/>
    <x v="21"/>
    <n v="0"/>
    <n v="0"/>
    <x v="0"/>
    <d v="2015-09-11T00:00:00"/>
  </r>
  <r>
    <x v="1"/>
    <x v="1"/>
    <n v="272"/>
    <n v="2015"/>
    <x v="2"/>
    <n v="40"/>
    <n v="30"/>
    <n v="0"/>
    <n v="3"/>
    <n v="1"/>
    <n v="0"/>
    <n v="0"/>
    <s v="HB"/>
    <s v="FRA"/>
    <s v="Offline TA/TO"/>
    <x v="0"/>
    <n v="0"/>
    <n v="0"/>
    <n v="0"/>
    <s v="A"/>
    <s v="A"/>
    <n v="2"/>
    <s v="No Deposit"/>
    <n v="256"/>
    <m/>
    <n v="0"/>
    <x v="1"/>
    <x v="7"/>
    <n v="0"/>
    <n v="0"/>
    <x v="1"/>
    <d v="2015-10-03T00:00:00"/>
  </r>
  <r>
    <x v="0"/>
    <x v="0"/>
    <n v="364"/>
    <n v="2015"/>
    <x v="1"/>
    <n v="42"/>
    <n v="16"/>
    <n v="0"/>
    <n v="2"/>
    <n v="2"/>
    <n v="0"/>
    <n v="0"/>
    <s v="HB"/>
    <s v="PRT"/>
    <s v="Offline TA/TO"/>
    <x v="0"/>
    <n v="0"/>
    <n v="1"/>
    <n v="0"/>
    <s v="A"/>
    <s v="A"/>
    <n v="0"/>
    <s v="Non Refund"/>
    <n v="6"/>
    <m/>
    <n v="0"/>
    <x v="1"/>
    <x v="12"/>
    <n v="0"/>
    <n v="0"/>
    <x v="0"/>
    <d v="2015-07-06T00:00:00"/>
  </r>
  <r>
    <x v="0"/>
    <x v="1"/>
    <n v="1"/>
    <n v="2015"/>
    <x v="1"/>
    <n v="41"/>
    <n v="9"/>
    <n v="2"/>
    <n v="2"/>
    <n v="2"/>
    <n v="0"/>
    <n v="0"/>
    <s v="BB"/>
    <s v="USA"/>
    <s v="Online TA"/>
    <x v="0"/>
    <n v="0"/>
    <n v="0"/>
    <n v="0"/>
    <s v="A"/>
    <s v="A"/>
    <n v="0"/>
    <s v="No Deposit"/>
    <n v="9"/>
    <m/>
    <n v="0"/>
    <x v="0"/>
    <x v="87"/>
    <n v="0"/>
    <n v="2"/>
    <x v="1"/>
    <d v="2015-10-13T00:00:00"/>
  </r>
  <r>
    <x v="0"/>
    <x v="1"/>
    <n v="36"/>
    <n v="2015"/>
    <x v="1"/>
    <n v="42"/>
    <n v="13"/>
    <n v="0"/>
    <n v="3"/>
    <n v="2"/>
    <n v="0"/>
    <n v="0"/>
    <s v="HB"/>
    <s v="PRT"/>
    <s v="Offline TA/TO"/>
    <x v="0"/>
    <n v="0"/>
    <n v="0"/>
    <n v="0"/>
    <s v="A"/>
    <s v="D"/>
    <n v="0"/>
    <s v="No Deposit"/>
    <n v="26"/>
    <m/>
    <n v="0"/>
    <x v="1"/>
    <x v="88"/>
    <n v="0"/>
    <n v="0"/>
    <x v="1"/>
    <d v="2015-10-16T00:00:00"/>
  </r>
  <r>
    <x v="0"/>
    <x v="1"/>
    <n v="0"/>
    <n v="2015"/>
    <x v="5"/>
    <n v="46"/>
    <n v="14"/>
    <n v="0"/>
    <n v="1"/>
    <n v="2"/>
    <n v="0"/>
    <n v="0"/>
    <s v="SC"/>
    <s v="DEU"/>
    <s v="Online TA"/>
    <x v="0"/>
    <n v="0"/>
    <n v="0"/>
    <n v="0"/>
    <s v="A"/>
    <s v="A"/>
    <n v="3"/>
    <s v="No Deposit"/>
    <n v="9"/>
    <m/>
    <n v="0"/>
    <x v="2"/>
    <x v="89"/>
    <n v="0"/>
    <n v="2"/>
    <x v="1"/>
    <d v="2015-11-15T00:00:00"/>
  </r>
  <r>
    <x v="0"/>
    <x v="1"/>
    <n v="6"/>
    <n v="2015"/>
    <x v="3"/>
    <n v="50"/>
    <n v="10"/>
    <n v="0"/>
    <n v="2"/>
    <n v="2"/>
    <n v="0"/>
    <n v="0"/>
    <s v="HB"/>
    <s v="DEU"/>
    <s v="Offline TA/TO"/>
    <x v="0"/>
    <n v="0"/>
    <n v="0"/>
    <n v="0"/>
    <s v="A"/>
    <s v="A"/>
    <n v="0"/>
    <s v="No Deposit"/>
    <n v="6"/>
    <m/>
    <n v="0"/>
    <x v="1"/>
    <x v="7"/>
    <n v="0"/>
    <n v="1"/>
    <x v="1"/>
    <d v="2015-12-12T00:00:00"/>
  </r>
  <r>
    <x v="1"/>
    <x v="1"/>
    <n v="4"/>
    <n v="2015"/>
    <x v="0"/>
    <n v="30"/>
    <n v="19"/>
    <n v="2"/>
    <n v="0"/>
    <n v="2"/>
    <n v="0"/>
    <n v="0"/>
    <s v="BB"/>
    <s v="PRT"/>
    <s v="Online TA"/>
    <x v="0"/>
    <n v="0"/>
    <n v="0"/>
    <n v="0"/>
    <s v="E"/>
    <s v="E"/>
    <n v="0"/>
    <s v="No Deposit"/>
    <n v="240"/>
    <m/>
    <n v="0"/>
    <x v="0"/>
    <x v="90"/>
    <n v="1"/>
    <n v="2"/>
    <x v="1"/>
    <d v="2015-07-21T00:00:00"/>
  </r>
  <r>
    <x v="1"/>
    <x v="0"/>
    <n v="41"/>
    <n v="2015"/>
    <x v="5"/>
    <n v="46"/>
    <n v="12"/>
    <n v="1"/>
    <n v="3"/>
    <n v="1"/>
    <n v="0"/>
    <n v="0"/>
    <s v="BB"/>
    <s v="PRT"/>
    <s v="Corporate"/>
    <x v="1"/>
    <n v="0"/>
    <n v="0"/>
    <n v="0"/>
    <s v="A"/>
    <s v="A"/>
    <n v="1"/>
    <s v="No Deposit"/>
    <n v="185"/>
    <n v="281"/>
    <n v="0"/>
    <x v="1"/>
    <x v="91"/>
    <n v="0"/>
    <n v="0"/>
    <x v="0"/>
    <d v="2015-11-09T00:00:00"/>
  </r>
  <r>
    <x v="1"/>
    <x v="1"/>
    <n v="77"/>
    <n v="2015"/>
    <x v="1"/>
    <n v="41"/>
    <n v="9"/>
    <n v="0"/>
    <n v="2"/>
    <n v="2"/>
    <n v="0"/>
    <n v="0"/>
    <s v="BB"/>
    <s v="PRT"/>
    <s v="Direct"/>
    <x v="2"/>
    <n v="0"/>
    <n v="0"/>
    <n v="0"/>
    <s v="A"/>
    <s v="A"/>
    <n v="0"/>
    <s v="No Deposit"/>
    <n v="250"/>
    <m/>
    <n v="0"/>
    <x v="2"/>
    <x v="92"/>
    <n v="1"/>
    <n v="1"/>
    <x v="1"/>
    <d v="2015-10-11T00:00:00"/>
  </r>
  <r>
    <x v="1"/>
    <x v="1"/>
    <n v="22"/>
    <n v="2015"/>
    <x v="1"/>
    <n v="41"/>
    <n v="9"/>
    <n v="2"/>
    <n v="2"/>
    <n v="2"/>
    <n v="0"/>
    <n v="0"/>
    <s v="BB"/>
    <s v="PRT"/>
    <s v="Online TA"/>
    <x v="0"/>
    <n v="0"/>
    <n v="0"/>
    <n v="0"/>
    <s v="D"/>
    <s v="D"/>
    <n v="0"/>
    <s v="No Deposit"/>
    <n v="240"/>
    <m/>
    <n v="0"/>
    <x v="0"/>
    <x v="93"/>
    <n v="1"/>
    <n v="2"/>
    <x v="1"/>
    <d v="2015-10-13T00:00:00"/>
  </r>
  <r>
    <x v="0"/>
    <x v="1"/>
    <n v="66"/>
    <n v="2015"/>
    <x v="5"/>
    <n v="47"/>
    <n v="19"/>
    <n v="0"/>
    <n v="1"/>
    <n v="2"/>
    <n v="0"/>
    <n v="0"/>
    <s v="BB"/>
    <s v="IND"/>
    <s v="Online TA"/>
    <x v="0"/>
    <n v="0"/>
    <n v="0"/>
    <n v="0"/>
    <s v="D"/>
    <s v="D"/>
    <n v="0"/>
    <s v="No Deposit"/>
    <n v="9"/>
    <m/>
    <n v="0"/>
    <x v="2"/>
    <x v="94"/>
    <n v="0"/>
    <n v="2"/>
    <x v="1"/>
    <d v="2015-11-20T00:00:00"/>
  </r>
  <r>
    <x v="0"/>
    <x v="0"/>
    <n v="323"/>
    <n v="2015"/>
    <x v="2"/>
    <n v="36"/>
    <n v="5"/>
    <n v="1"/>
    <n v="1"/>
    <n v="2"/>
    <n v="0"/>
    <n v="0"/>
    <s v="BB"/>
    <s v="PRT"/>
    <s v="Groups"/>
    <x v="0"/>
    <n v="0"/>
    <n v="1"/>
    <n v="0"/>
    <s v="A"/>
    <s v="A"/>
    <n v="0"/>
    <s v="Non Refund"/>
    <n v="1"/>
    <m/>
    <n v="0"/>
    <x v="1"/>
    <x v="6"/>
    <n v="0"/>
    <n v="0"/>
    <x v="0"/>
    <d v="2015-07-02T00:00:00"/>
  </r>
  <r>
    <x v="0"/>
    <x v="0"/>
    <n v="89"/>
    <n v="2015"/>
    <x v="1"/>
    <n v="40"/>
    <n v="3"/>
    <n v="2"/>
    <n v="2"/>
    <n v="2"/>
    <n v="0"/>
    <n v="0"/>
    <s v="BB"/>
    <s v="PRT"/>
    <s v="Groups"/>
    <x v="0"/>
    <n v="0"/>
    <n v="0"/>
    <n v="0"/>
    <s v="A"/>
    <s v="A"/>
    <n v="0"/>
    <s v="Non Refund"/>
    <n v="1"/>
    <m/>
    <n v="0"/>
    <x v="0"/>
    <x v="6"/>
    <n v="0"/>
    <n v="0"/>
    <x v="0"/>
    <d v="2015-09-09T00:00:00"/>
  </r>
  <r>
    <x v="0"/>
    <x v="1"/>
    <n v="17"/>
    <n v="2015"/>
    <x v="4"/>
    <n v="35"/>
    <n v="29"/>
    <n v="0"/>
    <n v="1"/>
    <n v="2"/>
    <n v="0"/>
    <n v="0"/>
    <s v="BB"/>
    <s v="PRT"/>
    <s v="Online TA"/>
    <x v="0"/>
    <n v="0"/>
    <n v="0"/>
    <n v="0"/>
    <s v="A"/>
    <s v="D"/>
    <n v="0"/>
    <s v="No Deposit"/>
    <n v="9"/>
    <m/>
    <n v="0"/>
    <x v="1"/>
    <x v="13"/>
    <n v="0"/>
    <n v="1"/>
    <x v="1"/>
    <d v="2015-08-30T00:00:00"/>
  </r>
  <r>
    <x v="1"/>
    <x v="1"/>
    <n v="0"/>
    <n v="2015"/>
    <x v="1"/>
    <n v="44"/>
    <n v="27"/>
    <n v="0"/>
    <n v="1"/>
    <n v="1"/>
    <n v="0"/>
    <n v="0"/>
    <s v="BB"/>
    <s v="PRT"/>
    <s v="Direct"/>
    <x v="2"/>
    <n v="0"/>
    <n v="0"/>
    <n v="0"/>
    <s v="D"/>
    <s v="D"/>
    <n v="0"/>
    <s v="No Deposit"/>
    <m/>
    <m/>
    <n v="0"/>
    <x v="0"/>
    <x v="52"/>
    <n v="0"/>
    <n v="0"/>
    <x v="1"/>
    <d v="2015-10-28T00:00:00"/>
  </r>
  <r>
    <x v="0"/>
    <x v="0"/>
    <n v="326"/>
    <n v="2015"/>
    <x v="2"/>
    <n v="37"/>
    <n v="8"/>
    <n v="0"/>
    <n v="1"/>
    <n v="2"/>
    <n v="0"/>
    <n v="0"/>
    <s v="BB"/>
    <s v="PRT"/>
    <s v="Groups"/>
    <x v="0"/>
    <n v="0"/>
    <n v="1"/>
    <n v="0"/>
    <s v="A"/>
    <s v="A"/>
    <n v="0"/>
    <s v="Non Refund"/>
    <n v="1"/>
    <m/>
    <n v="0"/>
    <x v="0"/>
    <x v="4"/>
    <n v="0"/>
    <n v="0"/>
    <x v="0"/>
    <d v="2015-05-28T00:00:00"/>
  </r>
  <r>
    <x v="0"/>
    <x v="1"/>
    <n v="48"/>
    <n v="2015"/>
    <x v="1"/>
    <n v="40"/>
    <n v="2"/>
    <n v="1"/>
    <n v="2"/>
    <n v="2"/>
    <n v="0"/>
    <n v="0"/>
    <s v="BB"/>
    <s v="GBR"/>
    <s v="Online TA"/>
    <x v="0"/>
    <n v="0"/>
    <n v="0"/>
    <n v="0"/>
    <s v="A"/>
    <s v="A"/>
    <n v="0"/>
    <s v="No Deposit"/>
    <n v="7"/>
    <m/>
    <n v="0"/>
    <x v="0"/>
    <x v="95"/>
    <n v="0"/>
    <n v="0"/>
    <x v="1"/>
    <d v="2015-10-05T00:00:00"/>
  </r>
  <r>
    <x v="0"/>
    <x v="0"/>
    <n v="326"/>
    <n v="2015"/>
    <x v="2"/>
    <n v="37"/>
    <n v="8"/>
    <n v="0"/>
    <n v="1"/>
    <n v="2"/>
    <n v="0"/>
    <n v="0"/>
    <s v="BB"/>
    <s v="PRT"/>
    <s v="Groups"/>
    <x v="0"/>
    <n v="0"/>
    <n v="1"/>
    <n v="0"/>
    <s v="A"/>
    <s v="A"/>
    <n v="0"/>
    <s v="Non Refund"/>
    <n v="1"/>
    <m/>
    <n v="0"/>
    <x v="0"/>
    <x v="4"/>
    <n v="0"/>
    <n v="0"/>
    <x v="0"/>
    <d v="2015-05-28T00:00:00"/>
  </r>
  <r>
    <x v="0"/>
    <x v="1"/>
    <n v="86"/>
    <n v="2015"/>
    <x v="2"/>
    <n v="37"/>
    <n v="9"/>
    <n v="0"/>
    <n v="2"/>
    <n v="1"/>
    <n v="0"/>
    <n v="0"/>
    <s v="BB"/>
    <s v="FRA"/>
    <s v="Corporate"/>
    <x v="1"/>
    <n v="0"/>
    <n v="0"/>
    <n v="0"/>
    <s v="A"/>
    <s v="A"/>
    <n v="0"/>
    <s v="No Deposit"/>
    <m/>
    <n v="68"/>
    <n v="0"/>
    <x v="1"/>
    <x v="13"/>
    <n v="0"/>
    <n v="0"/>
    <x v="1"/>
    <d v="2015-09-11T00:00:00"/>
  </r>
  <r>
    <x v="0"/>
    <x v="0"/>
    <n v="100"/>
    <n v="2015"/>
    <x v="1"/>
    <n v="44"/>
    <n v="31"/>
    <n v="1"/>
    <n v="1"/>
    <n v="2"/>
    <n v="0"/>
    <n v="0"/>
    <s v="BB"/>
    <s v="PRT"/>
    <s v="Groups"/>
    <x v="0"/>
    <n v="0"/>
    <n v="0"/>
    <n v="0"/>
    <s v="A"/>
    <s v="A"/>
    <n v="0"/>
    <s v="No Deposit"/>
    <n v="1"/>
    <m/>
    <n v="0"/>
    <x v="1"/>
    <x v="6"/>
    <n v="0"/>
    <n v="0"/>
    <x v="0"/>
    <d v="2015-10-19T00:00:00"/>
  </r>
  <r>
    <x v="0"/>
    <x v="1"/>
    <n v="19"/>
    <n v="2015"/>
    <x v="2"/>
    <n v="39"/>
    <n v="20"/>
    <n v="1"/>
    <n v="0"/>
    <n v="2"/>
    <n v="0"/>
    <n v="0"/>
    <s v="BB"/>
    <s v="PRT"/>
    <s v="Direct"/>
    <x v="2"/>
    <n v="0"/>
    <n v="0"/>
    <n v="0"/>
    <s v="A"/>
    <s v="E"/>
    <n v="1"/>
    <s v="No Deposit"/>
    <n v="14"/>
    <n v="84"/>
    <n v="0"/>
    <x v="0"/>
    <x v="96"/>
    <n v="0"/>
    <n v="0"/>
    <x v="1"/>
    <d v="2015-09-21T00:00:00"/>
  </r>
  <r>
    <x v="1"/>
    <x v="1"/>
    <n v="1"/>
    <n v="2015"/>
    <x v="3"/>
    <n v="50"/>
    <n v="12"/>
    <n v="0"/>
    <n v="1"/>
    <n v="2"/>
    <n v="0"/>
    <n v="1"/>
    <s v="HB"/>
    <s v="PRT"/>
    <s v="Direct"/>
    <x v="2"/>
    <n v="0"/>
    <n v="0"/>
    <n v="0"/>
    <s v="A"/>
    <s v="D"/>
    <n v="0"/>
    <s v="No Deposit"/>
    <m/>
    <m/>
    <n v="0"/>
    <x v="0"/>
    <x v="97"/>
    <n v="1"/>
    <n v="1"/>
    <x v="1"/>
    <d v="2015-12-13T00:00:00"/>
  </r>
  <r>
    <x v="0"/>
    <x v="1"/>
    <n v="56"/>
    <n v="2015"/>
    <x v="5"/>
    <n v="45"/>
    <n v="6"/>
    <n v="1"/>
    <n v="2"/>
    <n v="2"/>
    <n v="0"/>
    <n v="0"/>
    <s v="BB"/>
    <s v="ESP"/>
    <s v="Offline TA/TO"/>
    <x v="0"/>
    <n v="0"/>
    <n v="0"/>
    <n v="0"/>
    <s v="D"/>
    <s v="A"/>
    <n v="0"/>
    <s v="No Deposit"/>
    <n v="28"/>
    <m/>
    <n v="0"/>
    <x v="0"/>
    <x v="4"/>
    <n v="0"/>
    <n v="1"/>
    <x v="1"/>
    <d v="2015-11-09T00:00:00"/>
  </r>
  <r>
    <x v="1"/>
    <x v="1"/>
    <n v="0"/>
    <n v="2015"/>
    <x v="3"/>
    <n v="51"/>
    <n v="18"/>
    <n v="0"/>
    <n v="1"/>
    <n v="2"/>
    <n v="0"/>
    <n v="0"/>
    <s v="BB"/>
    <s v="PRT"/>
    <s v="Offline TA/TO"/>
    <x v="0"/>
    <n v="1"/>
    <n v="0"/>
    <n v="1"/>
    <s v="A"/>
    <s v="A"/>
    <n v="0"/>
    <s v="No Deposit"/>
    <n v="127"/>
    <m/>
    <n v="0"/>
    <x v="0"/>
    <x v="98"/>
    <n v="0"/>
    <n v="1"/>
    <x v="1"/>
    <d v="2015-12-19T00:00:00"/>
  </r>
  <r>
    <x v="1"/>
    <x v="0"/>
    <n v="11"/>
    <n v="2015"/>
    <x v="3"/>
    <n v="49"/>
    <n v="5"/>
    <n v="2"/>
    <n v="1"/>
    <n v="2"/>
    <n v="0"/>
    <n v="0"/>
    <s v="HB"/>
    <s v="PRT"/>
    <s v="Offline TA/TO"/>
    <x v="0"/>
    <n v="0"/>
    <n v="1"/>
    <n v="0"/>
    <s v="A"/>
    <s v="A"/>
    <n v="0"/>
    <s v="No Deposit"/>
    <m/>
    <m/>
    <n v="0"/>
    <x v="1"/>
    <x v="48"/>
    <n v="0"/>
    <n v="0"/>
    <x v="0"/>
    <d v="2015-12-02T00:00:00"/>
  </r>
  <r>
    <x v="1"/>
    <x v="1"/>
    <n v="0"/>
    <n v="2015"/>
    <x v="2"/>
    <n v="36"/>
    <n v="2"/>
    <n v="0"/>
    <n v="1"/>
    <n v="1"/>
    <n v="0"/>
    <n v="0"/>
    <s v="BB"/>
    <s v="PRT"/>
    <s v="Corporate"/>
    <x v="1"/>
    <n v="0"/>
    <n v="0"/>
    <n v="0"/>
    <s v="A"/>
    <s v="E"/>
    <n v="0"/>
    <s v="No Deposit"/>
    <n v="88"/>
    <m/>
    <n v="0"/>
    <x v="0"/>
    <x v="56"/>
    <n v="0"/>
    <n v="0"/>
    <x v="1"/>
    <d v="2015-09-03T00:00:00"/>
  </r>
  <r>
    <x v="0"/>
    <x v="1"/>
    <n v="75"/>
    <n v="2015"/>
    <x v="2"/>
    <n v="38"/>
    <n v="19"/>
    <n v="2"/>
    <n v="2"/>
    <n v="2"/>
    <n v="0"/>
    <n v="0"/>
    <s v="BB"/>
    <s v="ESP"/>
    <s v="Groups"/>
    <x v="0"/>
    <n v="0"/>
    <n v="0"/>
    <n v="0"/>
    <s v="A"/>
    <s v="A"/>
    <n v="0"/>
    <s v="No Deposit"/>
    <n v="1"/>
    <m/>
    <n v="0"/>
    <x v="1"/>
    <x v="6"/>
    <n v="0"/>
    <n v="0"/>
    <x v="1"/>
    <d v="2015-09-23T00:00:00"/>
  </r>
  <r>
    <x v="0"/>
    <x v="0"/>
    <n v="334"/>
    <n v="2015"/>
    <x v="2"/>
    <n v="38"/>
    <n v="16"/>
    <n v="0"/>
    <n v="2"/>
    <n v="2"/>
    <n v="0"/>
    <n v="0"/>
    <s v="BB"/>
    <s v="PRT"/>
    <s v="Groups"/>
    <x v="0"/>
    <n v="0"/>
    <n v="1"/>
    <n v="0"/>
    <s v="A"/>
    <s v="A"/>
    <n v="0"/>
    <s v="Non Refund"/>
    <n v="1"/>
    <m/>
    <n v="0"/>
    <x v="1"/>
    <x v="6"/>
    <n v="0"/>
    <n v="0"/>
    <x v="0"/>
    <d v="2015-07-02T00:00:00"/>
  </r>
  <r>
    <x v="0"/>
    <x v="1"/>
    <n v="241"/>
    <n v="2015"/>
    <x v="1"/>
    <n v="43"/>
    <n v="19"/>
    <n v="1"/>
    <n v="2"/>
    <n v="2"/>
    <n v="0"/>
    <n v="0"/>
    <s v="BB"/>
    <s v="USA"/>
    <s v="Groups"/>
    <x v="0"/>
    <n v="0"/>
    <n v="0"/>
    <n v="0"/>
    <s v="A"/>
    <s v="A"/>
    <n v="0"/>
    <s v="No Deposit"/>
    <n v="1"/>
    <m/>
    <n v="0"/>
    <x v="1"/>
    <x v="4"/>
    <n v="0"/>
    <n v="0"/>
    <x v="1"/>
    <d v="2015-10-22T00:00:00"/>
  </r>
  <r>
    <x v="0"/>
    <x v="0"/>
    <n v="89"/>
    <n v="2015"/>
    <x v="0"/>
    <n v="31"/>
    <n v="27"/>
    <n v="1"/>
    <n v="1"/>
    <n v="2"/>
    <n v="0"/>
    <n v="0"/>
    <s v="BB"/>
    <s v="PRT"/>
    <s v="Online TA"/>
    <x v="0"/>
    <n v="0"/>
    <n v="0"/>
    <n v="0"/>
    <s v="A"/>
    <s v="A"/>
    <n v="0"/>
    <s v="No Deposit"/>
    <n v="8"/>
    <m/>
    <n v="0"/>
    <x v="0"/>
    <x v="0"/>
    <n v="0"/>
    <n v="0"/>
    <x v="0"/>
    <d v="2015-07-06T00:00:00"/>
  </r>
  <r>
    <x v="0"/>
    <x v="1"/>
    <n v="11"/>
    <n v="2015"/>
    <x v="4"/>
    <n v="33"/>
    <n v="15"/>
    <n v="2"/>
    <n v="1"/>
    <n v="2"/>
    <n v="0"/>
    <n v="0"/>
    <s v="HB"/>
    <s v="ITA"/>
    <s v="Offline TA/TO"/>
    <x v="0"/>
    <n v="0"/>
    <n v="0"/>
    <n v="0"/>
    <s v="A"/>
    <s v="A"/>
    <n v="0"/>
    <s v="No Deposit"/>
    <n v="17"/>
    <m/>
    <n v="0"/>
    <x v="1"/>
    <x v="18"/>
    <n v="0"/>
    <n v="0"/>
    <x v="1"/>
    <d v="2015-08-18T00:00:00"/>
  </r>
  <r>
    <x v="0"/>
    <x v="1"/>
    <n v="188"/>
    <n v="2015"/>
    <x v="4"/>
    <n v="35"/>
    <n v="23"/>
    <n v="2"/>
    <n v="3"/>
    <n v="2"/>
    <n v="0"/>
    <n v="0"/>
    <s v="BB"/>
    <s v="PRT"/>
    <s v="Online TA"/>
    <x v="0"/>
    <n v="0"/>
    <n v="0"/>
    <n v="0"/>
    <s v="D"/>
    <s v="D"/>
    <n v="0"/>
    <s v="No Deposit"/>
    <n v="8"/>
    <m/>
    <n v="0"/>
    <x v="0"/>
    <x v="28"/>
    <n v="0"/>
    <n v="1"/>
    <x v="1"/>
    <d v="2015-08-28T00:00:00"/>
  </r>
  <r>
    <x v="1"/>
    <x v="1"/>
    <n v="20"/>
    <n v="2015"/>
    <x v="0"/>
    <n v="31"/>
    <n v="30"/>
    <n v="1"/>
    <n v="3"/>
    <n v="2"/>
    <n v="1"/>
    <n v="0"/>
    <s v="BB"/>
    <s v="BRA"/>
    <s v="Online TA"/>
    <x v="0"/>
    <n v="0"/>
    <n v="0"/>
    <n v="0"/>
    <s v="A"/>
    <s v="C"/>
    <n v="0"/>
    <s v="No Deposit"/>
    <n v="240"/>
    <m/>
    <n v="0"/>
    <x v="0"/>
    <x v="22"/>
    <n v="0"/>
    <n v="1"/>
    <x v="1"/>
    <d v="2015-08-03T00:00:00"/>
  </r>
  <r>
    <x v="0"/>
    <x v="0"/>
    <n v="262"/>
    <n v="2015"/>
    <x v="0"/>
    <n v="28"/>
    <n v="6"/>
    <n v="1"/>
    <n v="1"/>
    <n v="2"/>
    <n v="0"/>
    <n v="0"/>
    <s v="BB"/>
    <s v="PRT"/>
    <s v="Groups"/>
    <x v="0"/>
    <n v="0"/>
    <n v="1"/>
    <n v="0"/>
    <s v="A"/>
    <s v="A"/>
    <n v="0"/>
    <s v="No Deposit"/>
    <n v="1"/>
    <m/>
    <n v="0"/>
    <x v="2"/>
    <x v="6"/>
    <n v="0"/>
    <n v="0"/>
    <x v="0"/>
    <d v="2015-01-01T00:00:00"/>
  </r>
  <r>
    <x v="0"/>
    <x v="1"/>
    <n v="97"/>
    <n v="2015"/>
    <x v="1"/>
    <n v="41"/>
    <n v="7"/>
    <n v="0"/>
    <n v="2"/>
    <n v="2"/>
    <n v="0"/>
    <n v="0"/>
    <s v="BB"/>
    <s v="PRT"/>
    <s v="Groups"/>
    <x v="0"/>
    <n v="0"/>
    <n v="0"/>
    <n v="0"/>
    <s v="A"/>
    <s v="A"/>
    <n v="0"/>
    <s v="No Deposit"/>
    <n v="1"/>
    <m/>
    <n v="0"/>
    <x v="1"/>
    <x v="6"/>
    <n v="0"/>
    <n v="0"/>
    <x v="1"/>
    <d v="2015-10-09T00:00:00"/>
  </r>
  <r>
    <x v="0"/>
    <x v="0"/>
    <n v="312"/>
    <n v="2015"/>
    <x v="4"/>
    <n v="35"/>
    <n v="25"/>
    <n v="0"/>
    <n v="4"/>
    <n v="2"/>
    <n v="0"/>
    <n v="0"/>
    <s v="BB"/>
    <s v="PRT"/>
    <s v="Groups"/>
    <x v="0"/>
    <n v="0"/>
    <n v="1"/>
    <n v="0"/>
    <s v="A"/>
    <s v="A"/>
    <n v="0"/>
    <s v="No Deposit"/>
    <n v="1"/>
    <m/>
    <n v="0"/>
    <x v="1"/>
    <x v="6"/>
    <n v="0"/>
    <n v="0"/>
    <x v="0"/>
    <d v="2015-07-06T00:00:00"/>
  </r>
  <r>
    <x v="0"/>
    <x v="1"/>
    <n v="39"/>
    <n v="2015"/>
    <x v="4"/>
    <n v="33"/>
    <n v="14"/>
    <n v="0"/>
    <n v="2"/>
    <n v="2"/>
    <n v="0"/>
    <n v="0"/>
    <s v="HB"/>
    <s v="DEU"/>
    <s v="Offline TA/TO"/>
    <x v="0"/>
    <n v="0"/>
    <n v="0"/>
    <n v="0"/>
    <s v="A"/>
    <s v="D"/>
    <n v="0"/>
    <s v="No Deposit"/>
    <n v="6"/>
    <m/>
    <n v="0"/>
    <x v="1"/>
    <x v="1"/>
    <n v="0"/>
    <n v="0"/>
    <x v="1"/>
    <d v="2015-08-16T00:00:00"/>
  </r>
  <r>
    <x v="0"/>
    <x v="0"/>
    <n v="346"/>
    <n v="2015"/>
    <x v="2"/>
    <n v="40"/>
    <n v="28"/>
    <n v="1"/>
    <n v="1"/>
    <n v="2"/>
    <n v="0"/>
    <n v="0"/>
    <s v="BB"/>
    <s v="PRT"/>
    <s v="Groups"/>
    <x v="0"/>
    <n v="0"/>
    <n v="1"/>
    <n v="0"/>
    <s v="A"/>
    <s v="A"/>
    <n v="0"/>
    <s v="Non Refund"/>
    <n v="1"/>
    <m/>
    <n v="0"/>
    <x v="2"/>
    <x v="6"/>
    <n v="0"/>
    <n v="0"/>
    <x v="0"/>
    <d v="2015-01-01T00:00:00"/>
  </r>
  <r>
    <x v="0"/>
    <x v="1"/>
    <n v="69"/>
    <n v="2015"/>
    <x v="1"/>
    <n v="44"/>
    <n v="25"/>
    <n v="2"/>
    <n v="1"/>
    <n v="2"/>
    <n v="0"/>
    <n v="0"/>
    <s v="BB"/>
    <s v="PRT"/>
    <s v="Groups"/>
    <x v="0"/>
    <n v="0"/>
    <n v="0"/>
    <n v="0"/>
    <s v="A"/>
    <s v="A"/>
    <n v="0"/>
    <s v="No Deposit"/>
    <n v="37"/>
    <m/>
    <n v="58"/>
    <x v="1"/>
    <x v="99"/>
    <n v="0"/>
    <n v="0"/>
    <x v="1"/>
    <d v="2015-10-28T00:00:00"/>
  </r>
  <r>
    <x v="0"/>
    <x v="0"/>
    <n v="327"/>
    <n v="2015"/>
    <x v="2"/>
    <n v="37"/>
    <n v="9"/>
    <n v="0"/>
    <n v="2"/>
    <n v="2"/>
    <n v="0"/>
    <n v="0"/>
    <s v="BB"/>
    <s v="PRT"/>
    <s v="Groups"/>
    <x v="0"/>
    <n v="0"/>
    <n v="1"/>
    <n v="0"/>
    <s v="A"/>
    <s v="A"/>
    <n v="0"/>
    <s v="Non Refund"/>
    <n v="1"/>
    <m/>
    <n v="0"/>
    <x v="1"/>
    <x v="6"/>
    <n v="0"/>
    <n v="0"/>
    <x v="0"/>
    <d v="2015-07-02T00:00:00"/>
  </r>
  <r>
    <x v="0"/>
    <x v="1"/>
    <n v="7"/>
    <n v="2015"/>
    <x v="2"/>
    <n v="39"/>
    <n v="21"/>
    <n v="1"/>
    <n v="2"/>
    <n v="2"/>
    <n v="0"/>
    <n v="0"/>
    <s v="BB"/>
    <s v="ISR"/>
    <s v="Online TA"/>
    <x v="0"/>
    <n v="0"/>
    <n v="0"/>
    <n v="0"/>
    <s v="D"/>
    <s v="D"/>
    <n v="0"/>
    <s v="No Deposit"/>
    <n v="9"/>
    <m/>
    <n v="0"/>
    <x v="2"/>
    <x v="100"/>
    <n v="0"/>
    <n v="2"/>
    <x v="1"/>
    <d v="2015-09-24T00:00:00"/>
  </r>
  <r>
    <x v="0"/>
    <x v="0"/>
    <n v="279"/>
    <n v="2015"/>
    <x v="0"/>
    <n v="30"/>
    <n v="23"/>
    <n v="0"/>
    <n v="2"/>
    <n v="2"/>
    <n v="0"/>
    <n v="0"/>
    <s v="BB"/>
    <s v="PRT"/>
    <s v="Groups"/>
    <x v="0"/>
    <n v="1"/>
    <n v="1"/>
    <n v="0"/>
    <s v="A"/>
    <s v="A"/>
    <n v="0"/>
    <s v="No Deposit"/>
    <n v="1"/>
    <m/>
    <n v="0"/>
    <x v="1"/>
    <x v="23"/>
    <n v="0"/>
    <n v="0"/>
    <x v="0"/>
    <d v="2014-10-17T00:00:00"/>
  </r>
  <r>
    <x v="1"/>
    <x v="1"/>
    <n v="39"/>
    <n v="2015"/>
    <x v="5"/>
    <n v="46"/>
    <n v="11"/>
    <n v="1"/>
    <n v="4"/>
    <n v="2"/>
    <n v="0"/>
    <n v="0"/>
    <s v="BB"/>
    <s v="DEU"/>
    <s v="Online TA"/>
    <x v="0"/>
    <n v="0"/>
    <n v="0"/>
    <n v="0"/>
    <s v="D"/>
    <s v="D"/>
    <n v="0"/>
    <s v="No Deposit"/>
    <n v="240"/>
    <m/>
    <n v="0"/>
    <x v="0"/>
    <x v="101"/>
    <n v="0"/>
    <n v="0"/>
    <x v="1"/>
    <d v="2015-11-16T00:00:00"/>
  </r>
  <r>
    <x v="0"/>
    <x v="0"/>
    <n v="3"/>
    <n v="2015"/>
    <x v="2"/>
    <n v="36"/>
    <n v="5"/>
    <n v="2"/>
    <n v="2"/>
    <n v="1"/>
    <n v="0"/>
    <n v="0"/>
    <s v="BB"/>
    <s v="PRT"/>
    <s v="Groups"/>
    <x v="0"/>
    <n v="0"/>
    <n v="0"/>
    <n v="0"/>
    <s v="A"/>
    <s v="A"/>
    <n v="0"/>
    <s v="No Deposit"/>
    <n v="1"/>
    <m/>
    <n v="0"/>
    <x v="1"/>
    <x v="7"/>
    <n v="0"/>
    <n v="0"/>
    <x v="0"/>
    <d v="2015-09-03T00:00:00"/>
  </r>
  <r>
    <x v="1"/>
    <x v="0"/>
    <n v="155"/>
    <n v="2015"/>
    <x v="1"/>
    <n v="44"/>
    <n v="31"/>
    <n v="0"/>
    <n v="1"/>
    <n v="2"/>
    <n v="0"/>
    <n v="0"/>
    <s v="BB"/>
    <s v="PRT"/>
    <s v="Groups"/>
    <x v="2"/>
    <n v="0"/>
    <n v="0"/>
    <n v="0"/>
    <s v="A"/>
    <s v="A"/>
    <n v="0"/>
    <s v="Non Refund"/>
    <m/>
    <m/>
    <n v="0"/>
    <x v="0"/>
    <x v="91"/>
    <n v="0"/>
    <n v="0"/>
    <x v="0"/>
    <d v="2015-10-26T00:00:00"/>
  </r>
  <r>
    <x v="1"/>
    <x v="1"/>
    <n v="277"/>
    <n v="2015"/>
    <x v="1"/>
    <n v="41"/>
    <n v="6"/>
    <n v="2"/>
    <n v="5"/>
    <n v="2"/>
    <n v="0"/>
    <n v="0"/>
    <s v="HB"/>
    <s v="GBR"/>
    <s v="Groups"/>
    <x v="2"/>
    <n v="0"/>
    <n v="0"/>
    <n v="0"/>
    <s v="D"/>
    <s v="E"/>
    <n v="0"/>
    <s v="No Deposit"/>
    <n v="273"/>
    <m/>
    <n v="0"/>
    <x v="1"/>
    <x v="102"/>
    <n v="0"/>
    <n v="0"/>
    <x v="1"/>
    <d v="2015-10-13T00:00:00"/>
  </r>
  <r>
    <x v="0"/>
    <x v="0"/>
    <n v="6"/>
    <n v="2015"/>
    <x v="2"/>
    <n v="37"/>
    <n v="11"/>
    <n v="1"/>
    <n v="2"/>
    <n v="2"/>
    <n v="0"/>
    <n v="0"/>
    <s v="BB"/>
    <s v="PRT"/>
    <s v="Online TA"/>
    <x v="0"/>
    <n v="0"/>
    <n v="0"/>
    <n v="0"/>
    <s v="A"/>
    <s v="A"/>
    <n v="0"/>
    <s v="No Deposit"/>
    <n v="9"/>
    <m/>
    <n v="0"/>
    <x v="0"/>
    <x v="103"/>
    <n v="0"/>
    <n v="0"/>
    <x v="0"/>
    <d v="2015-09-07T00:00:00"/>
  </r>
  <r>
    <x v="1"/>
    <x v="0"/>
    <n v="77"/>
    <n v="2015"/>
    <x v="2"/>
    <n v="40"/>
    <n v="28"/>
    <n v="1"/>
    <n v="3"/>
    <n v="2"/>
    <n v="0"/>
    <n v="0"/>
    <s v="BB"/>
    <s v="PRT"/>
    <s v="Offline TA/TO"/>
    <x v="0"/>
    <n v="0"/>
    <n v="0"/>
    <n v="0"/>
    <s v="E"/>
    <s v="E"/>
    <n v="0"/>
    <s v="No Deposit"/>
    <n v="175"/>
    <m/>
    <n v="0"/>
    <x v="0"/>
    <x v="104"/>
    <n v="0"/>
    <n v="1"/>
    <x v="0"/>
    <d v="2015-07-25T00:00:00"/>
  </r>
  <r>
    <x v="1"/>
    <x v="1"/>
    <n v="315"/>
    <n v="2015"/>
    <x v="2"/>
    <n v="40"/>
    <n v="29"/>
    <n v="2"/>
    <n v="7"/>
    <n v="2"/>
    <n v="0"/>
    <n v="0"/>
    <s v="HB"/>
    <s v="GBR"/>
    <s v="Offline TA/TO"/>
    <x v="0"/>
    <n v="0"/>
    <n v="0"/>
    <n v="0"/>
    <s v="D"/>
    <s v="D"/>
    <n v="0"/>
    <s v="No Deposit"/>
    <n v="40"/>
    <m/>
    <n v="0"/>
    <x v="2"/>
    <x v="105"/>
    <n v="0"/>
    <n v="0"/>
    <x v="1"/>
    <d v="2015-10-08T00:00:00"/>
  </r>
  <r>
    <x v="0"/>
    <x v="1"/>
    <n v="8"/>
    <n v="2015"/>
    <x v="1"/>
    <n v="44"/>
    <n v="29"/>
    <n v="1"/>
    <n v="3"/>
    <n v="2"/>
    <n v="0"/>
    <n v="0"/>
    <s v="SC"/>
    <s v="GBR"/>
    <s v="Online TA"/>
    <x v="0"/>
    <n v="0"/>
    <n v="0"/>
    <n v="0"/>
    <s v="A"/>
    <s v="A"/>
    <n v="0"/>
    <s v="No Deposit"/>
    <n v="9"/>
    <m/>
    <n v="0"/>
    <x v="2"/>
    <x v="106"/>
    <n v="0"/>
    <n v="0"/>
    <x v="1"/>
    <d v="2015-11-02T00:00:00"/>
  </r>
  <r>
    <x v="0"/>
    <x v="1"/>
    <n v="5"/>
    <n v="2015"/>
    <x v="3"/>
    <n v="50"/>
    <n v="9"/>
    <n v="0"/>
    <n v="3"/>
    <n v="2"/>
    <n v="0"/>
    <n v="0"/>
    <s v="BB"/>
    <s v="FRA"/>
    <s v="Offline TA/TO"/>
    <x v="0"/>
    <n v="0"/>
    <n v="0"/>
    <n v="0"/>
    <s v="A"/>
    <s v="D"/>
    <n v="0"/>
    <s v="No Deposit"/>
    <n v="28"/>
    <m/>
    <n v="0"/>
    <x v="1"/>
    <x v="107"/>
    <n v="0"/>
    <n v="1"/>
    <x v="1"/>
    <d v="2015-12-12T00:00:00"/>
  </r>
  <r>
    <x v="1"/>
    <x v="1"/>
    <n v="0"/>
    <n v="2015"/>
    <x v="2"/>
    <n v="40"/>
    <n v="30"/>
    <n v="0"/>
    <n v="1"/>
    <n v="2"/>
    <n v="0"/>
    <n v="0"/>
    <s v="BB"/>
    <s v="DEU"/>
    <s v="Corporate"/>
    <x v="1"/>
    <n v="0"/>
    <n v="0"/>
    <n v="0"/>
    <s v="G"/>
    <s v="G"/>
    <n v="0"/>
    <s v="No Deposit"/>
    <n v="110"/>
    <m/>
    <n v="0"/>
    <x v="0"/>
    <x v="108"/>
    <n v="0"/>
    <n v="0"/>
    <x v="1"/>
    <d v="2015-10-01T00:00:00"/>
  </r>
  <r>
    <x v="1"/>
    <x v="1"/>
    <n v="77"/>
    <n v="2015"/>
    <x v="2"/>
    <n v="40"/>
    <n v="28"/>
    <n v="2"/>
    <n v="5"/>
    <n v="2"/>
    <n v="0"/>
    <n v="0"/>
    <s v="HB"/>
    <s v="POL"/>
    <s v="Online TA"/>
    <x v="0"/>
    <n v="0"/>
    <n v="0"/>
    <n v="0"/>
    <s v="D"/>
    <s v="D"/>
    <n v="0"/>
    <s v="No Deposit"/>
    <n v="241"/>
    <m/>
    <n v="0"/>
    <x v="0"/>
    <x v="109"/>
    <n v="0"/>
    <n v="2"/>
    <x v="1"/>
    <d v="2015-10-05T00:00:00"/>
  </r>
  <r>
    <x v="0"/>
    <x v="1"/>
    <n v="59"/>
    <n v="2015"/>
    <x v="5"/>
    <n v="48"/>
    <n v="28"/>
    <n v="2"/>
    <n v="4"/>
    <n v="2"/>
    <n v="0"/>
    <n v="0"/>
    <s v="BB"/>
    <s v="FRA"/>
    <s v="Online TA"/>
    <x v="0"/>
    <n v="0"/>
    <n v="0"/>
    <n v="0"/>
    <s v="A"/>
    <s v="A"/>
    <n v="0"/>
    <s v="No Deposit"/>
    <n v="9"/>
    <m/>
    <n v="0"/>
    <x v="2"/>
    <x v="110"/>
    <n v="0"/>
    <n v="1"/>
    <x v="1"/>
    <d v="2015-12-04T00:00:00"/>
  </r>
  <r>
    <x v="1"/>
    <x v="1"/>
    <n v="21"/>
    <n v="2015"/>
    <x v="5"/>
    <n v="46"/>
    <n v="12"/>
    <n v="0"/>
    <n v="3"/>
    <n v="1"/>
    <n v="0"/>
    <n v="0"/>
    <s v="BB"/>
    <s v="PRT"/>
    <s v="Corporate"/>
    <x v="1"/>
    <n v="0"/>
    <n v="0"/>
    <n v="0"/>
    <s v="A"/>
    <s v="E"/>
    <n v="0"/>
    <s v="No Deposit"/>
    <n v="334"/>
    <n v="281"/>
    <n v="0"/>
    <x v="1"/>
    <x v="78"/>
    <n v="0"/>
    <n v="0"/>
    <x v="1"/>
    <d v="2015-11-15T00:00:00"/>
  </r>
  <r>
    <x v="1"/>
    <x v="0"/>
    <n v="231"/>
    <n v="2015"/>
    <x v="0"/>
    <n v="28"/>
    <n v="7"/>
    <n v="2"/>
    <n v="6"/>
    <n v="2"/>
    <n v="0"/>
    <n v="0"/>
    <s v="BB"/>
    <s v="PRT"/>
    <s v="Online TA"/>
    <x v="0"/>
    <n v="0"/>
    <n v="1"/>
    <n v="0"/>
    <s v="A"/>
    <s v="A"/>
    <n v="0"/>
    <s v="No Deposit"/>
    <n v="240"/>
    <m/>
    <n v="0"/>
    <x v="0"/>
    <x v="62"/>
    <n v="0"/>
    <n v="0"/>
    <x v="0"/>
    <d v="2015-03-17T00:00:00"/>
  </r>
  <r>
    <x v="0"/>
    <x v="1"/>
    <n v="4"/>
    <n v="2015"/>
    <x v="5"/>
    <n v="46"/>
    <n v="14"/>
    <n v="2"/>
    <n v="1"/>
    <n v="2"/>
    <n v="0"/>
    <n v="0"/>
    <s v="BB"/>
    <s v="FRA"/>
    <s v="Direct"/>
    <x v="2"/>
    <n v="0"/>
    <n v="0"/>
    <n v="0"/>
    <s v="B"/>
    <s v="B"/>
    <n v="0"/>
    <s v="No Deposit"/>
    <n v="14"/>
    <m/>
    <n v="0"/>
    <x v="0"/>
    <x v="85"/>
    <n v="0"/>
    <n v="1"/>
    <x v="1"/>
    <d v="2015-11-17T00:00:00"/>
  </r>
  <r>
    <x v="1"/>
    <x v="1"/>
    <n v="109"/>
    <n v="2015"/>
    <x v="5"/>
    <n v="46"/>
    <n v="13"/>
    <n v="0"/>
    <n v="1"/>
    <n v="2"/>
    <n v="0"/>
    <n v="0"/>
    <s v="BB"/>
    <s v="PRT"/>
    <s v="Direct"/>
    <x v="2"/>
    <n v="0"/>
    <n v="0"/>
    <n v="0"/>
    <s v="F"/>
    <s v="F"/>
    <n v="0"/>
    <s v="No Deposit"/>
    <m/>
    <m/>
    <n v="0"/>
    <x v="0"/>
    <x v="111"/>
    <n v="1"/>
    <n v="2"/>
    <x v="1"/>
    <d v="2015-11-14T00:00:00"/>
  </r>
  <r>
    <x v="0"/>
    <x v="1"/>
    <n v="28"/>
    <n v="2015"/>
    <x v="2"/>
    <n v="37"/>
    <n v="10"/>
    <n v="0"/>
    <n v="2"/>
    <n v="2"/>
    <n v="0"/>
    <n v="0"/>
    <s v="BB"/>
    <s v="CN"/>
    <s v="Offline TA/TO"/>
    <x v="0"/>
    <n v="0"/>
    <n v="0"/>
    <n v="0"/>
    <s v="D"/>
    <s v="D"/>
    <n v="0"/>
    <s v="No Deposit"/>
    <n v="50"/>
    <m/>
    <n v="0"/>
    <x v="0"/>
    <x v="112"/>
    <n v="0"/>
    <n v="0"/>
    <x v="1"/>
    <d v="2015-09-12T00:00:00"/>
  </r>
  <r>
    <x v="1"/>
    <x v="1"/>
    <n v="283"/>
    <n v="2015"/>
    <x v="1"/>
    <n v="42"/>
    <n v="12"/>
    <n v="2"/>
    <n v="5"/>
    <n v="2"/>
    <n v="0"/>
    <n v="0"/>
    <s v="BB"/>
    <s v="GBR"/>
    <s v="Groups"/>
    <x v="2"/>
    <n v="0"/>
    <n v="0"/>
    <n v="0"/>
    <s v="E"/>
    <s v="E"/>
    <n v="0"/>
    <s v="No Deposit"/>
    <n v="273"/>
    <m/>
    <n v="0"/>
    <x v="1"/>
    <x v="113"/>
    <n v="0"/>
    <n v="0"/>
    <x v="1"/>
    <d v="2015-10-19T00:00:00"/>
  </r>
  <r>
    <x v="1"/>
    <x v="1"/>
    <n v="1"/>
    <n v="2015"/>
    <x v="0"/>
    <n v="27"/>
    <n v="4"/>
    <n v="1"/>
    <n v="1"/>
    <n v="2"/>
    <n v="0"/>
    <n v="0"/>
    <s v="BB"/>
    <s v="PRT"/>
    <s v="Online TA"/>
    <x v="0"/>
    <n v="0"/>
    <n v="0"/>
    <n v="0"/>
    <s v="A"/>
    <s v="A"/>
    <n v="0"/>
    <s v="No Deposit"/>
    <n v="240"/>
    <m/>
    <n v="0"/>
    <x v="0"/>
    <x v="114"/>
    <n v="0"/>
    <n v="0"/>
    <x v="1"/>
    <d v="2015-07-06T00:00:00"/>
  </r>
  <r>
    <x v="0"/>
    <x v="1"/>
    <n v="0"/>
    <n v="2015"/>
    <x v="4"/>
    <n v="34"/>
    <n v="18"/>
    <n v="0"/>
    <n v="1"/>
    <n v="1"/>
    <n v="0"/>
    <n v="0"/>
    <s v="SC"/>
    <s v="AGO"/>
    <s v="Direct"/>
    <x v="2"/>
    <n v="0"/>
    <n v="0"/>
    <n v="0"/>
    <s v="D"/>
    <s v="D"/>
    <n v="0"/>
    <s v="No Deposit"/>
    <m/>
    <m/>
    <n v="0"/>
    <x v="0"/>
    <x v="25"/>
    <n v="0"/>
    <n v="0"/>
    <x v="1"/>
    <d v="2015-08-19T00:00:00"/>
  </r>
  <r>
    <x v="0"/>
    <x v="0"/>
    <n v="265"/>
    <n v="2015"/>
    <x v="0"/>
    <n v="28"/>
    <n v="9"/>
    <n v="0"/>
    <n v="2"/>
    <n v="2"/>
    <n v="0"/>
    <n v="0"/>
    <s v="BB"/>
    <s v="PRT"/>
    <s v="Groups"/>
    <x v="0"/>
    <n v="0"/>
    <n v="1"/>
    <n v="0"/>
    <s v="A"/>
    <s v="A"/>
    <n v="0"/>
    <s v="No Deposit"/>
    <n v="1"/>
    <m/>
    <n v="0"/>
    <x v="2"/>
    <x v="6"/>
    <n v="0"/>
    <n v="0"/>
    <x v="0"/>
    <d v="2015-01-01T00:00:00"/>
  </r>
  <r>
    <x v="1"/>
    <x v="0"/>
    <n v="101"/>
    <n v="2015"/>
    <x v="2"/>
    <n v="38"/>
    <n v="18"/>
    <n v="1"/>
    <n v="2"/>
    <n v="2"/>
    <n v="0"/>
    <n v="0"/>
    <s v="BB"/>
    <s v="PRT"/>
    <s v="Online TA"/>
    <x v="0"/>
    <n v="0"/>
    <n v="0"/>
    <n v="0"/>
    <s v="A"/>
    <s v="A"/>
    <n v="0"/>
    <s v="No Deposit"/>
    <n v="240"/>
    <m/>
    <n v="0"/>
    <x v="0"/>
    <x v="93"/>
    <n v="0"/>
    <n v="0"/>
    <x v="0"/>
    <d v="2015-08-18T00:00:00"/>
  </r>
  <r>
    <x v="0"/>
    <x v="1"/>
    <n v="97"/>
    <n v="2015"/>
    <x v="3"/>
    <n v="53"/>
    <n v="28"/>
    <n v="1"/>
    <n v="3"/>
    <n v="2"/>
    <n v="0"/>
    <n v="0"/>
    <s v="SC"/>
    <s v="PRT"/>
    <s v="Online TA"/>
    <x v="0"/>
    <n v="0"/>
    <n v="0"/>
    <n v="0"/>
    <s v="A"/>
    <s v="A"/>
    <n v="0"/>
    <s v="No Deposit"/>
    <n v="15"/>
    <m/>
    <n v="0"/>
    <x v="0"/>
    <x v="115"/>
    <n v="0"/>
    <n v="0"/>
    <x v="1"/>
    <d v="2016-01-01T00:00:00"/>
  </r>
  <r>
    <x v="0"/>
    <x v="1"/>
    <n v="67"/>
    <n v="2015"/>
    <x v="3"/>
    <n v="49"/>
    <n v="5"/>
    <n v="2"/>
    <n v="1"/>
    <n v="2"/>
    <n v="1"/>
    <n v="0"/>
    <s v="SC"/>
    <s v="PRT"/>
    <s v="Online TA"/>
    <x v="0"/>
    <n v="0"/>
    <n v="0"/>
    <n v="0"/>
    <s v="A"/>
    <s v="D"/>
    <n v="0"/>
    <s v="No Deposit"/>
    <n v="8"/>
    <m/>
    <n v="0"/>
    <x v="0"/>
    <x v="116"/>
    <n v="0"/>
    <n v="3"/>
    <x v="1"/>
    <d v="2015-12-08T00:00:00"/>
  </r>
  <r>
    <x v="1"/>
    <x v="0"/>
    <n v="38"/>
    <n v="2015"/>
    <x v="4"/>
    <n v="33"/>
    <n v="10"/>
    <n v="2"/>
    <n v="5"/>
    <n v="2"/>
    <n v="0"/>
    <n v="0"/>
    <s v="BB"/>
    <s v="PRT"/>
    <s v="Online TA"/>
    <x v="0"/>
    <n v="0"/>
    <n v="0"/>
    <n v="0"/>
    <s v="A"/>
    <s v="A"/>
    <n v="0"/>
    <s v="No Deposit"/>
    <n v="240"/>
    <m/>
    <n v="0"/>
    <x v="0"/>
    <x v="117"/>
    <n v="0"/>
    <n v="2"/>
    <x v="0"/>
    <d v="2015-07-14T00:00:00"/>
  </r>
  <r>
    <x v="1"/>
    <x v="1"/>
    <n v="107"/>
    <n v="2015"/>
    <x v="4"/>
    <n v="33"/>
    <n v="10"/>
    <n v="1"/>
    <n v="2"/>
    <n v="2"/>
    <n v="0"/>
    <n v="0"/>
    <s v="BB"/>
    <s v="PRT"/>
    <s v="Direct"/>
    <x v="2"/>
    <n v="0"/>
    <n v="0"/>
    <n v="0"/>
    <s v="A"/>
    <s v="A"/>
    <n v="0"/>
    <s v="No Deposit"/>
    <m/>
    <m/>
    <n v="0"/>
    <x v="1"/>
    <x v="56"/>
    <n v="0"/>
    <n v="1"/>
    <x v="1"/>
    <d v="2015-08-13T00:00:00"/>
  </r>
  <r>
    <x v="1"/>
    <x v="1"/>
    <n v="203"/>
    <n v="2016"/>
    <x v="3"/>
    <n v="49"/>
    <n v="2"/>
    <n v="2"/>
    <n v="5"/>
    <n v="2"/>
    <n v="0"/>
    <n v="0"/>
    <s v="BB"/>
    <s v="GBR"/>
    <s v="Direct"/>
    <x v="2"/>
    <n v="0"/>
    <n v="0"/>
    <n v="0"/>
    <s v="F"/>
    <s v="F"/>
    <n v="4"/>
    <s v="No Deposit"/>
    <n v="250"/>
    <m/>
    <n v="0"/>
    <x v="0"/>
    <x v="118"/>
    <n v="0"/>
    <n v="0"/>
    <x v="1"/>
    <d v="2016-12-09T00:00:00"/>
  </r>
  <r>
    <x v="0"/>
    <x v="1"/>
    <n v="25"/>
    <n v="2016"/>
    <x v="3"/>
    <n v="53"/>
    <n v="27"/>
    <n v="0"/>
    <n v="3"/>
    <n v="3"/>
    <n v="0"/>
    <n v="0"/>
    <s v="BB"/>
    <s v="BRA"/>
    <s v="Offline TA/TO"/>
    <x v="0"/>
    <n v="0"/>
    <n v="0"/>
    <n v="0"/>
    <s v="A"/>
    <s v="K"/>
    <n v="2"/>
    <s v="No Deposit"/>
    <n v="220"/>
    <m/>
    <n v="0"/>
    <x v="1"/>
    <x v="4"/>
    <n v="0"/>
    <n v="1"/>
    <x v="1"/>
    <d v="2016-12-30T00:00:00"/>
  </r>
  <r>
    <x v="0"/>
    <x v="1"/>
    <n v="1"/>
    <n v="2016"/>
    <x v="6"/>
    <n v="11"/>
    <n v="9"/>
    <n v="0"/>
    <n v="1"/>
    <n v="1"/>
    <n v="0"/>
    <n v="0"/>
    <s v="BB"/>
    <s v="SWE"/>
    <s v="Online TA"/>
    <x v="0"/>
    <n v="0"/>
    <n v="0"/>
    <n v="0"/>
    <s v="A"/>
    <s v="A"/>
    <n v="0"/>
    <s v="No Deposit"/>
    <n v="9"/>
    <m/>
    <n v="0"/>
    <x v="1"/>
    <x v="119"/>
    <n v="0"/>
    <n v="0"/>
    <x v="1"/>
    <d v="2016-03-10T00:00:00"/>
  </r>
  <r>
    <x v="0"/>
    <x v="0"/>
    <n v="21"/>
    <n v="2016"/>
    <x v="6"/>
    <n v="10"/>
    <n v="4"/>
    <n v="0"/>
    <n v="1"/>
    <n v="1"/>
    <n v="0"/>
    <n v="0"/>
    <s v="BB"/>
    <s v="SVN"/>
    <s v="Online TA"/>
    <x v="0"/>
    <n v="0"/>
    <n v="0"/>
    <n v="0"/>
    <s v="A"/>
    <s v="A"/>
    <n v="0"/>
    <s v="No Deposit"/>
    <n v="9"/>
    <m/>
    <n v="0"/>
    <x v="1"/>
    <x v="89"/>
    <n v="0"/>
    <n v="0"/>
    <x v="0"/>
    <d v="2016-02-26T00:00:00"/>
  </r>
  <r>
    <x v="1"/>
    <x v="1"/>
    <n v="55"/>
    <n v="2016"/>
    <x v="5"/>
    <n v="47"/>
    <n v="19"/>
    <n v="2"/>
    <n v="5"/>
    <n v="2"/>
    <n v="0"/>
    <n v="0"/>
    <s v="HB"/>
    <s v="GBR"/>
    <s v="Online TA"/>
    <x v="0"/>
    <n v="0"/>
    <n v="0"/>
    <n v="0"/>
    <s v="D"/>
    <s v="D"/>
    <n v="1"/>
    <s v="No Deposit"/>
    <n v="314"/>
    <m/>
    <n v="0"/>
    <x v="0"/>
    <x v="120"/>
    <n v="0"/>
    <n v="0"/>
    <x v="1"/>
    <d v="2016-11-26T00:00:00"/>
  </r>
  <r>
    <x v="1"/>
    <x v="1"/>
    <n v="120"/>
    <n v="2016"/>
    <x v="3"/>
    <n v="53"/>
    <n v="26"/>
    <n v="1"/>
    <n v="3"/>
    <n v="2"/>
    <n v="0"/>
    <n v="0"/>
    <s v="BB"/>
    <s v="BEL"/>
    <s v="Online TA"/>
    <x v="0"/>
    <n v="0"/>
    <n v="0"/>
    <n v="0"/>
    <s v="D"/>
    <s v="D"/>
    <n v="0"/>
    <s v="No Deposit"/>
    <n v="240"/>
    <m/>
    <n v="0"/>
    <x v="1"/>
    <x v="121"/>
    <n v="1"/>
    <n v="3"/>
    <x v="1"/>
    <d v="2016-12-30T00:00:00"/>
  </r>
  <r>
    <x v="0"/>
    <x v="1"/>
    <n v="41"/>
    <n v="2016"/>
    <x v="4"/>
    <n v="34"/>
    <n v="15"/>
    <n v="1"/>
    <n v="2"/>
    <n v="2"/>
    <n v="0"/>
    <n v="0"/>
    <s v="BB"/>
    <s v="PRT"/>
    <s v="Offline TA/TO"/>
    <x v="0"/>
    <n v="0"/>
    <n v="0"/>
    <n v="0"/>
    <s v="A"/>
    <s v="A"/>
    <n v="0"/>
    <s v="No Deposit"/>
    <n v="28"/>
    <m/>
    <n v="0"/>
    <x v="0"/>
    <x v="0"/>
    <n v="0"/>
    <n v="0"/>
    <x v="1"/>
    <d v="2016-08-18T00:00:00"/>
  </r>
  <r>
    <x v="1"/>
    <x v="1"/>
    <n v="34"/>
    <n v="2016"/>
    <x v="3"/>
    <n v="50"/>
    <n v="9"/>
    <n v="0"/>
    <n v="1"/>
    <n v="2"/>
    <n v="0"/>
    <n v="0"/>
    <s v="BB"/>
    <s v="PRT"/>
    <s v="Online TA"/>
    <x v="0"/>
    <n v="0"/>
    <n v="0"/>
    <n v="0"/>
    <s v="A"/>
    <s v="D"/>
    <n v="0"/>
    <s v="No Deposit"/>
    <n v="240"/>
    <m/>
    <n v="0"/>
    <x v="0"/>
    <x v="21"/>
    <n v="0"/>
    <n v="1"/>
    <x v="1"/>
    <d v="2016-12-10T00:00:00"/>
  </r>
  <r>
    <x v="0"/>
    <x v="0"/>
    <n v="38"/>
    <n v="2016"/>
    <x v="7"/>
    <n v="19"/>
    <n v="6"/>
    <n v="2"/>
    <n v="3"/>
    <n v="2"/>
    <n v="1"/>
    <n v="0"/>
    <s v="HB"/>
    <s v="FRA"/>
    <s v="Online TA"/>
    <x v="0"/>
    <n v="0"/>
    <n v="0"/>
    <n v="0"/>
    <s v="A"/>
    <s v="A"/>
    <n v="0"/>
    <s v="No Deposit"/>
    <n v="9"/>
    <m/>
    <n v="0"/>
    <x v="0"/>
    <x v="122"/>
    <n v="0"/>
    <n v="0"/>
    <x v="0"/>
    <d v="2016-05-01T00:00:00"/>
  </r>
  <r>
    <x v="1"/>
    <x v="1"/>
    <n v="32"/>
    <n v="2016"/>
    <x v="1"/>
    <n v="44"/>
    <n v="27"/>
    <n v="2"/>
    <n v="5"/>
    <n v="2"/>
    <n v="0"/>
    <n v="0"/>
    <s v="BB"/>
    <s v="FRA"/>
    <s v="Direct"/>
    <x v="2"/>
    <n v="0"/>
    <n v="0"/>
    <n v="0"/>
    <s v="F"/>
    <s v="F"/>
    <n v="0"/>
    <s v="No Deposit"/>
    <n v="250"/>
    <m/>
    <n v="0"/>
    <x v="0"/>
    <x v="123"/>
    <n v="1"/>
    <n v="0"/>
    <x v="1"/>
    <d v="2016-11-03T00:00:00"/>
  </r>
  <r>
    <x v="1"/>
    <x v="1"/>
    <n v="56"/>
    <n v="2016"/>
    <x v="6"/>
    <n v="14"/>
    <n v="29"/>
    <n v="0"/>
    <n v="4"/>
    <n v="2"/>
    <n v="0"/>
    <n v="0"/>
    <s v="BB"/>
    <s v="PRT"/>
    <s v="Online TA"/>
    <x v="0"/>
    <n v="0"/>
    <n v="0"/>
    <n v="0"/>
    <s v="A"/>
    <s v="A"/>
    <n v="0"/>
    <s v="No Deposit"/>
    <n v="240"/>
    <m/>
    <n v="0"/>
    <x v="0"/>
    <x v="107"/>
    <n v="1"/>
    <n v="1"/>
    <x v="1"/>
    <d v="2016-04-02T00:00:00"/>
  </r>
  <r>
    <x v="0"/>
    <x v="0"/>
    <n v="175"/>
    <n v="2016"/>
    <x v="4"/>
    <n v="33"/>
    <n v="10"/>
    <n v="0"/>
    <n v="4"/>
    <n v="2"/>
    <n v="0"/>
    <n v="0"/>
    <s v="BB"/>
    <s v="GBR"/>
    <s v="Online TA"/>
    <x v="0"/>
    <n v="0"/>
    <n v="0"/>
    <n v="0"/>
    <s v="A"/>
    <s v="A"/>
    <n v="0"/>
    <s v="No Deposit"/>
    <n v="9"/>
    <m/>
    <n v="0"/>
    <x v="0"/>
    <x v="124"/>
    <n v="0"/>
    <n v="0"/>
    <x v="0"/>
    <d v="2016-03-01T00:00:00"/>
  </r>
  <r>
    <x v="1"/>
    <x v="0"/>
    <n v="378"/>
    <n v="2016"/>
    <x v="5"/>
    <n v="45"/>
    <n v="1"/>
    <n v="0"/>
    <n v="2"/>
    <n v="2"/>
    <n v="0"/>
    <n v="0"/>
    <s v="BB"/>
    <s v="PRT"/>
    <s v="Groups"/>
    <x v="0"/>
    <n v="0"/>
    <n v="0"/>
    <n v="0"/>
    <s v="A"/>
    <s v="A"/>
    <n v="0"/>
    <s v="Non Refund"/>
    <n v="248"/>
    <m/>
    <n v="0"/>
    <x v="0"/>
    <x v="125"/>
    <n v="0"/>
    <n v="0"/>
    <x v="0"/>
    <d v="2016-10-18T00:00:00"/>
  </r>
  <r>
    <x v="0"/>
    <x v="1"/>
    <n v="32"/>
    <n v="2016"/>
    <x v="8"/>
    <n v="5"/>
    <n v="24"/>
    <n v="2"/>
    <n v="1"/>
    <n v="2"/>
    <n v="0"/>
    <n v="0"/>
    <s v="BB"/>
    <s v="ARG"/>
    <s v="Corporate"/>
    <x v="1"/>
    <n v="0"/>
    <n v="0"/>
    <n v="0"/>
    <s v="A"/>
    <s v="A"/>
    <n v="1"/>
    <s v="No Deposit"/>
    <n v="38"/>
    <m/>
    <n v="15"/>
    <x v="1"/>
    <x v="61"/>
    <n v="0"/>
    <n v="0"/>
    <x v="1"/>
    <d v="2016-01-27T00:00:00"/>
  </r>
  <r>
    <x v="0"/>
    <x v="0"/>
    <n v="179"/>
    <n v="2016"/>
    <x v="0"/>
    <n v="27"/>
    <n v="1"/>
    <n v="0"/>
    <n v="2"/>
    <n v="2"/>
    <n v="0"/>
    <n v="0"/>
    <s v="BB"/>
    <s v="PRT"/>
    <s v="Groups"/>
    <x v="0"/>
    <n v="0"/>
    <n v="0"/>
    <n v="0"/>
    <s v="A"/>
    <s v="A"/>
    <n v="0"/>
    <s v="Non Refund"/>
    <n v="1"/>
    <m/>
    <n v="0"/>
    <x v="0"/>
    <x v="9"/>
    <n v="0"/>
    <n v="0"/>
    <x v="0"/>
    <d v="2016-05-10T00:00:00"/>
  </r>
  <r>
    <x v="0"/>
    <x v="1"/>
    <n v="349"/>
    <n v="2016"/>
    <x v="1"/>
    <n v="41"/>
    <n v="4"/>
    <n v="1"/>
    <n v="5"/>
    <n v="2"/>
    <n v="0"/>
    <n v="0"/>
    <s v="BB"/>
    <s v="DEU"/>
    <s v="Offline TA/TO"/>
    <x v="0"/>
    <n v="0"/>
    <n v="0"/>
    <n v="0"/>
    <s v="A"/>
    <s v="A"/>
    <n v="0"/>
    <s v="No Deposit"/>
    <n v="58"/>
    <m/>
    <n v="162"/>
    <x v="1"/>
    <x v="126"/>
    <n v="0"/>
    <n v="0"/>
    <x v="1"/>
    <d v="2016-10-10T00:00:00"/>
  </r>
  <r>
    <x v="0"/>
    <x v="1"/>
    <n v="47"/>
    <n v="2016"/>
    <x v="9"/>
    <n v="8"/>
    <n v="18"/>
    <n v="0"/>
    <n v="3"/>
    <n v="2"/>
    <n v="0"/>
    <n v="0"/>
    <s v="BB"/>
    <s v="NLD"/>
    <s v="Online TA"/>
    <x v="0"/>
    <n v="0"/>
    <n v="0"/>
    <n v="0"/>
    <s v="D"/>
    <s v="D"/>
    <n v="0"/>
    <s v="No Deposit"/>
    <n v="9"/>
    <m/>
    <n v="0"/>
    <x v="0"/>
    <x v="127"/>
    <n v="0"/>
    <n v="0"/>
    <x v="1"/>
    <d v="2016-02-21T00:00:00"/>
  </r>
  <r>
    <x v="0"/>
    <x v="1"/>
    <n v="31"/>
    <n v="2016"/>
    <x v="2"/>
    <n v="40"/>
    <n v="27"/>
    <n v="0"/>
    <n v="1"/>
    <n v="2"/>
    <n v="0"/>
    <n v="0"/>
    <s v="BB"/>
    <s v="UGA"/>
    <s v="Online TA"/>
    <x v="0"/>
    <n v="0"/>
    <n v="0"/>
    <n v="0"/>
    <s v="A"/>
    <s v="D"/>
    <n v="0"/>
    <s v="No Deposit"/>
    <n v="9"/>
    <m/>
    <n v="0"/>
    <x v="0"/>
    <x v="128"/>
    <n v="0"/>
    <n v="0"/>
    <x v="1"/>
    <d v="2016-09-28T00:00:00"/>
  </r>
  <r>
    <x v="0"/>
    <x v="1"/>
    <n v="158"/>
    <n v="2016"/>
    <x v="0"/>
    <n v="27"/>
    <n v="1"/>
    <n v="1"/>
    <n v="2"/>
    <n v="2"/>
    <n v="2"/>
    <n v="0"/>
    <s v="BB"/>
    <s v="BEL"/>
    <s v="Online TA"/>
    <x v="0"/>
    <n v="0"/>
    <n v="0"/>
    <n v="0"/>
    <s v="F"/>
    <s v="F"/>
    <n v="0"/>
    <s v="No Deposit"/>
    <n v="9"/>
    <m/>
    <n v="0"/>
    <x v="0"/>
    <x v="129"/>
    <n v="0"/>
    <n v="1"/>
    <x v="1"/>
    <d v="2016-07-04T00:00:00"/>
  </r>
  <r>
    <x v="0"/>
    <x v="1"/>
    <n v="25"/>
    <n v="2016"/>
    <x v="3"/>
    <n v="51"/>
    <n v="13"/>
    <n v="0"/>
    <n v="4"/>
    <n v="1"/>
    <n v="0"/>
    <n v="0"/>
    <s v="BB"/>
    <s v="EST"/>
    <s v="Online TA"/>
    <x v="0"/>
    <n v="0"/>
    <n v="0"/>
    <n v="0"/>
    <s v="A"/>
    <s v="A"/>
    <n v="0"/>
    <s v="No Deposit"/>
    <n v="8"/>
    <m/>
    <n v="0"/>
    <x v="0"/>
    <x v="130"/>
    <n v="0"/>
    <n v="1"/>
    <x v="1"/>
    <d v="2016-12-17T00:00:00"/>
  </r>
  <r>
    <x v="0"/>
    <x v="1"/>
    <n v="386"/>
    <n v="2016"/>
    <x v="1"/>
    <n v="44"/>
    <n v="23"/>
    <n v="2"/>
    <n v="0"/>
    <n v="2"/>
    <n v="0"/>
    <n v="0"/>
    <s v="HB"/>
    <s v="DEU"/>
    <s v="Offline TA/TO"/>
    <x v="0"/>
    <n v="0"/>
    <n v="0"/>
    <n v="0"/>
    <s v="A"/>
    <s v="A"/>
    <n v="0"/>
    <s v="No Deposit"/>
    <n v="6"/>
    <m/>
    <n v="0"/>
    <x v="1"/>
    <x v="42"/>
    <n v="0"/>
    <n v="1"/>
    <x v="1"/>
    <d v="2016-10-25T00:00:00"/>
  </r>
  <r>
    <x v="1"/>
    <x v="1"/>
    <n v="10"/>
    <n v="2016"/>
    <x v="2"/>
    <n v="38"/>
    <n v="13"/>
    <n v="0"/>
    <n v="2"/>
    <n v="2"/>
    <n v="0"/>
    <n v="0"/>
    <s v="BB"/>
    <s v="TUR"/>
    <s v="Online TA"/>
    <x v="0"/>
    <n v="0"/>
    <n v="0"/>
    <n v="0"/>
    <s v="A"/>
    <s v="A"/>
    <n v="0"/>
    <s v="No Deposit"/>
    <n v="240"/>
    <m/>
    <n v="0"/>
    <x v="0"/>
    <x v="1"/>
    <n v="0"/>
    <n v="0"/>
    <x v="1"/>
    <d v="2016-09-15T00:00:00"/>
  </r>
  <r>
    <x v="0"/>
    <x v="1"/>
    <n v="76"/>
    <n v="2016"/>
    <x v="6"/>
    <n v="13"/>
    <n v="20"/>
    <n v="2"/>
    <n v="3"/>
    <n v="2"/>
    <n v="0"/>
    <n v="0"/>
    <s v="BB"/>
    <s v="AUT"/>
    <s v="Online TA"/>
    <x v="0"/>
    <n v="0"/>
    <n v="0"/>
    <n v="0"/>
    <s v="D"/>
    <s v="D"/>
    <n v="1"/>
    <s v="No Deposit"/>
    <n v="9"/>
    <m/>
    <n v="0"/>
    <x v="0"/>
    <x v="131"/>
    <n v="0"/>
    <n v="1"/>
    <x v="1"/>
    <d v="2016-03-25T00:00:00"/>
  </r>
  <r>
    <x v="1"/>
    <x v="0"/>
    <n v="210"/>
    <n v="2016"/>
    <x v="4"/>
    <n v="35"/>
    <n v="22"/>
    <n v="3"/>
    <n v="8"/>
    <n v="2"/>
    <n v="0"/>
    <n v="0"/>
    <s v="HB"/>
    <s v="PRT"/>
    <s v="Online TA"/>
    <x v="0"/>
    <n v="0"/>
    <n v="0"/>
    <n v="0"/>
    <s v="E"/>
    <s v="E"/>
    <n v="0"/>
    <s v="No Deposit"/>
    <n v="240"/>
    <m/>
    <n v="0"/>
    <x v="0"/>
    <x v="132"/>
    <n v="0"/>
    <n v="2"/>
    <x v="0"/>
    <d v="2016-02-15T00:00:00"/>
  </r>
  <r>
    <x v="0"/>
    <x v="1"/>
    <n v="4"/>
    <n v="2016"/>
    <x v="10"/>
    <n v="27"/>
    <n v="26"/>
    <n v="2"/>
    <n v="0"/>
    <n v="1"/>
    <n v="0"/>
    <n v="0"/>
    <s v="SC"/>
    <s v="NLD"/>
    <s v="Online TA"/>
    <x v="0"/>
    <n v="0"/>
    <n v="0"/>
    <n v="0"/>
    <s v="A"/>
    <s v="A"/>
    <n v="0"/>
    <s v="No Deposit"/>
    <n v="9"/>
    <m/>
    <n v="0"/>
    <x v="0"/>
    <x v="27"/>
    <n v="0"/>
    <n v="1"/>
    <x v="1"/>
    <d v="2016-06-28T00:00:00"/>
  </r>
  <r>
    <x v="0"/>
    <x v="1"/>
    <n v="33"/>
    <n v="2016"/>
    <x v="7"/>
    <n v="23"/>
    <n v="29"/>
    <n v="2"/>
    <n v="1"/>
    <n v="2"/>
    <n v="0"/>
    <n v="0"/>
    <s v="BB"/>
    <s v="PRT"/>
    <s v="Offline TA/TO"/>
    <x v="0"/>
    <n v="0"/>
    <n v="0"/>
    <n v="0"/>
    <s v="A"/>
    <s v="A"/>
    <n v="0"/>
    <s v="No Deposit"/>
    <n v="42"/>
    <m/>
    <n v="0"/>
    <x v="0"/>
    <x v="133"/>
    <n v="0"/>
    <n v="0"/>
    <x v="1"/>
    <d v="2016-06-01T00:00:00"/>
  </r>
  <r>
    <x v="0"/>
    <x v="1"/>
    <n v="7"/>
    <n v="2016"/>
    <x v="3"/>
    <n v="51"/>
    <n v="17"/>
    <n v="1"/>
    <n v="1"/>
    <n v="2"/>
    <n v="0"/>
    <n v="0"/>
    <s v="SC"/>
    <s v="PRT"/>
    <s v="Online TA"/>
    <x v="0"/>
    <n v="0"/>
    <n v="0"/>
    <n v="0"/>
    <s v="A"/>
    <s v="A"/>
    <n v="0"/>
    <s v="No Deposit"/>
    <n v="9"/>
    <m/>
    <n v="0"/>
    <x v="0"/>
    <x v="134"/>
    <n v="0"/>
    <n v="1"/>
    <x v="1"/>
    <d v="2016-12-19T00:00:00"/>
  </r>
  <r>
    <x v="1"/>
    <x v="1"/>
    <n v="28"/>
    <n v="2016"/>
    <x v="7"/>
    <n v="21"/>
    <n v="19"/>
    <n v="2"/>
    <n v="5"/>
    <n v="3"/>
    <n v="0"/>
    <n v="0"/>
    <s v="BB"/>
    <s v="FRA"/>
    <s v="Offline TA/TO"/>
    <x v="0"/>
    <n v="0"/>
    <n v="0"/>
    <n v="0"/>
    <s v="A"/>
    <s v="A"/>
    <n v="0"/>
    <s v="No Deposit"/>
    <n v="8"/>
    <m/>
    <n v="0"/>
    <x v="0"/>
    <x v="130"/>
    <n v="0"/>
    <n v="2"/>
    <x v="1"/>
    <d v="2016-05-26T00:00:00"/>
  </r>
  <r>
    <x v="1"/>
    <x v="0"/>
    <n v="48"/>
    <n v="2016"/>
    <x v="2"/>
    <n v="40"/>
    <n v="30"/>
    <n v="2"/>
    <n v="3"/>
    <n v="2"/>
    <n v="0"/>
    <n v="0"/>
    <s v="BB"/>
    <s v="ESP"/>
    <s v="Online TA"/>
    <x v="0"/>
    <n v="0"/>
    <n v="0"/>
    <n v="0"/>
    <s v="E"/>
    <s v="E"/>
    <n v="0"/>
    <s v="No Deposit"/>
    <n v="240"/>
    <m/>
    <n v="0"/>
    <x v="0"/>
    <x v="135"/>
    <n v="0"/>
    <n v="0"/>
    <x v="0"/>
    <d v="2016-08-14T00:00:00"/>
  </r>
  <r>
    <x v="1"/>
    <x v="1"/>
    <n v="25"/>
    <n v="2016"/>
    <x v="8"/>
    <n v="3"/>
    <n v="14"/>
    <n v="0"/>
    <n v="2"/>
    <n v="2"/>
    <n v="2"/>
    <n v="0"/>
    <s v="BB"/>
    <s v="ESP"/>
    <s v="Online TA"/>
    <x v="0"/>
    <n v="0"/>
    <n v="0"/>
    <n v="0"/>
    <s v="G"/>
    <s v="G"/>
    <n v="0"/>
    <s v="No Deposit"/>
    <n v="240"/>
    <m/>
    <n v="0"/>
    <x v="0"/>
    <x v="97"/>
    <n v="0"/>
    <n v="1"/>
    <x v="1"/>
    <d v="2016-01-16T00:00:00"/>
  </r>
  <r>
    <x v="1"/>
    <x v="1"/>
    <n v="154"/>
    <n v="2016"/>
    <x v="0"/>
    <n v="29"/>
    <n v="11"/>
    <n v="1"/>
    <n v="2"/>
    <n v="2"/>
    <n v="0"/>
    <n v="0"/>
    <s v="BB"/>
    <s v="LUX"/>
    <s v="Offline TA/TO"/>
    <x v="0"/>
    <n v="0"/>
    <n v="0"/>
    <n v="0"/>
    <s v="A"/>
    <s v="B"/>
    <n v="0"/>
    <s v="No Deposit"/>
    <n v="327"/>
    <m/>
    <n v="0"/>
    <x v="0"/>
    <x v="136"/>
    <n v="0"/>
    <n v="0"/>
    <x v="1"/>
    <d v="2016-07-14T00:00:00"/>
  </r>
  <r>
    <x v="0"/>
    <x v="1"/>
    <n v="18"/>
    <n v="2016"/>
    <x v="3"/>
    <n v="51"/>
    <n v="11"/>
    <n v="1"/>
    <n v="0"/>
    <n v="2"/>
    <n v="0"/>
    <n v="0"/>
    <s v="BB"/>
    <s v="PRT"/>
    <s v="Offline TA/TO"/>
    <x v="0"/>
    <n v="0"/>
    <n v="0"/>
    <n v="0"/>
    <s v="A"/>
    <s v="A"/>
    <n v="0"/>
    <s v="No Deposit"/>
    <n v="378"/>
    <m/>
    <n v="0"/>
    <x v="1"/>
    <x v="2"/>
    <n v="0"/>
    <n v="0"/>
    <x v="1"/>
    <d v="2016-12-12T00:00:00"/>
  </r>
  <r>
    <x v="0"/>
    <x v="1"/>
    <n v="69"/>
    <n v="2016"/>
    <x v="7"/>
    <n v="20"/>
    <n v="14"/>
    <n v="2"/>
    <n v="1"/>
    <n v="3"/>
    <n v="0"/>
    <n v="0"/>
    <s v="BB"/>
    <s v="DEU"/>
    <s v="Online TA"/>
    <x v="0"/>
    <n v="0"/>
    <n v="0"/>
    <n v="0"/>
    <s v="A"/>
    <s v="D"/>
    <n v="0"/>
    <s v="No Deposit"/>
    <n v="9"/>
    <m/>
    <n v="0"/>
    <x v="0"/>
    <x v="137"/>
    <n v="0"/>
    <n v="1"/>
    <x v="1"/>
    <d v="2016-05-17T00:00:00"/>
  </r>
  <r>
    <x v="1"/>
    <x v="1"/>
    <n v="3"/>
    <n v="2016"/>
    <x v="7"/>
    <n v="21"/>
    <n v="20"/>
    <n v="0"/>
    <n v="2"/>
    <n v="2"/>
    <n v="0"/>
    <n v="0"/>
    <s v="BB"/>
    <s v="ESP"/>
    <s v="Online TA"/>
    <x v="0"/>
    <n v="0"/>
    <n v="0"/>
    <n v="0"/>
    <s v="A"/>
    <s v="F"/>
    <n v="0"/>
    <s v="No Deposit"/>
    <n v="240"/>
    <m/>
    <n v="0"/>
    <x v="0"/>
    <x v="138"/>
    <n v="0"/>
    <n v="0"/>
    <x v="1"/>
    <d v="2016-05-22T00:00:00"/>
  </r>
  <r>
    <x v="1"/>
    <x v="0"/>
    <n v="206"/>
    <n v="2016"/>
    <x v="6"/>
    <n v="13"/>
    <n v="21"/>
    <n v="2"/>
    <n v="5"/>
    <n v="2"/>
    <n v="0"/>
    <n v="0"/>
    <s v="BB"/>
    <s v="PRT"/>
    <s v="Online TA"/>
    <x v="0"/>
    <n v="0"/>
    <n v="0"/>
    <n v="0"/>
    <s v="A"/>
    <s v="A"/>
    <n v="0"/>
    <s v="No Deposit"/>
    <n v="240"/>
    <m/>
    <n v="0"/>
    <x v="0"/>
    <x v="139"/>
    <n v="0"/>
    <n v="1"/>
    <x v="0"/>
    <d v="2015-08-31T00:00:00"/>
  </r>
  <r>
    <x v="0"/>
    <x v="1"/>
    <n v="30"/>
    <n v="2016"/>
    <x v="7"/>
    <n v="21"/>
    <n v="21"/>
    <n v="2"/>
    <n v="2"/>
    <n v="2"/>
    <n v="1"/>
    <n v="0"/>
    <s v="BB"/>
    <s v="BRA"/>
    <s v="Online TA"/>
    <x v="0"/>
    <n v="0"/>
    <n v="0"/>
    <n v="0"/>
    <s v="A"/>
    <s v="B"/>
    <n v="0"/>
    <s v="No Deposit"/>
    <n v="9"/>
    <m/>
    <n v="0"/>
    <x v="0"/>
    <x v="140"/>
    <n v="0"/>
    <n v="0"/>
    <x v="1"/>
    <d v="2016-05-25T00:00:00"/>
  </r>
  <r>
    <x v="1"/>
    <x v="1"/>
    <n v="32"/>
    <n v="2016"/>
    <x v="11"/>
    <n v="17"/>
    <n v="19"/>
    <n v="2"/>
    <n v="5"/>
    <n v="2"/>
    <n v="0"/>
    <n v="0"/>
    <s v="HB"/>
    <s v="GBR"/>
    <s v="Groups"/>
    <x v="2"/>
    <n v="0"/>
    <n v="0"/>
    <n v="0"/>
    <s v="D"/>
    <s v="D"/>
    <n v="0"/>
    <s v="No Deposit"/>
    <n v="273"/>
    <m/>
    <n v="0"/>
    <x v="1"/>
    <x v="141"/>
    <n v="0"/>
    <n v="0"/>
    <x v="1"/>
    <d v="2016-04-26T00:00:00"/>
  </r>
  <r>
    <x v="1"/>
    <x v="1"/>
    <n v="53"/>
    <n v="2016"/>
    <x v="10"/>
    <n v="24"/>
    <n v="7"/>
    <n v="0"/>
    <n v="2"/>
    <n v="2"/>
    <n v="0"/>
    <n v="0"/>
    <s v="BB"/>
    <s v="CHN"/>
    <s v="Online TA"/>
    <x v="0"/>
    <n v="0"/>
    <n v="0"/>
    <n v="0"/>
    <s v="A"/>
    <s v="A"/>
    <n v="0"/>
    <s v="No Deposit"/>
    <n v="240"/>
    <m/>
    <n v="0"/>
    <x v="0"/>
    <x v="142"/>
    <n v="0"/>
    <n v="1"/>
    <x v="1"/>
    <d v="2016-06-09T00:00:00"/>
  </r>
  <r>
    <x v="0"/>
    <x v="0"/>
    <n v="304"/>
    <n v="2016"/>
    <x v="5"/>
    <n v="45"/>
    <n v="3"/>
    <n v="0"/>
    <n v="3"/>
    <n v="2"/>
    <n v="0"/>
    <n v="0"/>
    <s v="BB"/>
    <s v="PRT"/>
    <s v="Offline TA/TO"/>
    <x v="0"/>
    <n v="0"/>
    <n v="0"/>
    <n v="0"/>
    <s v="A"/>
    <s v="A"/>
    <n v="0"/>
    <s v="Non Refund"/>
    <n v="21"/>
    <m/>
    <n v="0"/>
    <x v="0"/>
    <x v="138"/>
    <n v="0"/>
    <n v="0"/>
    <x v="0"/>
    <d v="2016-02-01T00:00:00"/>
  </r>
  <r>
    <x v="0"/>
    <x v="0"/>
    <n v="113"/>
    <n v="2016"/>
    <x v="2"/>
    <n v="37"/>
    <n v="7"/>
    <n v="1"/>
    <n v="4"/>
    <n v="2"/>
    <n v="0"/>
    <n v="0"/>
    <s v="BB"/>
    <s v="PRT"/>
    <s v="Offline TA/TO"/>
    <x v="0"/>
    <n v="0"/>
    <n v="0"/>
    <n v="0"/>
    <s v="A"/>
    <s v="A"/>
    <n v="0"/>
    <s v="No Deposit"/>
    <n v="6"/>
    <m/>
    <n v="0"/>
    <x v="0"/>
    <x v="143"/>
    <n v="0"/>
    <n v="0"/>
    <x v="0"/>
    <d v="2016-05-23T00:00:00"/>
  </r>
  <r>
    <x v="0"/>
    <x v="0"/>
    <n v="11"/>
    <n v="2016"/>
    <x v="5"/>
    <n v="45"/>
    <n v="5"/>
    <n v="0"/>
    <n v="1"/>
    <n v="2"/>
    <n v="1"/>
    <n v="0"/>
    <s v="BB"/>
    <s v="GBR"/>
    <s v="Online TA"/>
    <x v="0"/>
    <n v="0"/>
    <n v="0"/>
    <n v="0"/>
    <s v="A"/>
    <s v="A"/>
    <n v="0"/>
    <s v="No Deposit"/>
    <n v="9"/>
    <m/>
    <n v="0"/>
    <x v="0"/>
    <x v="144"/>
    <n v="0"/>
    <n v="1"/>
    <x v="0"/>
    <d v="2016-10-28T00:00:00"/>
  </r>
  <r>
    <x v="0"/>
    <x v="1"/>
    <n v="16"/>
    <n v="2016"/>
    <x v="3"/>
    <n v="50"/>
    <n v="4"/>
    <n v="2"/>
    <n v="0"/>
    <n v="2"/>
    <n v="1"/>
    <n v="0"/>
    <s v="BB"/>
    <s v="ESP"/>
    <s v="Online TA"/>
    <x v="0"/>
    <n v="0"/>
    <n v="0"/>
    <n v="0"/>
    <s v="A"/>
    <s v="A"/>
    <n v="0"/>
    <s v="No Deposit"/>
    <n v="9"/>
    <m/>
    <n v="0"/>
    <x v="0"/>
    <x v="143"/>
    <n v="0"/>
    <n v="1"/>
    <x v="1"/>
    <d v="2016-12-06T00:00:00"/>
  </r>
  <r>
    <x v="0"/>
    <x v="1"/>
    <n v="70"/>
    <n v="2016"/>
    <x v="11"/>
    <n v="17"/>
    <n v="22"/>
    <n v="2"/>
    <n v="2"/>
    <n v="2"/>
    <n v="0"/>
    <n v="0"/>
    <s v="BB"/>
    <s v="NLD"/>
    <s v="Online TA"/>
    <x v="0"/>
    <n v="0"/>
    <n v="0"/>
    <n v="0"/>
    <s v="A"/>
    <s v="A"/>
    <n v="0"/>
    <s v="No Deposit"/>
    <n v="9"/>
    <m/>
    <n v="0"/>
    <x v="0"/>
    <x v="145"/>
    <n v="0"/>
    <n v="0"/>
    <x v="1"/>
    <d v="2016-04-26T00:00:00"/>
  </r>
  <r>
    <x v="1"/>
    <x v="0"/>
    <n v="108"/>
    <n v="2016"/>
    <x v="11"/>
    <n v="18"/>
    <n v="29"/>
    <n v="2"/>
    <n v="2"/>
    <n v="2"/>
    <n v="0"/>
    <n v="0"/>
    <s v="HB"/>
    <s v="PRT"/>
    <s v="Groups"/>
    <x v="0"/>
    <n v="0"/>
    <n v="0"/>
    <n v="0"/>
    <s v="A"/>
    <s v="A"/>
    <n v="0"/>
    <s v="Non Refund"/>
    <m/>
    <m/>
    <n v="0"/>
    <x v="0"/>
    <x v="146"/>
    <n v="0"/>
    <n v="0"/>
    <x v="0"/>
    <d v="2016-02-12T00:00:00"/>
  </r>
  <r>
    <x v="1"/>
    <x v="1"/>
    <n v="128"/>
    <n v="2016"/>
    <x v="3"/>
    <n v="50"/>
    <n v="8"/>
    <n v="0"/>
    <n v="3"/>
    <n v="2"/>
    <n v="0"/>
    <n v="0"/>
    <s v="BB"/>
    <s v="GBR"/>
    <s v="Online TA"/>
    <x v="0"/>
    <n v="0"/>
    <n v="0"/>
    <n v="0"/>
    <s v="D"/>
    <s v="D"/>
    <n v="0"/>
    <s v="No Deposit"/>
    <n v="241"/>
    <m/>
    <n v="0"/>
    <x v="0"/>
    <x v="147"/>
    <n v="0"/>
    <n v="2"/>
    <x v="1"/>
    <d v="2016-12-11T00:00:00"/>
  </r>
  <r>
    <x v="1"/>
    <x v="1"/>
    <n v="18"/>
    <n v="2016"/>
    <x v="11"/>
    <n v="15"/>
    <n v="9"/>
    <n v="2"/>
    <n v="3"/>
    <n v="1"/>
    <n v="0"/>
    <n v="0"/>
    <s v="BB"/>
    <s v="GBR"/>
    <s v="Offline TA/TO"/>
    <x v="0"/>
    <n v="0"/>
    <n v="0"/>
    <n v="0"/>
    <s v="A"/>
    <s v="A"/>
    <n v="0"/>
    <s v="No Deposit"/>
    <n v="40"/>
    <m/>
    <n v="0"/>
    <x v="2"/>
    <x v="148"/>
    <n v="0"/>
    <n v="0"/>
    <x v="1"/>
    <d v="2016-04-14T00:00:00"/>
  </r>
  <r>
    <x v="1"/>
    <x v="1"/>
    <n v="166"/>
    <n v="2016"/>
    <x v="4"/>
    <n v="35"/>
    <n v="27"/>
    <n v="2"/>
    <n v="2"/>
    <n v="1"/>
    <n v="0"/>
    <n v="0"/>
    <s v="BB"/>
    <s v="GBR"/>
    <s v="Offline TA/TO"/>
    <x v="0"/>
    <n v="0"/>
    <n v="0"/>
    <n v="0"/>
    <s v="A"/>
    <s v="A"/>
    <n v="0"/>
    <s v="No Deposit"/>
    <n v="171"/>
    <m/>
    <n v="0"/>
    <x v="1"/>
    <x v="149"/>
    <n v="0"/>
    <n v="0"/>
    <x v="1"/>
    <d v="2016-08-31T00:00:00"/>
  </r>
  <r>
    <x v="0"/>
    <x v="1"/>
    <n v="2"/>
    <n v="2016"/>
    <x v="6"/>
    <n v="13"/>
    <n v="20"/>
    <n v="2"/>
    <n v="4"/>
    <n v="2"/>
    <n v="0"/>
    <n v="0"/>
    <s v="BB"/>
    <s v="PRT"/>
    <s v="Offline TA/TO"/>
    <x v="0"/>
    <n v="0"/>
    <n v="0"/>
    <n v="0"/>
    <s v="A"/>
    <s v="A"/>
    <n v="0"/>
    <s v="No Deposit"/>
    <n v="220"/>
    <m/>
    <n v="0"/>
    <x v="1"/>
    <x v="89"/>
    <n v="0"/>
    <n v="0"/>
    <x v="1"/>
    <d v="2016-03-26T00:00:00"/>
  </r>
  <r>
    <x v="1"/>
    <x v="0"/>
    <n v="468"/>
    <n v="2016"/>
    <x v="7"/>
    <n v="20"/>
    <n v="12"/>
    <n v="0"/>
    <n v="2"/>
    <n v="2"/>
    <n v="0"/>
    <n v="0"/>
    <s v="HB"/>
    <s v="PRT"/>
    <s v="Groups"/>
    <x v="0"/>
    <n v="0"/>
    <n v="1"/>
    <n v="0"/>
    <s v="A"/>
    <s v="A"/>
    <n v="0"/>
    <s v="No Deposit"/>
    <n v="249"/>
    <m/>
    <n v="0"/>
    <x v="1"/>
    <x v="150"/>
    <n v="0"/>
    <n v="0"/>
    <x v="0"/>
    <d v="2015-07-30T00:00:00"/>
  </r>
  <r>
    <x v="1"/>
    <x v="1"/>
    <n v="36"/>
    <n v="2016"/>
    <x v="10"/>
    <n v="24"/>
    <n v="9"/>
    <n v="0"/>
    <n v="3"/>
    <n v="2"/>
    <n v="1"/>
    <n v="0"/>
    <s v="BB"/>
    <s v="ESP"/>
    <s v="Online TA"/>
    <x v="0"/>
    <n v="0"/>
    <n v="0"/>
    <n v="0"/>
    <s v="F"/>
    <s v="G"/>
    <n v="0"/>
    <s v="No Deposit"/>
    <n v="241"/>
    <m/>
    <n v="0"/>
    <x v="0"/>
    <x v="151"/>
    <n v="1"/>
    <n v="1"/>
    <x v="1"/>
    <d v="2016-06-12T00:00:00"/>
  </r>
  <r>
    <x v="0"/>
    <x v="0"/>
    <n v="91"/>
    <n v="2016"/>
    <x v="6"/>
    <n v="12"/>
    <n v="18"/>
    <n v="0"/>
    <n v="2"/>
    <n v="1"/>
    <n v="0"/>
    <n v="0"/>
    <s v="BB"/>
    <s v="PRT"/>
    <s v="Groups"/>
    <x v="0"/>
    <n v="0"/>
    <n v="0"/>
    <n v="0"/>
    <s v="A"/>
    <s v="A"/>
    <n v="0"/>
    <s v="Non Refund"/>
    <n v="29"/>
    <m/>
    <n v="20"/>
    <x v="0"/>
    <x v="45"/>
    <n v="0"/>
    <n v="0"/>
    <x v="0"/>
    <d v="2016-02-03T00:00:00"/>
  </r>
  <r>
    <x v="0"/>
    <x v="1"/>
    <n v="50"/>
    <n v="2016"/>
    <x v="11"/>
    <n v="16"/>
    <n v="12"/>
    <n v="0"/>
    <n v="3"/>
    <n v="2"/>
    <n v="1"/>
    <n v="0"/>
    <s v="HB"/>
    <s v="FRA"/>
    <s v="Online TA"/>
    <x v="0"/>
    <n v="0"/>
    <n v="0"/>
    <n v="0"/>
    <s v="A"/>
    <s v="D"/>
    <n v="0"/>
    <s v="No Deposit"/>
    <n v="9"/>
    <m/>
    <n v="0"/>
    <x v="0"/>
    <x v="152"/>
    <n v="0"/>
    <n v="2"/>
    <x v="1"/>
    <d v="2016-04-15T00:00:00"/>
  </r>
  <r>
    <x v="0"/>
    <x v="1"/>
    <n v="32"/>
    <n v="2016"/>
    <x v="1"/>
    <n v="43"/>
    <n v="22"/>
    <n v="2"/>
    <n v="5"/>
    <n v="2"/>
    <n v="0"/>
    <n v="0"/>
    <s v="BB"/>
    <s v="FRA"/>
    <s v="Direct"/>
    <x v="2"/>
    <n v="0"/>
    <n v="0"/>
    <n v="0"/>
    <s v="A"/>
    <s v="A"/>
    <n v="0"/>
    <s v="No Deposit"/>
    <m/>
    <m/>
    <n v="0"/>
    <x v="0"/>
    <x v="153"/>
    <n v="0"/>
    <n v="2"/>
    <x v="1"/>
    <d v="2016-10-29T00:00:00"/>
  </r>
  <r>
    <x v="0"/>
    <x v="1"/>
    <n v="61"/>
    <n v="2016"/>
    <x v="11"/>
    <n v="18"/>
    <n v="30"/>
    <n v="1"/>
    <n v="1"/>
    <n v="2"/>
    <n v="0"/>
    <n v="0"/>
    <s v="BB"/>
    <s v="ESP"/>
    <s v="Offline TA/TO"/>
    <x v="0"/>
    <n v="0"/>
    <n v="0"/>
    <n v="0"/>
    <s v="A"/>
    <s v="B"/>
    <n v="1"/>
    <s v="No Deposit"/>
    <n v="85"/>
    <m/>
    <n v="0"/>
    <x v="0"/>
    <x v="154"/>
    <n v="0"/>
    <n v="1"/>
    <x v="1"/>
    <d v="2016-05-02T00:00:00"/>
  </r>
  <r>
    <x v="1"/>
    <x v="1"/>
    <n v="228"/>
    <n v="2016"/>
    <x v="2"/>
    <n v="37"/>
    <n v="5"/>
    <n v="6"/>
    <n v="15"/>
    <n v="2"/>
    <n v="0"/>
    <n v="0"/>
    <s v="HB"/>
    <s v="DEU"/>
    <s v="Direct"/>
    <x v="2"/>
    <n v="0"/>
    <n v="0"/>
    <n v="1"/>
    <s v="D"/>
    <s v="D"/>
    <n v="0"/>
    <s v="No Deposit"/>
    <m/>
    <m/>
    <n v="0"/>
    <x v="0"/>
    <x v="155"/>
    <n v="0"/>
    <n v="1"/>
    <x v="1"/>
    <d v="2016-09-26T00:00:00"/>
  </r>
  <r>
    <x v="0"/>
    <x v="0"/>
    <n v="330"/>
    <n v="2016"/>
    <x v="10"/>
    <n v="23"/>
    <n v="2"/>
    <n v="0"/>
    <n v="2"/>
    <n v="2"/>
    <n v="0"/>
    <n v="0"/>
    <s v="BB"/>
    <s v="PRT"/>
    <s v="Groups"/>
    <x v="0"/>
    <n v="0"/>
    <n v="0"/>
    <n v="0"/>
    <s v="A"/>
    <s v="A"/>
    <n v="0"/>
    <s v="Non Refund"/>
    <n v="1"/>
    <m/>
    <n v="0"/>
    <x v="0"/>
    <x v="6"/>
    <n v="0"/>
    <n v="0"/>
    <x v="0"/>
    <d v="2015-10-21T00:00:00"/>
  </r>
  <r>
    <x v="0"/>
    <x v="0"/>
    <n v="53"/>
    <n v="2016"/>
    <x v="7"/>
    <n v="21"/>
    <n v="18"/>
    <n v="0"/>
    <n v="2"/>
    <n v="2"/>
    <n v="0"/>
    <n v="0"/>
    <s v="BB"/>
    <s v="BRA"/>
    <s v="Online TA"/>
    <x v="0"/>
    <n v="0"/>
    <n v="0"/>
    <n v="0"/>
    <s v="A"/>
    <s v="A"/>
    <n v="0"/>
    <s v="No Deposit"/>
    <n v="9"/>
    <m/>
    <n v="0"/>
    <x v="0"/>
    <x v="156"/>
    <n v="0"/>
    <n v="0"/>
    <x v="0"/>
    <d v="2016-03-28T00:00:00"/>
  </r>
  <r>
    <x v="0"/>
    <x v="1"/>
    <n v="144"/>
    <n v="2016"/>
    <x v="10"/>
    <n v="27"/>
    <n v="26"/>
    <n v="2"/>
    <n v="0"/>
    <n v="2"/>
    <n v="0"/>
    <n v="0"/>
    <s v="SC"/>
    <s v="GBR"/>
    <s v="Online TA"/>
    <x v="0"/>
    <n v="0"/>
    <n v="0"/>
    <n v="0"/>
    <s v="A"/>
    <s v="A"/>
    <n v="0"/>
    <s v="No Deposit"/>
    <n v="9"/>
    <m/>
    <n v="0"/>
    <x v="1"/>
    <x v="133"/>
    <n v="0"/>
    <n v="1"/>
    <x v="1"/>
    <d v="2016-06-28T00:00:00"/>
  </r>
  <r>
    <x v="1"/>
    <x v="0"/>
    <n v="32"/>
    <n v="2016"/>
    <x v="11"/>
    <n v="17"/>
    <n v="19"/>
    <n v="2"/>
    <n v="5"/>
    <n v="2"/>
    <n v="0"/>
    <n v="0"/>
    <s v="HB"/>
    <s v="PRT"/>
    <s v="Groups"/>
    <x v="2"/>
    <n v="0"/>
    <n v="0"/>
    <n v="0"/>
    <s v="D"/>
    <s v="D"/>
    <n v="0"/>
    <s v="No Deposit"/>
    <n v="273"/>
    <m/>
    <n v="0"/>
    <x v="1"/>
    <x v="157"/>
    <n v="0"/>
    <n v="0"/>
    <x v="0"/>
    <d v="2016-03-18T00:00:00"/>
  </r>
  <r>
    <x v="0"/>
    <x v="0"/>
    <n v="524"/>
    <n v="2016"/>
    <x v="3"/>
    <n v="51"/>
    <n v="15"/>
    <n v="0"/>
    <n v="2"/>
    <n v="2"/>
    <n v="0"/>
    <n v="0"/>
    <s v="BB"/>
    <s v="PRT"/>
    <s v="Groups"/>
    <x v="0"/>
    <n v="0"/>
    <n v="0"/>
    <n v="0"/>
    <s v="A"/>
    <s v="A"/>
    <n v="0"/>
    <s v="Non Refund"/>
    <n v="1"/>
    <m/>
    <n v="0"/>
    <x v="0"/>
    <x v="23"/>
    <n v="0"/>
    <n v="0"/>
    <x v="0"/>
    <d v="2015-10-21T00:00:00"/>
  </r>
  <r>
    <x v="0"/>
    <x v="0"/>
    <n v="138"/>
    <n v="2016"/>
    <x v="4"/>
    <n v="34"/>
    <n v="18"/>
    <n v="0"/>
    <n v="2"/>
    <n v="3"/>
    <n v="0"/>
    <n v="0"/>
    <s v="BB"/>
    <s v="ARE"/>
    <s v="Online TA"/>
    <x v="0"/>
    <n v="0"/>
    <n v="0"/>
    <n v="0"/>
    <s v="D"/>
    <s v="D"/>
    <n v="0"/>
    <s v="No Deposit"/>
    <n v="9"/>
    <m/>
    <n v="0"/>
    <x v="0"/>
    <x v="158"/>
    <n v="0"/>
    <n v="0"/>
    <x v="0"/>
    <d v="2016-08-18T00:00:00"/>
  </r>
  <r>
    <x v="0"/>
    <x v="1"/>
    <n v="156"/>
    <n v="2016"/>
    <x v="4"/>
    <n v="35"/>
    <n v="21"/>
    <n v="2"/>
    <n v="1"/>
    <n v="2"/>
    <n v="0"/>
    <n v="0"/>
    <s v="SC"/>
    <s v="FRA"/>
    <s v="Online TA"/>
    <x v="0"/>
    <n v="0"/>
    <n v="0"/>
    <n v="0"/>
    <s v="A"/>
    <s v="A"/>
    <n v="0"/>
    <s v="No Deposit"/>
    <n v="9"/>
    <m/>
    <n v="0"/>
    <x v="0"/>
    <x v="159"/>
    <n v="1"/>
    <n v="0"/>
    <x v="1"/>
    <d v="2016-08-24T00:00:00"/>
  </r>
  <r>
    <x v="1"/>
    <x v="1"/>
    <n v="2"/>
    <n v="2016"/>
    <x v="5"/>
    <n v="47"/>
    <n v="18"/>
    <n v="0"/>
    <n v="2"/>
    <n v="2"/>
    <n v="0"/>
    <n v="0"/>
    <s v="HB"/>
    <s v="DEU"/>
    <s v="Direct"/>
    <x v="0"/>
    <n v="0"/>
    <n v="0"/>
    <n v="0"/>
    <s v="A"/>
    <s v="D"/>
    <n v="0"/>
    <s v="No Deposit"/>
    <m/>
    <m/>
    <n v="0"/>
    <x v="0"/>
    <x v="160"/>
    <n v="0"/>
    <n v="2"/>
    <x v="1"/>
    <d v="2016-11-20T00:00:00"/>
  </r>
  <r>
    <x v="0"/>
    <x v="0"/>
    <n v="391"/>
    <n v="2016"/>
    <x v="0"/>
    <n v="31"/>
    <n v="27"/>
    <n v="0"/>
    <n v="2"/>
    <n v="2"/>
    <n v="0"/>
    <n v="0"/>
    <s v="BB"/>
    <s v="PRT"/>
    <s v="Groups"/>
    <x v="0"/>
    <n v="0"/>
    <n v="0"/>
    <n v="0"/>
    <s v="A"/>
    <s v="A"/>
    <n v="0"/>
    <s v="Non Refund"/>
    <n v="1"/>
    <m/>
    <n v="0"/>
    <x v="0"/>
    <x v="9"/>
    <n v="0"/>
    <n v="0"/>
    <x v="0"/>
    <d v="2015-12-09T00:00:00"/>
  </r>
  <r>
    <x v="0"/>
    <x v="1"/>
    <n v="66"/>
    <n v="2016"/>
    <x v="5"/>
    <n v="48"/>
    <n v="24"/>
    <n v="0"/>
    <n v="3"/>
    <n v="2"/>
    <n v="0"/>
    <n v="0"/>
    <s v="BB"/>
    <s v="FRA"/>
    <s v="Offline TA/TO"/>
    <x v="0"/>
    <n v="0"/>
    <n v="0"/>
    <n v="0"/>
    <s v="A"/>
    <s v="D"/>
    <n v="0"/>
    <s v="No Deposit"/>
    <n v="28"/>
    <m/>
    <n v="0"/>
    <x v="0"/>
    <x v="45"/>
    <n v="0"/>
    <n v="0"/>
    <x v="1"/>
    <d v="2016-11-27T00:00:00"/>
  </r>
  <r>
    <x v="0"/>
    <x v="1"/>
    <n v="256"/>
    <n v="2016"/>
    <x v="4"/>
    <n v="36"/>
    <n v="31"/>
    <n v="0"/>
    <n v="4"/>
    <n v="2"/>
    <n v="0"/>
    <n v="0"/>
    <s v="BB"/>
    <s v="DEU"/>
    <s v="Online TA"/>
    <x v="0"/>
    <n v="0"/>
    <n v="0"/>
    <n v="0"/>
    <s v="A"/>
    <s v="A"/>
    <n v="0"/>
    <s v="No Deposit"/>
    <n v="9"/>
    <m/>
    <n v="0"/>
    <x v="1"/>
    <x v="36"/>
    <n v="0"/>
    <n v="0"/>
    <x v="1"/>
    <d v="2016-09-04T00:00:00"/>
  </r>
  <r>
    <x v="0"/>
    <x v="0"/>
    <n v="94"/>
    <n v="2016"/>
    <x v="4"/>
    <n v="35"/>
    <n v="23"/>
    <n v="0"/>
    <n v="2"/>
    <n v="2"/>
    <n v="0"/>
    <n v="0"/>
    <s v="BB"/>
    <s v="GBR"/>
    <s v="Online TA"/>
    <x v="0"/>
    <n v="0"/>
    <n v="0"/>
    <n v="0"/>
    <s v="A"/>
    <s v="A"/>
    <n v="0"/>
    <s v="No Deposit"/>
    <n v="9"/>
    <m/>
    <n v="0"/>
    <x v="0"/>
    <x v="161"/>
    <n v="0"/>
    <n v="0"/>
    <x v="0"/>
    <d v="2016-05-22T00:00:00"/>
  </r>
  <r>
    <x v="0"/>
    <x v="1"/>
    <n v="56"/>
    <n v="2016"/>
    <x v="6"/>
    <n v="10"/>
    <n v="3"/>
    <n v="1"/>
    <n v="3"/>
    <n v="2"/>
    <n v="0"/>
    <n v="0"/>
    <s v="BB"/>
    <s v="ESP"/>
    <s v="Groups"/>
    <x v="1"/>
    <n v="0"/>
    <n v="0"/>
    <n v="0"/>
    <s v="A"/>
    <s v="A"/>
    <n v="0"/>
    <s v="No Deposit"/>
    <m/>
    <m/>
    <n v="0"/>
    <x v="1"/>
    <x v="162"/>
    <n v="0"/>
    <n v="0"/>
    <x v="1"/>
    <d v="2016-03-07T00:00:00"/>
  </r>
  <r>
    <x v="1"/>
    <x v="0"/>
    <n v="9"/>
    <n v="2016"/>
    <x v="0"/>
    <n v="27"/>
    <n v="1"/>
    <n v="0"/>
    <n v="2"/>
    <n v="2"/>
    <n v="0"/>
    <n v="0"/>
    <s v="BB"/>
    <s v="PRT"/>
    <s v="Online TA"/>
    <x v="0"/>
    <n v="0"/>
    <n v="0"/>
    <n v="0"/>
    <s v="F"/>
    <s v="F"/>
    <n v="0"/>
    <s v="No Deposit"/>
    <n v="242"/>
    <m/>
    <n v="0"/>
    <x v="0"/>
    <x v="55"/>
    <n v="0"/>
    <n v="1"/>
    <x v="2"/>
    <d v="2016-07-01T00:00:00"/>
  </r>
  <r>
    <x v="0"/>
    <x v="1"/>
    <n v="81"/>
    <n v="2016"/>
    <x v="1"/>
    <n v="45"/>
    <n v="30"/>
    <n v="2"/>
    <n v="1"/>
    <n v="2"/>
    <n v="0"/>
    <n v="0"/>
    <s v="BB"/>
    <s v="IRL"/>
    <s v="Direct"/>
    <x v="2"/>
    <n v="0"/>
    <n v="0"/>
    <n v="0"/>
    <s v="A"/>
    <s v="A"/>
    <n v="0"/>
    <s v="No Deposit"/>
    <n v="14"/>
    <m/>
    <n v="0"/>
    <x v="0"/>
    <x v="163"/>
    <n v="0"/>
    <n v="0"/>
    <x v="1"/>
    <d v="2016-11-02T00:00:00"/>
  </r>
  <r>
    <x v="0"/>
    <x v="0"/>
    <n v="150"/>
    <n v="2016"/>
    <x v="8"/>
    <n v="4"/>
    <n v="18"/>
    <n v="1"/>
    <n v="4"/>
    <n v="1"/>
    <n v="0"/>
    <n v="0"/>
    <s v="BB"/>
    <s v="PRT"/>
    <s v="Offline TA/TO"/>
    <x v="0"/>
    <n v="0"/>
    <n v="0"/>
    <n v="0"/>
    <s v="A"/>
    <s v="A"/>
    <n v="1"/>
    <s v="No Deposit"/>
    <n v="19"/>
    <m/>
    <n v="63"/>
    <x v="1"/>
    <x v="2"/>
    <n v="0"/>
    <n v="0"/>
    <x v="0"/>
    <d v="2015-12-14T00:00:00"/>
  </r>
  <r>
    <x v="0"/>
    <x v="1"/>
    <n v="152"/>
    <n v="2016"/>
    <x v="0"/>
    <n v="29"/>
    <n v="10"/>
    <n v="2"/>
    <n v="2"/>
    <n v="2"/>
    <n v="0"/>
    <n v="0"/>
    <s v="BB"/>
    <s v="PRT"/>
    <s v="Online TA"/>
    <x v="0"/>
    <n v="0"/>
    <n v="0"/>
    <n v="0"/>
    <s v="D"/>
    <s v="D"/>
    <n v="3"/>
    <s v="No Deposit"/>
    <n v="9"/>
    <m/>
    <n v="0"/>
    <x v="0"/>
    <x v="164"/>
    <n v="0"/>
    <n v="3"/>
    <x v="1"/>
    <d v="2016-07-14T00:00:00"/>
  </r>
  <r>
    <x v="0"/>
    <x v="1"/>
    <n v="36"/>
    <n v="2016"/>
    <x v="2"/>
    <n v="40"/>
    <n v="28"/>
    <n v="0"/>
    <n v="3"/>
    <n v="2"/>
    <n v="0"/>
    <n v="0"/>
    <s v="BB"/>
    <s v="DEU"/>
    <s v="Groups"/>
    <x v="0"/>
    <n v="0"/>
    <n v="0"/>
    <n v="0"/>
    <s v="A"/>
    <s v="B"/>
    <n v="0"/>
    <s v="No Deposit"/>
    <n v="21"/>
    <m/>
    <n v="0"/>
    <x v="1"/>
    <x v="165"/>
    <n v="0"/>
    <n v="0"/>
    <x v="1"/>
    <d v="2016-10-01T00:00:00"/>
  </r>
  <r>
    <x v="0"/>
    <x v="1"/>
    <n v="70"/>
    <n v="2016"/>
    <x v="8"/>
    <n v="5"/>
    <n v="27"/>
    <n v="2"/>
    <n v="5"/>
    <n v="2"/>
    <n v="0"/>
    <n v="0"/>
    <s v="BB"/>
    <s v="DEU"/>
    <s v="Offline TA/TO"/>
    <x v="0"/>
    <n v="0"/>
    <n v="0"/>
    <n v="0"/>
    <s v="D"/>
    <s v="D"/>
    <n v="0"/>
    <s v="No Deposit"/>
    <n v="27"/>
    <m/>
    <n v="0"/>
    <x v="0"/>
    <x v="166"/>
    <n v="0"/>
    <n v="0"/>
    <x v="1"/>
    <d v="2016-02-03T00:00:00"/>
  </r>
  <r>
    <x v="1"/>
    <x v="1"/>
    <n v="236"/>
    <n v="2016"/>
    <x v="7"/>
    <n v="20"/>
    <n v="12"/>
    <n v="0"/>
    <n v="3"/>
    <n v="2"/>
    <n v="0"/>
    <n v="0"/>
    <s v="BB"/>
    <s v="GBR"/>
    <s v="Groups"/>
    <x v="0"/>
    <n v="0"/>
    <n v="0"/>
    <n v="0"/>
    <s v="A"/>
    <s v="I"/>
    <n v="0"/>
    <s v="No Deposit"/>
    <n v="315"/>
    <m/>
    <n v="0"/>
    <x v="1"/>
    <x v="167"/>
    <n v="1"/>
    <n v="0"/>
    <x v="1"/>
    <d v="2016-05-15T00:00:00"/>
  </r>
  <r>
    <x v="0"/>
    <x v="0"/>
    <n v="277"/>
    <n v="2016"/>
    <x v="5"/>
    <n v="46"/>
    <n v="7"/>
    <n v="1"/>
    <n v="2"/>
    <n v="2"/>
    <n v="0"/>
    <n v="0"/>
    <s v="BB"/>
    <s v="PRT"/>
    <s v="Groups"/>
    <x v="0"/>
    <n v="0"/>
    <n v="0"/>
    <n v="0"/>
    <s v="A"/>
    <s v="A"/>
    <n v="0"/>
    <s v="Non Refund"/>
    <m/>
    <m/>
    <n v="0"/>
    <x v="0"/>
    <x v="25"/>
    <n v="0"/>
    <n v="0"/>
    <x v="0"/>
    <d v="2016-04-04T00:00:00"/>
  </r>
  <r>
    <x v="0"/>
    <x v="1"/>
    <n v="4"/>
    <n v="2016"/>
    <x v="9"/>
    <n v="7"/>
    <n v="7"/>
    <n v="2"/>
    <n v="2"/>
    <n v="1"/>
    <n v="0"/>
    <n v="0"/>
    <s v="BB"/>
    <s v="FRA"/>
    <s v="Online TA"/>
    <x v="0"/>
    <n v="0"/>
    <n v="0"/>
    <n v="0"/>
    <s v="A"/>
    <s v="A"/>
    <n v="0"/>
    <s v="No Deposit"/>
    <n v="7"/>
    <m/>
    <n v="0"/>
    <x v="0"/>
    <x v="168"/>
    <n v="1"/>
    <n v="1"/>
    <x v="1"/>
    <d v="2016-02-11T00:00:00"/>
  </r>
  <r>
    <x v="0"/>
    <x v="0"/>
    <n v="56"/>
    <n v="2016"/>
    <x v="10"/>
    <n v="24"/>
    <n v="8"/>
    <n v="0"/>
    <n v="1"/>
    <n v="2"/>
    <n v="0"/>
    <n v="0"/>
    <s v="BB"/>
    <s v="PRT"/>
    <s v="Offline TA/TO"/>
    <x v="1"/>
    <n v="0"/>
    <n v="0"/>
    <n v="0"/>
    <s v="A"/>
    <s v="A"/>
    <n v="0"/>
    <s v="No Deposit"/>
    <n v="191"/>
    <m/>
    <n v="0"/>
    <x v="1"/>
    <x v="169"/>
    <n v="0"/>
    <n v="0"/>
    <x v="0"/>
    <d v="2016-06-02T00:00:00"/>
  </r>
  <r>
    <x v="0"/>
    <x v="0"/>
    <n v="253"/>
    <n v="2016"/>
    <x v="2"/>
    <n v="40"/>
    <n v="26"/>
    <n v="1"/>
    <n v="2"/>
    <n v="1"/>
    <n v="0"/>
    <n v="0"/>
    <s v="BB"/>
    <s v="USA"/>
    <s v="Online TA"/>
    <x v="0"/>
    <n v="0"/>
    <n v="0"/>
    <n v="0"/>
    <s v="A"/>
    <s v="A"/>
    <n v="1"/>
    <s v="No Deposit"/>
    <n v="9"/>
    <m/>
    <n v="0"/>
    <x v="0"/>
    <x v="170"/>
    <n v="0"/>
    <n v="0"/>
    <x v="0"/>
    <d v="2016-01-18T00:00:00"/>
  </r>
  <r>
    <x v="1"/>
    <x v="1"/>
    <n v="207"/>
    <n v="2016"/>
    <x v="1"/>
    <n v="41"/>
    <n v="4"/>
    <n v="1"/>
    <n v="5"/>
    <n v="2"/>
    <n v="0"/>
    <n v="0"/>
    <s v="HB"/>
    <s v="GBR"/>
    <s v="Offline TA/TO"/>
    <x v="0"/>
    <n v="0"/>
    <n v="0"/>
    <n v="0"/>
    <s v="A"/>
    <s v="A"/>
    <n v="1"/>
    <s v="No Deposit"/>
    <n v="243"/>
    <m/>
    <n v="0"/>
    <x v="0"/>
    <x v="10"/>
    <n v="0"/>
    <n v="0"/>
    <x v="1"/>
    <d v="2016-10-10T00:00:00"/>
  </r>
  <r>
    <x v="0"/>
    <x v="0"/>
    <n v="344"/>
    <n v="2016"/>
    <x v="10"/>
    <n v="25"/>
    <n v="16"/>
    <n v="0"/>
    <n v="2"/>
    <n v="2"/>
    <n v="0"/>
    <n v="0"/>
    <s v="BB"/>
    <s v="PRT"/>
    <s v="Groups"/>
    <x v="0"/>
    <n v="0"/>
    <n v="0"/>
    <n v="0"/>
    <s v="A"/>
    <s v="A"/>
    <n v="0"/>
    <s v="Non Refund"/>
    <n v="1"/>
    <m/>
    <n v="0"/>
    <x v="0"/>
    <x v="6"/>
    <n v="0"/>
    <n v="0"/>
    <x v="0"/>
    <d v="2015-10-21T00:00:00"/>
  </r>
  <r>
    <x v="0"/>
    <x v="0"/>
    <n v="43"/>
    <n v="2016"/>
    <x v="5"/>
    <n v="49"/>
    <n v="29"/>
    <n v="4"/>
    <n v="11"/>
    <n v="1"/>
    <n v="0"/>
    <n v="0"/>
    <s v="BB"/>
    <s v="AGO"/>
    <s v="Online TA"/>
    <x v="0"/>
    <n v="0"/>
    <n v="0"/>
    <n v="0"/>
    <s v="A"/>
    <s v="A"/>
    <n v="0"/>
    <s v="No Deposit"/>
    <n v="9"/>
    <m/>
    <n v="0"/>
    <x v="0"/>
    <x v="171"/>
    <n v="0"/>
    <n v="1"/>
    <x v="0"/>
    <d v="2016-11-14T00:00:00"/>
  </r>
  <r>
    <x v="1"/>
    <x v="0"/>
    <n v="208"/>
    <n v="2016"/>
    <x v="11"/>
    <n v="17"/>
    <n v="19"/>
    <n v="2"/>
    <n v="5"/>
    <n v="2"/>
    <n v="0"/>
    <n v="0"/>
    <s v="HB"/>
    <s v="PRT"/>
    <s v="Groups"/>
    <x v="2"/>
    <n v="0"/>
    <n v="0"/>
    <n v="0"/>
    <s v="E"/>
    <s v="E"/>
    <n v="0"/>
    <s v="Non Refund"/>
    <n v="273"/>
    <m/>
    <n v="0"/>
    <x v="0"/>
    <x v="172"/>
    <n v="0"/>
    <n v="0"/>
    <x v="0"/>
    <d v="2016-03-18T00:00:00"/>
  </r>
  <r>
    <x v="1"/>
    <x v="0"/>
    <n v="199"/>
    <n v="2016"/>
    <x v="7"/>
    <n v="19"/>
    <n v="2"/>
    <n v="1"/>
    <n v="1"/>
    <n v="2"/>
    <n v="0"/>
    <n v="0"/>
    <s v="HB"/>
    <s v="PRT"/>
    <s v="Groups"/>
    <x v="0"/>
    <n v="0"/>
    <n v="0"/>
    <n v="0"/>
    <s v="A"/>
    <s v="A"/>
    <n v="0"/>
    <s v="No Deposit"/>
    <n v="298"/>
    <m/>
    <n v="0"/>
    <x v="1"/>
    <x v="89"/>
    <n v="0"/>
    <n v="0"/>
    <x v="0"/>
    <d v="2016-04-18T00:00:00"/>
  </r>
  <r>
    <x v="1"/>
    <x v="0"/>
    <n v="40"/>
    <n v="2016"/>
    <x v="0"/>
    <n v="30"/>
    <n v="22"/>
    <n v="2"/>
    <n v="4"/>
    <n v="2"/>
    <n v="0"/>
    <n v="0"/>
    <s v="BB"/>
    <s v="DZA"/>
    <s v="Online TA"/>
    <x v="0"/>
    <n v="0"/>
    <n v="0"/>
    <n v="0"/>
    <s v="D"/>
    <s v="D"/>
    <n v="0"/>
    <s v="No Deposit"/>
    <n v="240"/>
    <m/>
    <n v="0"/>
    <x v="0"/>
    <x v="173"/>
    <n v="0"/>
    <n v="0"/>
    <x v="0"/>
    <d v="2016-06-12T00:00:00"/>
  </r>
  <r>
    <x v="0"/>
    <x v="0"/>
    <n v="2"/>
    <n v="2016"/>
    <x v="5"/>
    <n v="45"/>
    <n v="2"/>
    <n v="0"/>
    <n v="2"/>
    <n v="1"/>
    <n v="0"/>
    <n v="0"/>
    <s v="BB"/>
    <s v="PRT"/>
    <s v="Aviation"/>
    <x v="1"/>
    <n v="0"/>
    <n v="0"/>
    <n v="0"/>
    <s v="D"/>
    <s v="D"/>
    <n v="0"/>
    <s v="No Deposit"/>
    <m/>
    <n v="153"/>
    <n v="0"/>
    <x v="0"/>
    <x v="31"/>
    <n v="0"/>
    <n v="0"/>
    <x v="0"/>
    <d v="2016-11-02T00:00:00"/>
  </r>
  <r>
    <x v="0"/>
    <x v="1"/>
    <n v="13"/>
    <n v="2016"/>
    <x v="6"/>
    <n v="14"/>
    <n v="27"/>
    <n v="2"/>
    <n v="2"/>
    <n v="2"/>
    <n v="0"/>
    <n v="0"/>
    <s v="BB"/>
    <s v="DEU"/>
    <s v="Offline TA/TO"/>
    <x v="0"/>
    <n v="0"/>
    <n v="0"/>
    <n v="0"/>
    <s v="A"/>
    <s v="A"/>
    <n v="0"/>
    <s v="No Deposit"/>
    <n v="138"/>
    <m/>
    <n v="0"/>
    <x v="0"/>
    <x v="174"/>
    <n v="0"/>
    <n v="0"/>
    <x v="1"/>
    <d v="2016-03-31T00:00:00"/>
  </r>
  <r>
    <x v="0"/>
    <x v="1"/>
    <n v="5"/>
    <n v="2016"/>
    <x v="5"/>
    <n v="46"/>
    <n v="6"/>
    <n v="2"/>
    <n v="3"/>
    <n v="2"/>
    <n v="0"/>
    <n v="0"/>
    <s v="SC"/>
    <s v="USA"/>
    <s v="Online TA"/>
    <x v="0"/>
    <n v="0"/>
    <n v="0"/>
    <n v="0"/>
    <s v="A"/>
    <s v="A"/>
    <n v="0"/>
    <s v="No Deposit"/>
    <n v="7"/>
    <m/>
    <n v="0"/>
    <x v="0"/>
    <x v="175"/>
    <n v="0"/>
    <n v="1"/>
    <x v="1"/>
    <d v="2016-11-11T00:00:00"/>
  </r>
  <r>
    <x v="0"/>
    <x v="1"/>
    <n v="54"/>
    <n v="2016"/>
    <x v="9"/>
    <n v="7"/>
    <n v="8"/>
    <n v="1"/>
    <n v="4"/>
    <n v="2"/>
    <n v="0"/>
    <n v="0"/>
    <s v="BB"/>
    <s v="DEU"/>
    <s v="Online TA"/>
    <x v="0"/>
    <n v="0"/>
    <n v="0"/>
    <n v="0"/>
    <s v="A"/>
    <s v="A"/>
    <n v="0"/>
    <s v="No Deposit"/>
    <n v="9"/>
    <m/>
    <n v="0"/>
    <x v="0"/>
    <x v="176"/>
    <n v="0"/>
    <n v="1"/>
    <x v="1"/>
    <d v="2016-02-13T00:00:00"/>
  </r>
  <r>
    <x v="1"/>
    <x v="0"/>
    <n v="23"/>
    <n v="2016"/>
    <x v="4"/>
    <n v="32"/>
    <n v="4"/>
    <n v="0"/>
    <n v="3"/>
    <n v="2"/>
    <n v="1"/>
    <n v="0"/>
    <s v="HB"/>
    <s v="PRT"/>
    <s v="Online TA"/>
    <x v="0"/>
    <n v="0"/>
    <n v="0"/>
    <n v="0"/>
    <s v="A"/>
    <s v="A"/>
    <n v="0"/>
    <s v="No Deposit"/>
    <n v="242"/>
    <m/>
    <n v="0"/>
    <x v="0"/>
    <x v="177"/>
    <n v="0"/>
    <n v="0"/>
    <x v="0"/>
    <d v="2016-07-30T00:00:00"/>
  </r>
  <r>
    <x v="0"/>
    <x v="1"/>
    <n v="235"/>
    <n v="2016"/>
    <x v="4"/>
    <n v="32"/>
    <n v="6"/>
    <n v="1"/>
    <n v="1"/>
    <n v="2"/>
    <n v="0"/>
    <n v="0"/>
    <s v="BB"/>
    <s v="PRT"/>
    <s v="Online TA"/>
    <x v="0"/>
    <n v="0"/>
    <n v="0"/>
    <n v="0"/>
    <s v="A"/>
    <s v="A"/>
    <n v="0"/>
    <s v="No Deposit"/>
    <n v="9"/>
    <m/>
    <n v="0"/>
    <x v="1"/>
    <x v="178"/>
    <n v="1"/>
    <n v="2"/>
    <x v="1"/>
    <d v="2016-08-08T00:00:00"/>
  </r>
  <r>
    <x v="0"/>
    <x v="1"/>
    <n v="242"/>
    <n v="2016"/>
    <x v="1"/>
    <n v="44"/>
    <n v="28"/>
    <n v="2"/>
    <n v="2"/>
    <n v="2"/>
    <n v="1"/>
    <n v="0"/>
    <s v="BB"/>
    <s v="FRA"/>
    <s v="Online TA"/>
    <x v="0"/>
    <n v="0"/>
    <n v="0"/>
    <n v="0"/>
    <s v="D"/>
    <s v="D"/>
    <n v="0"/>
    <s v="No Deposit"/>
    <n v="7"/>
    <m/>
    <n v="0"/>
    <x v="0"/>
    <x v="179"/>
    <n v="0"/>
    <n v="1"/>
    <x v="1"/>
    <d v="2016-11-01T00:00:00"/>
  </r>
  <r>
    <x v="0"/>
    <x v="0"/>
    <n v="16"/>
    <n v="2016"/>
    <x v="1"/>
    <n v="44"/>
    <n v="29"/>
    <n v="2"/>
    <n v="1"/>
    <n v="2"/>
    <n v="0"/>
    <n v="0"/>
    <s v="BB"/>
    <s v="ESP"/>
    <s v="Online TA"/>
    <x v="0"/>
    <n v="0"/>
    <n v="0"/>
    <n v="0"/>
    <s v="A"/>
    <s v="A"/>
    <n v="0"/>
    <s v="No Deposit"/>
    <n v="9"/>
    <m/>
    <n v="0"/>
    <x v="0"/>
    <x v="5"/>
    <n v="0"/>
    <n v="2"/>
    <x v="0"/>
    <d v="2016-10-24T00:00:00"/>
  </r>
  <r>
    <x v="0"/>
    <x v="0"/>
    <n v="158"/>
    <n v="2016"/>
    <x v="7"/>
    <n v="22"/>
    <n v="24"/>
    <n v="0"/>
    <n v="2"/>
    <n v="1"/>
    <n v="0"/>
    <n v="0"/>
    <s v="BB"/>
    <s v="PRT"/>
    <s v="Groups"/>
    <x v="0"/>
    <n v="0"/>
    <n v="0"/>
    <n v="0"/>
    <s v="A"/>
    <s v="A"/>
    <n v="0"/>
    <s v="Non Refund"/>
    <n v="37"/>
    <m/>
    <n v="31"/>
    <x v="0"/>
    <x v="58"/>
    <n v="0"/>
    <n v="0"/>
    <x v="0"/>
    <d v="2016-01-18T00:00:00"/>
  </r>
  <r>
    <x v="1"/>
    <x v="1"/>
    <n v="1"/>
    <n v="2016"/>
    <x v="4"/>
    <n v="33"/>
    <n v="11"/>
    <n v="0"/>
    <n v="1"/>
    <n v="1"/>
    <n v="0"/>
    <n v="0"/>
    <s v="BB"/>
    <s v="PRT"/>
    <s v="Direct"/>
    <x v="2"/>
    <n v="0"/>
    <n v="0"/>
    <n v="0"/>
    <s v="A"/>
    <s v="A"/>
    <n v="0"/>
    <s v="No Deposit"/>
    <n v="250"/>
    <m/>
    <n v="0"/>
    <x v="0"/>
    <x v="180"/>
    <n v="0"/>
    <n v="0"/>
    <x v="1"/>
    <d v="2016-08-12T00:00:00"/>
  </r>
  <r>
    <x v="1"/>
    <x v="1"/>
    <n v="81"/>
    <n v="2016"/>
    <x v="11"/>
    <n v="15"/>
    <n v="3"/>
    <n v="2"/>
    <n v="3"/>
    <n v="2"/>
    <n v="0"/>
    <n v="0"/>
    <s v="BB"/>
    <s v="PRT"/>
    <s v="Online TA"/>
    <x v="0"/>
    <n v="0"/>
    <n v="0"/>
    <n v="0"/>
    <s v="A"/>
    <s v="A"/>
    <n v="0"/>
    <s v="No Deposit"/>
    <n v="240"/>
    <m/>
    <n v="0"/>
    <x v="0"/>
    <x v="181"/>
    <n v="0"/>
    <n v="1"/>
    <x v="1"/>
    <d v="2016-04-08T00:00:00"/>
  </r>
  <r>
    <x v="0"/>
    <x v="1"/>
    <n v="122"/>
    <n v="2016"/>
    <x v="11"/>
    <n v="16"/>
    <n v="15"/>
    <n v="0"/>
    <n v="2"/>
    <n v="2"/>
    <n v="0"/>
    <n v="0"/>
    <s v="BB"/>
    <s v="PRT"/>
    <s v="Offline TA/TO"/>
    <x v="0"/>
    <n v="0"/>
    <n v="0"/>
    <n v="0"/>
    <s v="A"/>
    <s v="A"/>
    <n v="0"/>
    <s v="No Deposit"/>
    <n v="151"/>
    <m/>
    <n v="56"/>
    <x v="1"/>
    <x v="89"/>
    <n v="0"/>
    <n v="0"/>
    <x v="1"/>
    <d v="2016-04-17T00:00:00"/>
  </r>
  <r>
    <x v="0"/>
    <x v="0"/>
    <n v="143"/>
    <n v="2016"/>
    <x v="5"/>
    <n v="47"/>
    <n v="17"/>
    <n v="0"/>
    <n v="1"/>
    <n v="1"/>
    <n v="0"/>
    <n v="0"/>
    <s v="BB"/>
    <s v="BRA"/>
    <s v="Online TA"/>
    <x v="0"/>
    <n v="0"/>
    <n v="0"/>
    <n v="0"/>
    <s v="A"/>
    <s v="A"/>
    <n v="0"/>
    <s v="No Deposit"/>
    <n v="9"/>
    <m/>
    <n v="0"/>
    <x v="0"/>
    <x v="182"/>
    <n v="0"/>
    <n v="1"/>
    <x v="0"/>
    <d v="2016-08-15T00:00:00"/>
  </r>
  <r>
    <x v="0"/>
    <x v="0"/>
    <n v="113"/>
    <n v="2016"/>
    <x v="9"/>
    <n v="9"/>
    <n v="25"/>
    <n v="0"/>
    <n v="3"/>
    <n v="2"/>
    <n v="0"/>
    <n v="0"/>
    <s v="BB"/>
    <s v="PRT"/>
    <s v="Offline TA/TO"/>
    <x v="0"/>
    <n v="0"/>
    <n v="1"/>
    <n v="0"/>
    <s v="A"/>
    <s v="A"/>
    <n v="0"/>
    <s v="Non Refund"/>
    <n v="19"/>
    <m/>
    <n v="44"/>
    <x v="0"/>
    <x v="45"/>
    <n v="0"/>
    <n v="0"/>
    <x v="0"/>
    <d v="2015-12-18T00:00:00"/>
  </r>
  <r>
    <x v="0"/>
    <x v="0"/>
    <n v="395"/>
    <n v="2016"/>
    <x v="6"/>
    <n v="13"/>
    <n v="21"/>
    <n v="1"/>
    <n v="2"/>
    <n v="2"/>
    <n v="0"/>
    <n v="0"/>
    <s v="BB"/>
    <s v="PRT"/>
    <s v="Groups"/>
    <x v="0"/>
    <n v="0"/>
    <n v="1"/>
    <n v="0"/>
    <s v="A"/>
    <s v="A"/>
    <n v="0"/>
    <s v="Non Refund"/>
    <n v="1"/>
    <m/>
    <n v="0"/>
    <x v="0"/>
    <x v="23"/>
    <n v="0"/>
    <n v="0"/>
    <x v="0"/>
    <d v="2015-08-10T00:00:00"/>
  </r>
  <r>
    <x v="0"/>
    <x v="0"/>
    <n v="391"/>
    <n v="2016"/>
    <x v="4"/>
    <n v="32"/>
    <n v="4"/>
    <n v="0"/>
    <n v="1"/>
    <n v="1"/>
    <n v="0"/>
    <n v="0"/>
    <s v="BB"/>
    <s v="PRT"/>
    <s v="Groups"/>
    <x v="0"/>
    <n v="0"/>
    <n v="0"/>
    <n v="0"/>
    <s v="A"/>
    <s v="A"/>
    <n v="0"/>
    <s v="Non Refund"/>
    <n v="1"/>
    <m/>
    <n v="0"/>
    <x v="0"/>
    <x v="183"/>
    <n v="0"/>
    <n v="0"/>
    <x v="0"/>
    <d v="2015-10-21T00:00:00"/>
  </r>
  <r>
    <x v="0"/>
    <x v="0"/>
    <n v="277"/>
    <n v="2016"/>
    <x v="5"/>
    <n v="46"/>
    <n v="7"/>
    <n v="1"/>
    <n v="2"/>
    <n v="2"/>
    <n v="0"/>
    <n v="0"/>
    <s v="BB"/>
    <s v="PRT"/>
    <s v="Groups"/>
    <x v="0"/>
    <n v="0"/>
    <n v="0"/>
    <n v="0"/>
    <s v="A"/>
    <s v="A"/>
    <n v="0"/>
    <s v="Non Refund"/>
    <m/>
    <m/>
    <n v="0"/>
    <x v="0"/>
    <x v="25"/>
    <n v="0"/>
    <n v="0"/>
    <x v="0"/>
    <d v="2016-04-04T00:00:00"/>
  </r>
  <r>
    <x v="0"/>
    <x v="1"/>
    <n v="158"/>
    <n v="2016"/>
    <x v="7"/>
    <n v="22"/>
    <n v="25"/>
    <n v="0"/>
    <n v="4"/>
    <n v="2"/>
    <n v="1"/>
    <n v="0"/>
    <s v="BB"/>
    <s v="AUT"/>
    <s v="Online TA"/>
    <x v="0"/>
    <n v="0"/>
    <n v="0"/>
    <n v="0"/>
    <s v="A"/>
    <s v="D"/>
    <n v="13"/>
    <s v="No Deposit"/>
    <n v="9"/>
    <m/>
    <n v="0"/>
    <x v="0"/>
    <x v="184"/>
    <n v="0"/>
    <n v="1"/>
    <x v="1"/>
    <d v="2016-05-29T00:00:00"/>
  </r>
  <r>
    <x v="1"/>
    <x v="0"/>
    <n v="50"/>
    <n v="2016"/>
    <x v="1"/>
    <n v="44"/>
    <n v="29"/>
    <n v="0"/>
    <n v="1"/>
    <n v="2"/>
    <n v="0"/>
    <n v="0"/>
    <s v="BB"/>
    <s v="ESP"/>
    <s v="Online TA"/>
    <x v="0"/>
    <n v="0"/>
    <n v="0"/>
    <n v="0"/>
    <s v="E"/>
    <s v="E"/>
    <n v="0"/>
    <s v="No Deposit"/>
    <n v="240"/>
    <m/>
    <n v="0"/>
    <x v="0"/>
    <x v="155"/>
    <n v="0"/>
    <n v="1"/>
    <x v="0"/>
    <d v="2016-10-19T00:00:00"/>
  </r>
  <r>
    <x v="0"/>
    <x v="1"/>
    <n v="0"/>
    <n v="2016"/>
    <x v="11"/>
    <n v="18"/>
    <n v="28"/>
    <n v="0"/>
    <n v="1"/>
    <n v="1"/>
    <n v="0"/>
    <n v="0"/>
    <s v="BB"/>
    <s v="GBR"/>
    <s v="Offline TA/TO"/>
    <x v="0"/>
    <n v="0"/>
    <n v="0"/>
    <n v="0"/>
    <s v="A"/>
    <s v="E"/>
    <n v="0"/>
    <s v="No Deposit"/>
    <n v="94"/>
    <m/>
    <n v="0"/>
    <x v="1"/>
    <x v="52"/>
    <n v="0"/>
    <n v="2"/>
    <x v="1"/>
    <d v="2016-04-29T00:00:00"/>
  </r>
  <r>
    <x v="0"/>
    <x v="0"/>
    <n v="316"/>
    <n v="2016"/>
    <x v="7"/>
    <n v="21"/>
    <n v="19"/>
    <n v="0"/>
    <n v="2"/>
    <n v="2"/>
    <n v="0"/>
    <n v="0"/>
    <s v="BB"/>
    <s v="PRT"/>
    <s v="Groups"/>
    <x v="0"/>
    <n v="0"/>
    <n v="0"/>
    <n v="0"/>
    <s v="A"/>
    <s v="A"/>
    <n v="0"/>
    <s v="Non Refund"/>
    <n v="1"/>
    <m/>
    <n v="0"/>
    <x v="0"/>
    <x v="6"/>
    <n v="0"/>
    <n v="0"/>
    <x v="0"/>
    <d v="2015-10-22T00:00:00"/>
  </r>
  <r>
    <x v="1"/>
    <x v="0"/>
    <n v="219"/>
    <n v="2016"/>
    <x v="6"/>
    <n v="10"/>
    <n v="2"/>
    <n v="2"/>
    <n v="5"/>
    <n v="2"/>
    <n v="0"/>
    <n v="0"/>
    <s v="HB"/>
    <s v="PRT"/>
    <s v="Offline TA/TO"/>
    <x v="0"/>
    <n v="0"/>
    <n v="0"/>
    <n v="0"/>
    <s v="A"/>
    <s v="A"/>
    <n v="0"/>
    <s v="Non Refund"/>
    <n v="310"/>
    <m/>
    <n v="0"/>
    <x v="0"/>
    <x v="166"/>
    <n v="0"/>
    <n v="0"/>
    <x v="0"/>
    <d v="2015-11-20T00:00:00"/>
  </r>
  <r>
    <x v="0"/>
    <x v="0"/>
    <n v="288"/>
    <n v="2016"/>
    <x v="7"/>
    <n v="19"/>
    <n v="5"/>
    <n v="0"/>
    <n v="3"/>
    <n v="2"/>
    <n v="0"/>
    <n v="0"/>
    <s v="BB"/>
    <s v="PRT"/>
    <s v="Groups"/>
    <x v="0"/>
    <n v="0"/>
    <n v="0"/>
    <n v="0"/>
    <s v="A"/>
    <s v="A"/>
    <n v="0"/>
    <s v="No Deposit"/>
    <n v="1"/>
    <m/>
    <n v="236"/>
    <x v="1"/>
    <x v="9"/>
    <n v="0"/>
    <n v="0"/>
    <x v="0"/>
    <d v="2016-03-14T00:00:00"/>
  </r>
  <r>
    <x v="1"/>
    <x v="1"/>
    <n v="162"/>
    <n v="2016"/>
    <x v="6"/>
    <n v="13"/>
    <n v="24"/>
    <n v="0"/>
    <n v="3"/>
    <n v="2"/>
    <n v="0"/>
    <n v="0"/>
    <s v="Undefined"/>
    <s v="ESP"/>
    <s v="Groups"/>
    <x v="0"/>
    <n v="0"/>
    <n v="0"/>
    <n v="0"/>
    <s v="A"/>
    <s v="A"/>
    <n v="0"/>
    <s v="No Deposit"/>
    <m/>
    <m/>
    <n v="0"/>
    <x v="1"/>
    <x v="146"/>
    <n v="0"/>
    <n v="0"/>
    <x v="1"/>
    <d v="2016-03-27T00:00:00"/>
  </r>
  <r>
    <x v="0"/>
    <x v="1"/>
    <n v="97"/>
    <n v="2016"/>
    <x v="4"/>
    <n v="32"/>
    <n v="5"/>
    <n v="1"/>
    <n v="2"/>
    <n v="3"/>
    <n v="0"/>
    <n v="0"/>
    <s v="BB"/>
    <s v="IRL"/>
    <s v="Online TA"/>
    <x v="0"/>
    <n v="0"/>
    <n v="0"/>
    <n v="0"/>
    <s v="D"/>
    <s v="D"/>
    <n v="0"/>
    <s v="No Deposit"/>
    <n v="9"/>
    <m/>
    <n v="0"/>
    <x v="0"/>
    <x v="185"/>
    <n v="0"/>
    <n v="1"/>
    <x v="1"/>
    <d v="2016-08-08T00:00:00"/>
  </r>
  <r>
    <x v="0"/>
    <x v="1"/>
    <n v="214"/>
    <n v="2016"/>
    <x v="5"/>
    <n v="48"/>
    <n v="20"/>
    <n v="2"/>
    <n v="1"/>
    <n v="1"/>
    <n v="0"/>
    <n v="0"/>
    <s v="BB"/>
    <s v="ESP"/>
    <s v="Groups"/>
    <x v="1"/>
    <n v="0"/>
    <n v="0"/>
    <n v="0"/>
    <s v="A"/>
    <s v="D"/>
    <n v="2"/>
    <s v="No Deposit"/>
    <m/>
    <n v="233"/>
    <n v="0"/>
    <x v="0"/>
    <x v="45"/>
    <n v="0"/>
    <n v="0"/>
    <x v="1"/>
    <d v="2016-11-23T00:00:00"/>
  </r>
  <r>
    <x v="0"/>
    <x v="1"/>
    <n v="1"/>
    <n v="2016"/>
    <x v="3"/>
    <n v="53"/>
    <n v="29"/>
    <n v="0"/>
    <n v="2"/>
    <n v="2"/>
    <n v="0"/>
    <n v="0"/>
    <s v="SC"/>
    <s v="USA"/>
    <s v="Online TA"/>
    <x v="0"/>
    <n v="0"/>
    <n v="0"/>
    <n v="0"/>
    <s v="A"/>
    <s v="A"/>
    <n v="1"/>
    <s v="No Deposit"/>
    <n v="9"/>
    <m/>
    <n v="0"/>
    <x v="0"/>
    <x v="169"/>
    <n v="0"/>
    <n v="1"/>
    <x v="1"/>
    <d v="2016-12-31T00:00:00"/>
  </r>
  <r>
    <x v="0"/>
    <x v="1"/>
    <n v="142"/>
    <n v="2016"/>
    <x v="7"/>
    <n v="19"/>
    <n v="6"/>
    <n v="1"/>
    <n v="2"/>
    <n v="2"/>
    <n v="0"/>
    <n v="0"/>
    <s v="BB"/>
    <s v="FRA"/>
    <s v="Online TA"/>
    <x v="0"/>
    <n v="0"/>
    <n v="0"/>
    <n v="0"/>
    <s v="D"/>
    <s v="D"/>
    <n v="0"/>
    <s v="No Deposit"/>
    <n v="9"/>
    <m/>
    <n v="0"/>
    <x v="0"/>
    <x v="186"/>
    <n v="0"/>
    <n v="0"/>
    <x v="1"/>
    <d v="2016-05-09T00:00:00"/>
  </r>
  <r>
    <x v="0"/>
    <x v="0"/>
    <n v="211"/>
    <n v="2016"/>
    <x v="7"/>
    <n v="21"/>
    <n v="20"/>
    <n v="0"/>
    <n v="2"/>
    <n v="2"/>
    <n v="0"/>
    <n v="0"/>
    <s v="BB"/>
    <s v="PRT"/>
    <s v="Offline TA/TO"/>
    <x v="0"/>
    <n v="0"/>
    <n v="0"/>
    <n v="0"/>
    <s v="A"/>
    <s v="A"/>
    <n v="0"/>
    <s v="Non Refund"/>
    <n v="6"/>
    <m/>
    <n v="111"/>
    <x v="0"/>
    <x v="25"/>
    <n v="0"/>
    <n v="0"/>
    <x v="0"/>
    <d v="2016-03-18T00:00:00"/>
  </r>
  <r>
    <x v="1"/>
    <x v="0"/>
    <n v="198"/>
    <n v="2016"/>
    <x v="1"/>
    <n v="42"/>
    <n v="15"/>
    <n v="2"/>
    <n v="5"/>
    <n v="2"/>
    <n v="0"/>
    <n v="0"/>
    <s v="BB"/>
    <s v="AUT"/>
    <s v="Online TA"/>
    <x v="0"/>
    <n v="0"/>
    <n v="0"/>
    <n v="0"/>
    <s v="D"/>
    <s v="D"/>
    <n v="1"/>
    <s v="No Deposit"/>
    <n v="240"/>
    <m/>
    <n v="0"/>
    <x v="1"/>
    <x v="48"/>
    <n v="0"/>
    <n v="0"/>
    <x v="0"/>
    <d v="2016-08-02T00:00:00"/>
  </r>
  <r>
    <x v="0"/>
    <x v="1"/>
    <n v="37"/>
    <n v="2016"/>
    <x v="10"/>
    <n v="27"/>
    <n v="29"/>
    <n v="0"/>
    <n v="1"/>
    <n v="3"/>
    <n v="0"/>
    <n v="0"/>
    <s v="BB"/>
    <s v="GBR"/>
    <s v="Offline TA/TO"/>
    <x v="0"/>
    <n v="0"/>
    <n v="0"/>
    <n v="0"/>
    <s v="A"/>
    <s v="G"/>
    <n v="0"/>
    <s v="No Deposit"/>
    <n v="22"/>
    <m/>
    <n v="0"/>
    <x v="0"/>
    <x v="187"/>
    <n v="0"/>
    <n v="1"/>
    <x v="1"/>
    <d v="2016-06-30T00:00:00"/>
  </r>
  <r>
    <x v="0"/>
    <x v="1"/>
    <n v="152"/>
    <n v="2016"/>
    <x v="0"/>
    <n v="29"/>
    <n v="11"/>
    <n v="1"/>
    <n v="1"/>
    <n v="2"/>
    <n v="0"/>
    <n v="0"/>
    <s v="BB"/>
    <s v="PRT"/>
    <s v="Online TA"/>
    <x v="0"/>
    <n v="0"/>
    <n v="0"/>
    <n v="0"/>
    <s v="A"/>
    <s v="A"/>
    <n v="2"/>
    <s v="No Deposit"/>
    <n v="9"/>
    <m/>
    <n v="0"/>
    <x v="1"/>
    <x v="188"/>
    <n v="0"/>
    <n v="2"/>
    <x v="1"/>
    <d v="2016-07-13T00:00:00"/>
  </r>
  <r>
    <x v="0"/>
    <x v="1"/>
    <n v="19"/>
    <n v="2016"/>
    <x v="9"/>
    <n v="7"/>
    <n v="13"/>
    <n v="0"/>
    <n v="1"/>
    <n v="2"/>
    <n v="0"/>
    <n v="0"/>
    <s v="BB"/>
    <s v="PRT"/>
    <s v="Direct"/>
    <x v="2"/>
    <n v="0"/>
    <n v="0"/>
    <n v="0"/>
    <s v="D"/>
    <s v="D"/>
    <n v="0"/>
    <s v="No Deposit"/>
    <m/>
    <m/>
    <n v="0"/>
    <x v="0"/>
    <x v="189"/>
    <n v="0"/>
    <n v="2"/>
    <x v="1"/>
    <d v="2016-02-14T00:00:00"/>
  </r>
  <r>
    <x v="0"/>
    <x v="1"/>
    <n v="107"/>
    <n v="2016"/>
    <x v="10"/>
    <n v="24"/>
    <n v="10"/>
    <n v="0"/>
    <n v="2"/>
    <n v="1"/>
    <n v="0"/>
    <n v="0"/>
    <s v="BB"/>
    <s v="ESP"/>
    <s v="Offline TA/TO"/>
    <x v="0"/>
    <n v="0"/>
    <n v="0"/>
    <n v="0"/>
    <s v="A"/>
    <s v="A"/>
    <n v="1"/>
    <s v="No Deposit"/>
    <n v="187"/>
    <m/>
    <n v="0"/>
    <x v="1"/>
    <x v="169"/>
    <n v="0"/>
    <n v="0"/>
    <x v="1"/>
    <d v="2016-06-12T00:00:00"/>
  </r>
  <r>
    <x v="0"/>
    <x v="0"/>
    <n v="16"/>
    <n v="2016"/>
    <x v="9"/>
    <n v="9"/>
    <n v="27"/>
    <n v="2"/>
    <n v="5"/>
    <n v="1"/>
    <n v="0"/>
    <n v="0"/>
    <s v="BB"/>
    <s v="NGA"/>
    <s v="Direct"/>
    <x v="2"/>
    <n v="0"/>
    <n v="0"/>
    <n v="0"/>
    <s v="D"/>
    <s v="D"/>
    <n v="0"/>
    <s v="No Deposit"/>
    <n v="14"/>
    <m/>
    <n v="0"/>
    <x v="0"/>
    <x v="190"/>
    <n v="0"/>
    <n v="0"/>
    <x v="2"/>
    <d v="2016-02-27T00:00:00"/>
  </r>
  <r>
    <x v="0"/>
    <x v="0"/>
    <n v="281"/>
    <n v="2016"/>
    <x v="11"/>
    <n v="16"/>
    <n v="14"/>
    <n v="0"/>
    <n v="2"/>
    <n v="2"/>
    <n v="0"/>
    <n v="0"/>
    <s v="BB"/>
    <s v="PRT"/>
    <s v="Groups"/>
    <x v="0"/>
    <n v="0"/>
    <n v="0"/>
    <n v="0"/>
    <s v="A"/>
    <s v="A"/>
    <n v="0"/>
    <s v="Non Refund"/>
    <n v="1"/>
    <m/>
    <n v="0"/>
    <x v="0"/>
    <x v="6"/>
    <n v="0"/>
    <n v="0"/>
    <x v="0"/>
    <d v="2015-10-21T00:00:00"/>
  </r>
  <r>
    <x v="1"/>
    <x v="1"/>
    <n v="4"/>
    <n v="2016"/>
    <x v="4"/>
    <n v="35"/>
    <n v="23"/>
    <n v="0"/>
    <n v="1"/>
    <n v="1"/>
    <n v="0"/>
    <n v="0"/>
    <s v="BB"/>
    <s v="PRT"/>
    <s v="Corporate"/>
    <x v="1"/>
    <n v="0"/>
    <n v="0"/>
    <n v="0"/>
    <s v="A"/>
    <s v="D"/>
    <n v="0"/>
    <s v="No Deposit"/>
    <m/>
    <n v="42"/>
    <n v="0"/>
    <x v="0"/>
    <x v="191"/>
    <n v="1"/>
    <n v="0"/>
    <x v="1"/>
    <d v="2016-08-24T00:00:00"/>
  </r>
  <r>
    <x v="1"/>
    <x v="1"/>
    <n v="240"/>
    <n v="2016"/>
    <x v="1"/>
    <n v="43"/>
    <n v="21"/>
    <n v="2"/>
    <n v="5"/>
    <n v="2"/>
    <n v="0"/>
    <n v="0"/>
    <s v="HB"/>
    <s v="GBR"/>
    <s v="Offline TA/TO"/>
    <x v="0"/>
    <n v="0"/>
    <n v="0"/>
    <n v="0"/>
    <s v="E"/>
    <s v="E"/>
    <n v="0"/>
    <s v="No Deposit"/>
    <n v="2"/>
    <m/>
    <n v="0"/>
    <x v="2"/>
    <x v="192"/>
    <n v="1"/>
    <n v="2"/>
    <x v="1"/>
    <d v="2016-10-28T00:00:00"/>
  </r>
  <r>
    <x v="0"/>
    <x v="1"/>
    <n v="64"/>
    <n v="2016"/>
    <x v="1"/>
    <n v="45"/>
    <n v="31"/>
    <n v="1"/>
    <n v="2"/>
    <n v="2"/>
    <n v="0"/>
    <n v="0"/>
    <s v="BB"/>
    <s v="BEL"/>
    <s v="Online TA"/>
    <x v="0"/>
    <n v="0"/>
    <n v="0"/>
    <n v="0"/>
    <s v="D"/>
    <s v="D"/>
    <n v="0"/>
    <s v="No Deposit"/>
    <n v="9"/>
    <m/>
    <n v="0"/>
    <x v="0"/>
    <x v="193"/>
    <n v="0"/>
    <n v="4"/>
    <x v="1"/>
    <d v="2016-11-03T00:00:00"/>
  </r>
  <r>
    <x v="0"/>
    <x v="0"/>
    <n v="23"/>
    <n v="2016"/>
    <x v="9"/>
    <n v="7"/>
    <n v="12"/>
    <n v="1"/>
    <n v="2"/>
    <n v="2"/>
    <n v="0"/>
    <n v="0"/>
    <s v="BB"/>
    <s v="NLD"/>
    <s v="Online TA"/>
    <x v="0"/>
    <n v="0"/>
    <n v="0"/>
    <n v="0"/>
    <s v="A"/>
    <s v="A"/>
    <n v="0"/>
    <s v="No Deposit"/>
    <n v="9"/>
    <m/>
    <n v="0"/>
    <x v="0"/>
    <x v="194"/>
    <n v="0"/>
    <n v="0"/>
    <x v="0"/>
    <d v="2016-01-24T00:00:00"/>
  </r>
  <r>
    <x v="0"/>
    <x v="0"/>
    <n v="92"/>
    <n v="2016"/>
    <x v="5"/>
    <n v="49"/>
    <n v="29"/>
    <n v="0"/>
    <n v="3"/>
    <n v="2"/>
    <n v="0"/>
    <n v="0"/>
    <s v="BB"/>
    <s v="PRT"/>
    <s v="Groups"/>
    <x v="0"/>
    <n v="0"/>
    <n v="0"/>
    <n v="0"/>
    <s v="A"/>
    <s v="A"/>
    <n v="0"/>
    <s v="Non Refund"/>
    <m/>
    <n v="348"/>
    <n v="50"/>
    <x v="0"/>
    <x v="13"/>
    <n v="0"/>
    <n v="0"/>
    <x v="0"/>
    <d v="2016-11-15T00:00:00"/>
  </r>
  <r>
    <x v="0"/>
    <x v="1"/>
    <n v="4"/>
    <n v="2016"/>
    <x v="2"/>
    <n v="38"/>
    <n v="13"/>
    <n v="0"/>
    <n v="3"/>
    <n v="2"/>
    <n v="0"/>
    <n v="0"/>
    <s v="BB"/>
    <s v="FRA"/>
    <s v="Online TA"/>
    <x v="0"/>
    <n v="0"/>
    <n v="0"/>
    <n v="0"/>
    <s v="D"/>
    <s v="D"/>
    <n v="0"/>
    <s v="No Deposit"/>
    <n v="9"/>
    <m/>
    <n v="0"/>
    <x v="0"/>
    <x v="195"/>
    <n v="0"/>
    <n v="1"/>
    <x v="1"/>
    <d v="2016-09-16T00:00:00"/>
  </r>
  <r>
    <x v="0"/>
    <x v="0"/>
    <n v="32"/>
    <n v="2016"/>
    <x v="5"/>
    <n v="46"/>
    <n v="11"/>
    <n v="0"/>
    <n v="2"/>
    <n v="2"/>
    <n v="0"/>
    <n v="0"/>
    <s v="BB"/>
    <s v="FRA"/>
    <s v="Online TA"/>
    <x v="0"/>
    <n v="0"/>
    <n v="0"/>
    <n v="0"/>
    <s v="A"/>
    <s v="A"/>
    <n v="0"/>
    <s v="No Deposit"/>
    <n v="9"/>
    <m/>
    <n v="0"/>
    <x v="0"/>
    <x v="58"/>
    <n v="0"/>
    <n v="1"/>
    <x v="0"/>
    <d v="2016-10-17T00:00:00"/>
  </r>
  <r>
    <x v="0"/>
    <x v="1"/>
    <n v="73"/>
    <n v="2016"/>
    <x v="0"/>
    <n v="29"/>
    <n v="12"/>
    <n v="0"/>
    <n v="1"/>
    <n v="2"/>
    <n v="0"/>
    <n v="0"/>
    <s v="SC"/>
    <s v="CN"/>
    <s v="Direct"/>
    <x v="2"/>
    <n v="0"/>
    <n v="0"/>
    <n v="0"/>
    <s v="A"/>
    <s v="A"/>
    <n v="0"/>
    <s v="No Deposit"/>
    <n v="14"/>
    <m/>
    <n v="0"/>
    <x v="0"/>
    <x v="57"/>
    <n v="0"/>
    <n v="1"/>
    <x v="1"/>
    <d v="2016-07-13T00:00:00"/>
  </r>
  <r>
    <x v="1"/>
    <x v="1"/>
    <n v="11"/>
    <n v="2016"/>
    <x v="8"/>
    <n v="3"/>
    <n v="15"/>
    <n v="0"/>
    <n v="2"/>
    <n v="3"/>
    <n v="1"/>
    <n v="0"/>
    <s v="BB"/>
    <s v="PRT"/>
    <s v="Online TA"/>
    <x v="0"/>
    <n v="0"/>
    <n v="0"/>
    <n v="0"/>
    <s v="H"/>
    <s v="H"/>
    <n v="0"/>
    <s v="No Deposit"/>
    <n v="240"/>
    <m/>
    <n v="0"/>
    <x v="0"/>
    <x v="196"/>
    <n v="0"/>
    <n v="0"/>
    <x v="1"/>
    <d v="2016-01-17T00:00:00"/>
  </r>
  <r>
    <x v="0"/>
    <x v="1"/>
    <n v="4"/>
    <n v="2016"/>
    <x v="0"/>
    <n v="31"/>
    <n v="27"/>
    <n v="0"/>
    <n v="3"/>
    <n v="3"/>
    <n v="0"/>
    <n v="0"/>
    <s v="BB"/>
    <s v="JPN"/>
    <s v="Online TA"/>
    <x v="0"/>
    <n v="0"/>
    <n v="0"/>
    <n v="0"/>
    <s v="D"/>
    <s v="D"/>
    <n v="0"/>
    <s v="No Deposit"/>
    <n v="9"/>
    <m/>
    <n v="0"/>
    <x v="0"/>
    <x v="197"/>
    <n v="1"/>
    <n v="1"/>
    <x v="1"/>
    <d v="2016-07-30T00:00:00"/>
  </r>
  <r>
    <x v="1"/>
    <x v="0"/>
    <n v="55"/>
    <n v="2016"/>
    <x v="1"/>
    <n v="41"/>
    <n v="3"/>
    <n v="3"/>
    <n v="6"/>
    <n v="1"/>
    <n v="0"/>
    <n v="0"/>
    <s v="BB"/>
    <s v="DEU"/>
    <s v="Online TA"/>
    <x v="0"/>
    <n v="0"/>
    <n v="0"/>
    <n v="0"/>
    <s v="D"/>
    <s v="D"/>
    <n v="0"/>
    <s v="No Deposit"/>
    <n v="240"/>
    <m/>
    <n v="0"/>
    <x v="0"/>
    <x v="138"/>
    <n v="0"/>
    <n v="2"/>
    <x v="0"/>
    <d v="2016-09-17T00:00:00"/>
  </r>
  <r>
    <x v="0"/>
    <x v="1"/>
    <n v="130"/>
    <n v="2016"/>
    <x v="2"/>
    <n v="36"/>
    <n v="3"/>
    <n v="2"/>
    <n v="1"/>
    <n v="2"/>
    <n v="0"/>
    <n v="0"/>
    <s v="BB"/>
    <s v="GBR"/>
    <s v="Offline TA/TO"/>
    <x v="0"/>
    <n v="0"/>
    <n v="0"/>
    <n v="0"/>
    <s v="A"/>
    <s v="A"/>
    <n v="0"/>
    <s v="No Deposit"/>
    <n v="42"/>
    <m/>
    <n v="0"/>
    <x v="0"/>
    <x v="8"/>
    <n v="0"/>
    <n v="0"/>
    <x v="1"/>
    <d v="2016-09-06T00:00:00"/>
  </r>
  <r>
    <x v="1"/>
    <x v="0"/>
    <n v="92"/>
    <n v="2016"/>
    <x v="9"/>
    <n v="9"/>
    <n v="26"/>
    <n v="1"/>
    <n v="2"/>
    <n v="2"/>
    <n v="0"/>
    <n v="0"/>
    <s v="Undefined"/>
    <s v="PRT"/>
    <s v="Groups"/>
    <x v="0"/>
    <n v="0"/>
    <n v="1"/>
    <n v="0"/>
    <s v="A"/>
    <s v="A"/>
    <n v="0"/>
    <s v="Non Refund"/>
    <n v="134"/>
    <m/>
    <n v="0"/>
    <x v="0"/>
    <x v="97"/>
    <n v="0"/>
    <n v="0"/>
    <x v="0"/>
    <d v="2015-12-10T00:00:00"/>
  </r>
  <r>
    <x v="0"/>
    <x v="0"/>
    <n v="131"/>
    <n v="2016"/>
    <x v="4"/>
    <n v="35"/>
    <n v="22"/>
    <n v="1"/>
    <n v="3"/>
    <n v="2"/>
    <n v="0"/>
    <n v="0"/>
    <s v="SC"/>
    <s v="PRT"/>
    <s v="Online TA"/>
    <x v="0"/>
    <n v="0"/>
    <n v="0"/>
    <n v="0"/>
    <s v="A"/>
    <s v="A"/>
    <n v="0"/>
    <s v="No Deposit"/>
    <n v="8"/>
    <m/>
    <n v="0"/>
    <x v="0"/>
    <x v="198"/>
    <n v="0"/>
    <n v="0"/>
    <x v="0"/>
    <d v="2016-06-13T00:00:00"/>
  </r>
  <r>
    <x v="0"/>
    <x v="1"/>
    <n v="183"/>
    <n v="2016"/>
    <x v="2"/>
    <n v="37"/>
    <n v="8"/>
    <n v="0"/>
    <n v="3"/>
    <n v="2"/>
    <n v="0"/>
    <n v="0"/>
    <s v="BB"/>
    <s v="FRA"/>
    <s v="Offline TA/TO"/>
    <x v="0"/>
    <n v="0"/>
    <n v="0"/>
    <n v="0"/>
    <s v="A"/>
    <s v="A"/>
    <n v="0"/>
    <s v="No Deposit"/>
    <n v="44"/>
    <m/>
    <n v="0"/>
    <x v="1"/>
    <x v="199"/>
    <n v="0"/>
    <n v="1"/>
    <x v="1"/>
    <d v="2016-09-11T00:00:00"/>
  </r>
  <r>
    <x v="0"/>
    <x v="1"/>
    <n v="150"/>
    <n v="2016"/>
    <x v="10"/>
    <n v="25"/>
    <n v="14"/>
    <n v="1"/>
    <n v="5"/>
    <n v="2"/>
    <n v="0"/>
    <n v="0"/>
    <s v="BB"/>
    <s v="NLD"/>
    <s v="Online TA"/>
    <x v="0"/>
    <n v="0"/>
    <n v="0"/>
    <n v="0"/>
    <s v="D"/>
    <s v="D"/>
    <n v="0"/>
    <s v="No Deposit"/>
    <n v="9"/>
    <m/>
    <n v="0"/>
    <x v="0"/>
    <x v="200"/>
    <n v="0"/>
    <n v="2"/>
    <x v="1"/>
    <d v="2016-06-20T00:00:00"/>
  </r>
  <r>
    <x v="0"/>
    <x v="1"/>
    <n v="181"/>
    <n v="2016"/>
    <x v="1"/>
    <n v="42"/>
    <n v="11"/>
    <n v="0"/>
    <n v="2"/>
    <n v="1"/>
    <n v="0"/>
    <n v="0"/>
    <s v="BB"/>
    <s v="FRA"/>
    <s v="Offline TA/TO"/>
    <x v="0"/>
    <n v="0"/>
    <n v="0"/>
    <n v="0"/>
    <s v="A"/>
    <s v="A"/>
    <n v="0"/>
    <s v="No Deposit"/>
    <n v="234"/>
    <m/>
    <n v="0"/>
    <x v="1"/>
    <x v="169"/>
    <n v="0"/>
    <n v="0"/>
    <x v="1"/>
    <d v="2016-10-13T00:00:00"/>
  </r>
  <r>
    <x v="0"/>
    <x v="0"/>
    <n v="37"/>
    <n v="2016"/>
    <x v="1"/>
    <n v="42"/>
    <n v="13"/>
    <n v="0"/>
    <n v="3"/>
    <n v="2"/>
    <n v="0"/>
    <n v="0"/>
    <s v="BB"/>
    <s v="PRT"/>
    <s v="Offline TA/TO"/>
    <x v="0"/>
    <n v="0"/>
    <n v="0"/>
    <n v="0"/>
    <s v="A"/>
    <s v="A"/>
    <n v="0"/>
    <s v="No Deposit"/>
    <n v="56"/>
    <m/>
    <n v="0"/>
    <x v="1"/>
    <x v="57"/>
    <n v="0"/>
    <n v="0"/>
    <x v="0"/>
    <d v="2016-09-06T00:00:00"/>
  </r>
  <r>
    <x v="0"/>
    <x v="0"/>
    <n v="280"/>
    <n v="2016"/>
    <x v="2"/>
    <n v="39"/>
    <n v="19"/>
    <n v="1"/>
    <n v="2"/>
    <n v="2"/>
    <n v="0"/>
    <n v="0"/>
    <s v="BB"/>
    <s v="PRT"/>
    <s v="Offline TA/TO"/>
    <x v="0"/>
    <n v="0"/>
    <n v="0"/>
    <n v="0"/>
    <s v="A"/>
    <s v="A"/>
    <n v="0"/>
    <s v="Non Refund"/>
    <n v="6"/>
    <m/>
    <n v="35"/>
    <x v="0"/>
    <x v="199"/>
    <n v="0"/>
    <n v="0"/>
    <x v="0"/>
    <d v="2016-01-18T00:00:00"/>
  </r>
  <r>
    <x v="0"/>
    <x v="0"/>
    <n v="37"/>
    <n v="2016"/>
    <x v="0"/>
    <n v="27"/>
    <n v="1"/>
    <n v="0"/>
    <n v="1"/>
    <n v="2"/>
    <n v="0"/>
    <n v="0"/>
    <s v="BB"/>
    <s v="ITA"/>
    <s v="Online TA"/>
    <x v="0"/>
    <n v="0"/>
    <n v="0"/>
    <n v="0"/>
    <s v="D"/>
    <s v="D"/>
    <n v="0"/>
    <s v="No Deposit"/>
    <n v="9"/>
    <m/>
    <n v="0"/>
    <x v="0"/>
    <x v="201"/>
    <n v="0"/>
    <n v="0"/>
    <x v="0"/>
    <d v="2016-05-27T00:00:00"/>
  </r>
  <r>
    <x v="0"/>
    <x v="1"/>
    <n v="151"/>
    <n v="2016"/>
    <x v="0"/>
    <n v="28"/>
    <n v="4"/>
    <n v="1"/>
    <n v="0"/>
    <n v="2"/>
    <n v="2"/>
    <n v="0"/>
    <s v="BB"/>
    <s v="CHE"/>
    <s v="Direct"/>
    <x v="2"/>
    <n v="0"/>
    <n v="0"/>
    <n v="0"/>
    <s v="F"/>
    <s v="F"/>
    <n v="0"/>
    <s v="No Deposit"/>
    <n v="14"/>
    <m/>
    <n v="0"/>
    <x v="0"/>
    <x v="202"/>
    <n v="0"/>
    <n v="0"/>
    <x v="1"/>
    <d v="2016-07-05T00:00:00"/>
  </r>
  <r>
    <x v="0"/>
    <x v="0"/>
    <n v="70"/>
    <n v="2016"/>
    <x v="2"/>
    <n v="38"/>
    <n v="15"/>
    <n v="0"/>
    <n v="2"/>
    <n v="2"/>
    <n v="0"/>
    <n v="0"/>
    <s v="BB"/>
    <s v="PRT"/>
    <s v="Online TA"/>
    <x v="0"/>
    <n v="0"/>
    <n v="0"/>
    <n v="0"/>
    <s v="D"/>
    <s v="D"/>
    <n v="0"/>
    <s v="No Deposit"/>
    <n v="7"/>
    <m/>
    <n v="0"/>
    <x v="0"/>
    <x v="203"/>
    <n v="0"/>
    <n v="0"/>
    <x v="0"/>
    <d v="2016-07-07T00:00:00"/>
  </r>
  <r>
    <x v="0"/>
    <x v="1"/>
    <n v="62"/>
    <n v="2016"/>
    <x v="7"/>
    <n v="21"/>
    <n v="19"/>
    <n v="0"/>
    <n v="1"/>
    <n v="1"/>
    <n v="0"/>
    <n v="0"/>
    <s v="SC"/>
    <s v="GBR"/>
    <s v="Online TA"/>
    <x v="0"/>
    <n v="0"/>
    <n v="0"/>
    <n v="0"/>
    <s v="A"/>
    <s v="A"/>
    <n v="0"/>
    <s v="No Deposit"/>
    <n v="9"/>
    <m/>
    <n v="0"/>
    <x v="0"/>
    <x v="204"/>
    <n v="0"/>
    <n v="0"/>
    <x v="1"/>
    <d v="2016-05-20T00:00:00"/>
  </r>
  <r>
    <x v="0"/>
    <x v="1"/>
    <n v="5"/>
    <n v="2016"/>
    <x v="4"/>
    <n v="35"/>
    <n v="26"/>
    <n v="1"/>
    <n v="2"/>
    <n v="2"/>
    <n v="0"/>
    <n v="0"/>
    <s v="SC"/>
    <s v="PRT"/>
    <s v="Online TA"/>
    <x v="0"/>
    <n v="0"/>
    <n v="0"/>
    <n v="0"/>
    <s v="A"/>
    <s v="A"/>
    <n v="0"/>
    <s v="No Deposit"/>
    <n v="7"/>
    <m/>
    <n v="0"/>
    <x v="0"/>
    <x v="205"/>
    <n v="0"/>
    <n v="1"/>
    <x v="1"/>
    <d v="2016-08-29T00:00:00"/>
  </r>
  <r>
    <x v="0"/>
    <x v="1"/>
    <n v="72"/>
    <n v="2016"/>
    <x v="10"/>
    <n v="23"/>
    <n v="1"/>
    <n v="0"/>
    <n v="3"/>
    <n v="2"/>
    <n v="0"/>
    <n v="0"/>
    <s v="BB"/>
    <s v="AUT"/>
    <s v="Online TA"/>
    <x v="0"/>
    <n v="0"/>
    <n v="0"/>
    <n v="0"/>
    <s v="D"/>
    <s v="D"/>
    <n v="0"/>
    <s v="No Deposit"/>
    <n v="7"/>
    <m/>
    <n v="0"/>
    <x v="0"/>
    <x v="206"/>
    <n v="0"/>
    <n v="0"/>
    <x v="1"/>
    <d v="2016-06-04T00:00:00"/>
  </r>
  <r>
    <x v="0"/>
    <x v="1"/>
    <n v="3"/>
    <n v="2016"/>
    <x v="2"/>
    <n v="39"/>
    <n v="22"/>
    <n v="0"/>
    <n v="1"/>
    <n v="1"/>
    <n v="0"/>
    <n v="0"/>
    <s v="BB"/>
    <s v="PRT"/>
    <s v="Corporate"/>
    <x v="1"/>
    <n v="0"/>
    <n v="0"/>
    <n v="0"/>
    <s v="D"/>
    <s v="D"/>
    <n v="0"/>
    <s v="No Deposit"/>
    <m/>
    <n v="308"/>
    <n v="0"/>
    <x v="0"/>
    <x v="207"/>
    <n v="0"/>
    <n v="0"/>
    <x v="1"/>
    <d v="2016-09-23T00:00:00"/>
  </r>
  <r>
    <x v="0"/>
    <x v="0"/>
    <n v="105"/>
    <n v="2016"/>
    <x v="11"/>
    <n v="15"/>
    <n v="6"/>
    <n v="0"/>
    <n v="1"/>
    <n v="2"/>
    <n v="0"/>
    <n v="0"/>
    <s v="BB"/>
    <s v="PRT"/>
    <s v="Offline TA/TO"/>
    <x v="0"/>
    <n v="0"/>
    <n v="0"/>
    <n v="0"/>
    <s v="A"/>
    <s v="A"/>
    <n v="0"/>
    <s v="Non Refund"/>
    <n v="12"/>
    <m/>
    <n v="0"/>
    <x v="0"/>
    <x v="45"/>
    <n v="0"/>
    <n v="0"/>
    <x v="0"/>
    <d v="2016-01-18T00:00:00"/>
  </r>
  <r>
    <x v="0"/>
    <x v="1"/>
    <n v="29"/>
    <n v="2016"/>
    <x v="3"/>
    <n v="49"/>
    <n v="2"/>
    <n v="0"/>
    <n v="2"/>
    <n v="1"/>
    <n v="0"/>
    <n v="0"/>
    <s v="BB"/>
    <s v="DEU"/>
    <s v="Corporate"/>
    <x v="0"/>
    <n v="0"/>
    <n v="0"/>
    <n v="0"/>
    <s v="A"/>
    <s v="A"/>
    <n v="4"/>
    <s v="No Deposit"/>
    <m/>
    <m/>
    <n v="0"/>
    <x v="1"/>
    <x v="208"/>
    <n v="0"/>
    <n v="1"/>
    <x v="1"/>
    <d v="2016-12-04T00:00:00"/>
  </r>
  <r>
    <x v="1"/>
    <x v="1"/>
    <n v="61"/>
    <n v="2016"/>
    <x v="6"/>
    <n v="12"/>
    <n v="14"/>
    <n v="1"/>
    <n v="3"/>
    <n v="2"/>
    <n v="0"/>
    <n v="0"/>
    <s v="BB"/>
    <s v="IRL"/>
    <s v="Offline TA/TO"/>
    <x v="0"/>
    <n v="0"/>
    <n v="0"/>
    <n v="0"/>
    <s v="D"/>
    <s v="D"/>
    <n v="0"/>
    <s v="No Deposit"/>
    <n v="156"/>
    <m/>
    <n v="0"/>
    <x v="0"/>
    <x v="209"/>
    <n v="0"/>
    <n v="1"/>
    <x v="1"/>
    <d v="2016-03-18T00:00:00"/>
  </r>
  <r>
    <x v="0"/>
    <x v="1"/>
    <n v="61"/>
    <n v="2016"/>
    <x v="3"/>
    <n v="51"/>
    <n v="16"/>
    <n v="1"/>
    <n v="2"/>
    <n v="2"/>
    <n v="0"/>
    <n v="0"/>
    <s v="BB"/>
    <s v="FRA"/>
    <s v="Direct"/>
    <x v="2"/>
    <n v="0"/>
    <n v="0"/>
    <n v="0"/>
    <s v="A"/>
    <s v="A"/>
    <n v="0"/>
    <s v="No Deposit"/>
    <n v="14"/>
    <m/>
    <n v="0"/>
    <x v="0"/>
    <x v="210"/>
    <n v="0"/>
    <n v="0"/>
    <x v="1"/>
    <d v="2016-12-19T00:00:00"/>
  </r>
  <r>
    <x v="0"/>
    <x v="1"/>
    <n v="247"/>
    <n v="2016"/>
    <x v="10"/>
    <n v="24"/>
    <n v="6"/>
    <n v="1"/>
    <n v="1"/>
    <n v="2"/>
    <n v="0"/>
    <n v="0"/>
    <s v="HB"/>
    <s v="DEU"/>
    <s v="Offline TA/TO"/>
    <x v="0"/>
    <n v="0"/>
    <n v="0"/>
    <n v="0"/>
    <s v="A"/>
    <s v="F"/>
    <n v="0"/>
    <s v="No Deposit"/>
    <n v="6"/>
    <m/>
    <n v="0"/>
    <x v="1"/>
    <x v="42"/>
    <n v="0"/>
    <n v="1"/>
    <x v="1"/>
    <d v="2016-06-08T00:00:00"/>
  </r>
  <r>
    <x v="0"/>
    <x v="1"/>
    <n v="27"/>
    <n v="2016"/>
    <x v="0"/>
    <n v="30"/>
    <n v="23"/>
    <n v="0"/>
    <n v="1"/>
    <n v="3"/>
    <n v="0"/>
    <n v="0"/>
    <s v="BB"/>
    <s v="PRT"/>
    <s v="Online TA"/>
    <x v="0"/>
    <n v="0"/>
    <n v="0"/>
    <n v="0"/>
    <s v="D"/>
    <s v="E"/>
    <n v="0"/>
    <s v="No Deposit"/>
    <n v="9"/>
    <m/>
    <n v="0"/>
    <x v="0"/>
    <x v="211"/>
    <n v="0"/>
    <n v="2"/>
    <x v="1"/>
    <d v="2016-07-24T00:00:00"/>
  </r>
  <r>
    <x v="1"/>
    <x v="0"/>
    <n v="41"/>
    <n v="2016"/>
    <x v="2"/>
    <n v="39"/>
    <n v="23"/>
    <n v="0"/>
    <n v="1"/>
    <n v="1"/>
    <n v="0"/>
    <n v="0"/>
    <s v="BB"/>
    <s v="IRL"/>
    <s v="Online TA"/>
    <x v="0"/>
    <n v="0"/>
    <n v="0"/>
    <n v="0"/>
    <s v="E"/>
    <s v="E"/>
    <n v="0"/>
    <s v="No Deposit"/>
    <n v="240"/>
    <m/>
    <n v="0"/>
    <x v="0"/>
    <x v="212"/>
    <n v="0"/>
    <n v="1"/>
    <x v="0"/>
    <d v="2016-08-26T00:00:00"/>
  </r>
  <r>
    <x v="0"/>
    <x v="1"/>
    <n v="220"/>
    <n v="2016"/>
    <x v="2"/>
    <n v="38"/>
    <n v="17"/>
    <n v="2"/>
    <n v="1"/>
    <n v="1"/>
    <n v="0"/>
    <n v="0"/>
    <s v="HB"/>
    <s v="ITA"/>
    <s v="Offline TA/TO"/>
    <x v="0"/>
    <n v="0"/>
    <n v="0"/>
    <n v="0"/>
    <s v="A"/>
    <s v="A"/>
    <n v="1"/>
    <s v="No Deposit"/>
    <n v="177"/>
    <m/>
    <n v="0"/>
    <x v="1"/>
    <x v="213"/>
    <n v="0"/>
    <n v="0"/>
    <x v="1"/>
    <d v="2016-09-20T00:00:00"/>
  </r>
  <r>
    <x v="0"/>
    <x v="1"/>
    <n v="133"/>
    <n v="2016"/>
    <x v="1"/>
    <n v="44"/>
    <n v="23"/>
    <n v="2"/>
    <n v="2"/>
    <n v="2"/>
    <n v="0"/>
    <n v="0"/>
    <s v="BB"/>
    <s v="GBR"/>
    <s v="Direct"/>
    <x v="2"/>
    <n v="0"/>
    <n v="0"/>
    <n v="0"/>
    <s v="D"/>
    <s v="D"/>
    <n v="0"/>
    <s v="No Deposit"/>
    <n v="14"/>
    <m/>
    <n v="0"/>
    <x v="0"/>
    <x v="214"/>
    <n v="0"/>
    <n v="0"/>
    <x v="1"/>
    <d v="2016-10-27T00:00:00"/>
  </r>
  <r>
    <x v="1"/>
    <x v="1"/>
    <n v="213"/>
    <n v="2016"/>
    <x v="7"/>
    <n v="21"/>
    <n v="16"/>
    <n v="1"/>
    <n v="1"/>
    <n v="1"/>
    <n v="0"/>
    <n v="0"/>
    <s v="HB"/>
    <s v="DEU"/>
    <s v="Groups"/>
    <x v="0"/>
    <n v="0"/>
    <n v="0"/>
    <n v="0"/>
    <s v="A"/>
    <s v="A"/>
    <n v="1"/>
    <s v="No Deposit"/>
    <n v="298"/>
    <m/>
    <n v="0"/>
    <x v="1"/>
    <x v="215"/>
    <n v="0"/>
    <n v="0"/>
    <x v="1"/>
    <d v="2016-05-18T00:00:00"/>
  </r>
  <r>
    <x v="0"/>
    <x v="1"/>
    <n v="23"/>
    <n v="2016"/>
    <x v="8"/>
    <n v="1"/>
    <n v="2"/>
    <n v="2"/>
    <n v="1"/>
    <n v="2"/>
    <n v="0"/>
    <n v="0"/>
    <s v="HB"/>
    <s v="ITA"/>
    <s v="Offline TA/TO"/>
    <x v="0"/>
    <n v="0"/>
    <n v="0"/>
    <n v="0"/>
    <s v="A"/>
    <s v="A"/>
    <n v="0"/>
    <s v="No Deposit"/>
    <n v="26"/>
    <m/>
    <n v="0"/>
    <x v="1"/>
    <x v="1"/>
    <n v="0"/>
    <n v="0"/>
    <x v="1"/>
    <d v="2016-01-05T00:00:00"/>
  </r>
  <r>
    <x v="0"/>
    <x v="0"/>
    <n v="47"/>
    <n v="2016"/>
    <x v="11"/>
    <n v="16"/>
    <n v="12"/>
    <n v="0"/>
    <n v="1"/>
    <n v="1"/>
    <n v="0"/>
    <n v="0"/>
    <s v="BB"/>
    <s v="ESP"/>
    <s v="Online TA"/>
    <x v="0"/>
    <n v="0"/>
    <n v="0"/>
    <n v="0"/>
    <s v="A"/>
    <s v="A"/>
    <n v="0"/>
    <s v="No Deposit"/>
    <n v="9"/>
    <m/>
    <n v="0"/>
    <x v="0"/>
    <x v="216"/>
    <n v="0"/>
    <n v="0"/>
    <x v="0"/>
    <d v="2016-03-21T00:00:00"/>
  </r>
  <r>
    <x v="0"/>
    <x v="0"/>
    <n v="58"/>
    <n v="2016"/>
    <x v="8"/>
    <n v="5"/>
    <n v="27"/>
    <n v="0"/>
    <n v="2"/>
    <n v="1"/>
    <n v="0"/>
    <n v="0"/>
    <s v="BB"/>
    <s v="PRT"/>
    <s v="Offline TA/TO"/>
    <x v="0"/>
    <n v="0"/>
    <n v="1"/>
    <n v="0"/>
    <s v="A"/>
    <s v="A"/>
    <n v="0"/>
    <s v="No Deposit"/>
    <n v="87"/>
    <m/>
    <n v="0"/>
    <x v="1"/>
    <x v="2"/>
    <n v="0"/>
    <n v="0"/>
    <x v="0"/>
    <d v="2016-01-07T00:00:00"/>
  </r>
  <r>
    <x v="1"/>
    <x v="0"/>
    <n v="349"/>
    <n v="2016"/>
    <x v="4"/>
    <n v="32"/>
    <n v="4"/>
    <n v="2"/>
    <n v="3"/>
    <n v="2"/>
    <n v="0"/>
    <n v="0"/>
    <s v="BB"/>
    <s v="PRT"/>
    <s v="Online TA"/>
    <x v="0"/>
    <n v="0"/>
    <n v="0"/>
    <n v="0"/>
    <s v="A"/>
    <s v="A"/>
    <n v="0"/>
    <s v="No Deposit"/>
    <n v="240"/>
    <m/>
    <n v="0"/>
    <x v="0"/>
    <x v="217"/>
    <n v="0"/>
    <n v="3"/>
    <x v="0"/>
    <d v="2016-06-21T00:00:00"/>
  </r>
  <r>
    <x v="0"/>
    <x v="1"/>
    <n v="4"/>
    <n v="2016"/>
    <x v="9"/>
    <n v="7"/>
    <n v="13"/>
    <n v="0"/>
    <n v="1"/>
    <n v="2"/>
    <n v="0"/>
    <n v="0"/>
    <s v="BB"/>
    <s v="PRT"/>
    <s v="Direct"/>
    <x v="2"/>
    <n v="0"/>
    <n v="0"/>
    <n v="0"/>
    <s v="D"/>
    <s v="D"/>
    <n v="0"/>
    <s v="No Deposit"/>
    <n v="14"/>
    <m/>
    <n v="0"/>
    <x v="0"/>
    <x v="119"/>
    <n v="0"/>
    <n v="2"/>
    <x v="1"/>
    <d v="2016-02-14T00:00:00"/>
  </r>
  <r>
    <x v="1"/>
    <x v="1"/>
    <n v="1"/>
    <n v="2016"/>
    <x v="3"/>
    <n v="51"/>
    <n v="17"/>
    <n v="0"/>
    <n v="1"/>
    <n v="2"/>
    <n v="1"/>
    <n v="0"/>
    <s v="HB"/>
    <s v="ESP"/>
    <s v="Online TA"/>
    <x v="0"/>
    <n v="0"/>
    <n v="0"/>
    <n v="0"/>
    <s v="G"/>
    <s v="G"/>
    <n v="0"/>
    <s v="No Deposit"/>
    <n v="240"/>
    <m/>
    <n v="0"/>
    <x v="0"/>
    <x v="100"/>
    <n v="0"/>
    <n v="1"/>
    <x v="1"/>
    <d v="2016-12-18T00:00:00"/>
  </r>
  <r>
    <x v="0"/>
    <x v="0"/>
    <n v="6"/>
    <n v="2016"/>
    <x v="5"/>
    <n v="48"/>
    <n v="24"/>
    <n v="0"/>
    <n v="1"/>
    <n v="1"/>
    <n v="0"/>
    <n v="0"/>
    <s v="BB"/>
    <s v="PRT"/>
    <s v="Corporate"/>
    <x v="1"/>
    <n v="1"/>
    <n v="1"/>
    <n v="3"/>
    <s v="A"/>
    <s v="A"/>
    <n v="0"/>
    <s v="No Deposit"/>
    <m/>
    <n v="40"/>
    <n v="0"/>
    <x v="0"/>
    <x v="9"/>
    <n v="0"/>
    <n v="1"/>
    <x v="0"/>
    <d v="2016-11-23T00:00:00"/>
  </r>
  <r>
    <x v="0"/>
    <x v="1"/>
    <n v="34"/>
    <n v="2016"/>
    <x v="5"/>
    <n v="46"/>
    <n v="7"/>
    <n v="1"/>
    <n v="2"/>
    <n v="1"/>
    <n v="0"/>
    <n v="0"/>
    <s v="BB"/>
    <s v="DEU"/>
    <s v="Online TA"/>
    <x v="3"/>
    <n v="0"/>
    <n v="0"/>
    <n v="0"/>
    <s v="A"/>
    <s v="A"/>
    <n v="0"/>
    <s v="No Deposit"/>
    <n v="195"/>
    <m/>
    <n v="0"/>
    <x v="0"/>
    <x v="218"/>
    <n v="0"/>
    <n v="0"/>
    <x v="1"/>
    <d v="2016-11-10T00:00:00"/>
  </r>
  <r>
    <x v="1"/>
    <x v="0"/>
    <n v="139"/>
    <n v="2016"/>
    <x v="11"/>
    <n v="15"/>
    <n v="4"/>
    <n v="1"/>
    <n v="1"/>
    <n v="3"/>
    <n v="0"/>
    <n v="0"/>
    <s v="BB"/>
    <s v="PRT"/>
    <s v="Online TA"/>
    <x v="0"/>
    <n v="0"/>
    <n v="0"/>
    <n v="0"/>
    <s v="D"/>
    <s v="D"/>
    <n v="0"/>
    <s v="No Deposit"/>
    <n v="242"/>
    <m/>
    <n v="0"/>
    <x v="0"/>
    <x v="31"/>
    <n v="0"/>
    <n v="1"/>
    <x v="0"/>
    <d v="2016-03-08T00:00:00"/>
  </r>
  <r>
    <x v="0"/>
    <x v="1"/>
    <n v="14"/>
    <n v="2016"/>
    <x v="0"/>
    <n v="27"/>
    <n v="2"/>
    <n v="2"/>
    <n v="3"/>
    <n v="2"/>
    <n v="0"/>
    <n v="0"/>
    <s v="BB"/>
    <s v="DEU"/>
    <s v="Online TA"/>
    <x v="0"/>
    <n v="0"/>
    <n v="0"/>
    <n v="0"/>
    <s v="A"/>
    <s v="A"/>
    <n v="0"/>
    <s v="No Deposit"/>
    <n v="9"/>
    <m/>
    <n v="0"/>
    <x v="0"/>
    <x v="219"/>
    <n v="0"/>
    <n v="2"/>
    <x v="1"/>
    <d v="2016-07-07T00:00:00"/>
  </r>
  <r>
    <x v="0"/>
    <x v="1"/>
    <n v="46"/>
    <n v="2016"/>
    <x v="0"/>
    <n v="31"/>
    <n v="27"/>
    <n v="0"/>
    <n v="1"/>
    <n v="2"/>
    <n v="1"/>
    <n v="0"/>
    <s v="BB"/>
    <s v="AUT"/>
    <s v="Online TA"/>
    <x v="0"/>
    <n v="0"/>
    <n v="0"/>
    <n v="0"/>
    <s v="A"/>
    <s v="E"/>
    <n v="0"/>
    <s v="No Deposit"/>
    <n v="9"/>
    <m/>
    <n v="0"/>
    <x v="0"/>
    <x v="220"/>
    <n v="0"/>
    <n v="2"/>
    <x v="1"/>
    <d v="2016-07-28T00:00:00"/>
  </r>
  <r>
    <x v="0"/>
    <x v="0"/>
    <n v="86"/>
    <n v="2016"/>
    <x v="3"/>
    <n v="52"/>
    <n v="24"/>
    <n v="2"/>
    <n v="3"/>
    <n v="3"/>
    <n v="0"/>
    <n v="0"/>
    <s v="BB"/>
    <s v="DEU"/>
    <s v="Online TA"/>
    <x v="0"/>
    <n v="0"/>
    <n v="0"/>
    <n v="0"/>
    <s v="D"/>
    <s v="D"/>
    <n v="0"/>
    <s v="No Deposit"/>
    <n v="9"/>
    <m/>
    <n v="0"/>
    <x v="0"/>
    <x v="221"/>
    <n v="0"/>
    <n v="2"/>
    <x v="0"/>
    <d v="2016-11-30T00:00:00"/>
  </r>
  <r>
    <x v="0"/>
    <x v="0"/>
    <n v="265"/>
    <n v="2016"/>
    <x v="11"/>
    <n v="17"/>
    <n v="20"/>
    <n v="0"/>
    <n v="4"/>
    <n v="2"/>
    <n v="0"/>
    <n v="0"/>
    <s v="BB"/>
    <s v="PRT"/>
    <s v="Groups"/>
    <x v="0"/>
    <n v="0"/>
    <n v="0"/>
    <n v="0"/>
    <s v="A"/>
    <s v="A"/>
    <n v="0"/>
    <s v="Non Refund"/>
    <n v="30"/>
    <m/>
    <n v="0"/>
    <x v="0"/>
    <x v="190"/>
    <n v="0"/>
    <n v="0"/>
    <x v="0"/>
    <d v="2015-07-30T00:00:00"/>
  </r>
  <r>
    <x v="1"/>
    <x v="1"/>
    <n v="47"/>
    <n v="2016"/>
    <x v="5"/>
    <n v="47"/>
    <n v="19"/>
    <n v="2"/>
    <n v="3"/>
    <n v="2"/>
    <n v="0"/>
    <n v="0"/>
    <s v="BB"/>
    <s v="POL"/>
    <s v="Online TA"/>
    <x v="0"/>
    <n v="0"/>
    <n v="0"/>
    <n v="0"/>
    <s v="A"/>
    <s v="A"/>
    <n v="0"/>
    <s v="No Deposit"/>
    <n v="240"/>
    <m/>
    <n v="0"/>
    <x v="0"/>
    <x v="222"/>
    <n v="0"/>
    <n v="2"/>
    <x v="1"/>
    <d v="2016-11-24T00:00:00"/>
  </r>
  <r>
    <x v="1"/>
    <x v="1"/>
    <n v="199"/>
    <n v="2016"/>
    <x v="7"/>
    <n v="19"/>
    <n v="2"/>
    <n v="1"/>
    <n v="1"/>
    <n v="2"/>
    <n v="0"/>
    <n v="0"/>
    <s v="HB"/>
    <s v="DEU"/>
    <s v="Groups"/>
    <x v="0"/>
    <n v="0"/>
    <n v="0"/>
    <n v="0"/>
    <s v="A"/>
    <s v="A"/>
    <n v="0"/>
    <s v="No Deposit"/>
    <n v="298"/>
    <m/>
    <n v="0"/>
    <x v="1"/>
    <x v="89"/>
    <n v="0"/>
    <n v="0"/>
    <x v="1"/>
    <d v="2016-05-04T00:00:00"/>
  </r>
  <r>
    <x v="1"/>
    <x v="0"/>
    <n v="106"/>
    <n v="2016"/>
    <x v="6"/>
    <n v="13"/>
    <n v="24"/>
    <n v="1"/>
    <n v="3"/>
    <n v="2"/>
    <n v="0"/>
    <n v="0"/>
    <s v="FB"/>
    <s v="PRT"/>
    <s v="Groups"/>
    <x v="2"/>
    <n v="0"/>
    <n v="0"/>
    <n v="0"/>
    <s v="A"/>
    <s v="A"/>
    <n v="0"/>
    <s v="Non Refund"/>
    <n v="68"/>
    <m/>
    <n v="0"/>
    <x v="0"/>
    <x v="146"/>
    <n v="0"/>
    <n v="0"/>
    <x v="0"/>
    <d v="2016-01-22T00:00:00"/>
  </r>
  <r>
    <x v="0"/>
    <x v="1"/>
    <n v="4"/>
    <n v="2016"/>
    <x v="2"/>
    <n v="39"/>
    <n v="20"/>
    <n v="0"/>
    <n v="1"/>
    <n v="2"/>
    <n v="1"/>
    <n v="0"/>
    <s v="SC"/>
    <s v="PRT"/>
    <s v="Offline TA/TO"/>
    <x v="0"/>
    <n v="0"/>
    <n v="0"/>
    <n v="0"/>
    <s v="A"/>
    <s v="A"/>
    <n v="0"/>
    <s v="No Deposit"/>
    <n v="15"/>
    <m/>
    <n v="0"/>
    <x v="0"/>
    <x v="223"/>
    <n v="0"/>
    <n v="0"/>
    <x v="1"/>
    <d v="2016-09-21T00:00:00"/>
  </r>
  <r>
    <x v="0"/>
    <x v="0"/>
    <n v="179"/>
    <n v="2016"/>
    <x v="2"/>
    <n v="36"/>
    <n v="2"/>
    <n v="2"/>
    <n v="5"/>
    <n v="0"/>
    <n v="2"/>
    <n v="0"/>
    <s v="BB"/>
    <s v="ESP"/>
    <s v="Online TA"/>
    <x v="0"/>
    <n v="0"/>
    <n v="0"/>
    <n v="0"/>
    <s v="B"/>
    <s v="B"/>
    <n v="3"/>
    <s v="No Deposit"/>
    <n v="9"/>
    <m/>
    <n v="0"/>
    <x v="1"/>
    <x v="224"/>
    <n v="0"/>
    <n v="0"/>
    <x v="0"/>
    <d v="2016-09-01T00:00:00"/>
  </r>
  <r>
    <x v="1"/>
    <x v="0"/>
    <n v="12"/>
    <n v="2016"/>
    <x v="0"/>
    <n v="31"/>
    <n v="24"/>
    <n v="1"/>
    <n v="0"/>
    <n v="2"/>
    <n v="0"/>
    <n v="0"/>
    <s v="BB"/>
    <s v="PRT"/>
    <s v="Direct"/>
    <x v="2"/>
    <n v="0"/>
    <n v="0"/>
    <n v="0"/>
    <s v="A"/>
    <s v="A"/>
    <n v="0"/>
    <s v="No Deposit"/>
    <m/>
    <m/>
    <n v="0"/>
    <x v="1"/>
    <x v="128"/>
    <n v="0"/>
    <n v="0"/>
    <x v="0"/>
    <d v="2016-07-13T00:00:00"/>
  </r>
  <r>
    <x v="0"/>
    <x v="0"/>
    <n v="69"/>
    <n v="2016"/>
    <x v="10"/>
    <n v="25"/>
    <n v="12"/>
    <n v="2"/>
    <n v="4"/>
    <n v="1"/>
    <n v="0"/>
    <n v="0"/>
    <s v="BB"/>
    <s v="PRT"/>
    <s v="Offline TA/TO"/>
    <x v="0"/>
    <n v="0"/>
    <n v="0"/>
    <n v="0"/>
    <s v="A"/>
    <s v="A"/>
    <n v="0"/>
    <s v="Non Refund"/>
    <n v="236"/>
    <m/>
    <n v="0"/>
    <x v="0"/>
    <x v="169"/>
    <n v="0"/>
    <n v="0"/>
    <x v="0"/>
    <d v="2016-05-04T00:00:00"/>
  </r>
  <r>
    <x v="0"/>
    <x v="1"/>
    <n v="50"/>
    <n v="2016"/>
    <x v="3"/>
    <n v="50"/>
    <n v="4"/>
    <n v="2"/>
    <n v="2"/>
    <n v="2"/>
    <n v="0"/>
    <n v="0"/>
    <s v="BB"/>
    <s v="ESP"/>
    <s v="Online TA"/>
    <x v="0"/>
    <n v="0"/>
    <n v="0"/>
    <n v="0"/>
    <s v="A"/>
    <s v="A"/>
    <n v="0"/>
    <s v="No Deposit"/>
    <n v="9"/>
    <m/>
    <n v="0"/>
    <x v="0"/>
    <x v="225"/>
    <n v="0"/>
    <n v="0"/>
    <x v="1"/>
    <d v="2016-12-08T00:00:00"/>
  </r>
  <r>
    <x v="0"/>
    <x v="1"/>
    <n v="3"/>
    <n v="2016"/>
    <x v="6"/>
    <n v="13"/>
    <n v="25"/>
    <n v="1"/>
    <n v="2"/>
    <n v="2"/>
    <n v="0"/>
    <n v="0"/>
    <s v="SC"/>
    <s v="ISR"/>
    <s v="Online TA"/>
    <x v="0"/>
    <n v="0"/>
    <n v="0"/>
    <n v="0"/>
    <s v="A"/>
    <s v="A"/>
    <n v="0"/>
    <s v="No Deposit"/>
    <n v="9"/>
    <m/>
    <n v="0"/>
    <x v="0"/>
    <x v="226"/>
    <n v="0"/>
    <n v="1"/>
    <x v="1"/>
    <d v="2016-03-28T00:00:00"/>
  </r>
  <r>
    <x v="0"/>
    <x v="1"/>
    <n v="103"/>
    <n v="2016"/>
    <x v="5"/>
    <n v="46"/>
    <n v="7"/>
    <n v="1"/>
    <n v="3"/>
    <n v="1"/>
    <n v="0"/>
    <n v="0"/>
    <s v="BB"/>
    <s v="FIN"/>
    <s v="Online TA"/>
    <x v="0"/>
    <n v="0"/>
    <n v="0"/>
    <n v="0"/>
    <s v="A"/>
    <s v="A"/>
    <n v="0"/>
    <s v="No Deposit"/>
    <n v="8"/>
    <m/>
    <n v="0"/>
    <x v="0"/>
    <x v="227"/>
    <n v="0"/>
    <n v="2"/>
    <x v="1"/>
    <d v="2016-11-11T00:00:00"/>
  </r>
  <r>
    <x v="0"/>
    <x v="1"/>
    <n v="260"/>
    <n v="2016"/>
    <x v="1"/>
    <n v="43"/>
    <n v="22"/>
    <n v="2"/>
    <n v="5"/>
    <n v="2"/>
    <n v="1"/>
    <n v="0"/>
    <s v="BB"/>
    <s v="FRA"/>
    <s v="Online TA"/>
    <x v="0"/>
    <n v="0"/>
    <n v="0"/>
    <n v="0"/>
    <s v="A"/>
    <s v="A"/>
    <n v="0"/>
    <s v="No Deposit"/>
    <n v="9"/>
    <m/>
    <n v="0"/>
    <x v="1"/>
    <x v="228"/>
    <n v="0"/>
    <n v="3"/>
    <x v="1"/>
    <d v="2016-10-29T00:00:00"/>
  </r>
  <r>
    <x v="0"/>
    <x v="1"/>
    <n v="192"/>
    <n v="2016"/>
    <x v="10"/>
    <n v="26"/>
    <n v="24"/>
    <n v="0"/>
    <n v="2"/>
    <n v="1"/>
    <n v="0"/>
    <n v="0"/>
    <s v="BB"/>
    <s v="PRT"/>
    <s v="Offline TA/TO"/>
    <x v="0"/>
    <n v="0"/>
    <n v="0"/>
    <n v="0"/>
    <s v="A"/>
    <s v="A"/>
    <n v="0"/>
    <s v="No Deposit"/>
    <n v="34"/>
    <m/>
    <n v="0"/>
    <x v="1"/>
    <x v="119"/>
    <n v="0"/>
    <n v="0"/>
    <x v="1"/>
    <d v="2016-06-26T00:00:00"/>
  </r>
  <r>
    <x v="1"/>
    <x v="1"/>
    <n v="10"/>
    <n v="2016"/>
    <x v="6"/>
    <n v="11"/>
    <n v="11"/>
    <n v="2"/>
    <n v="2"/>
    <n v="2"/>
    <n v="0"/>
    <n v="0"/>
    <s v="BB"/>
    <s v="POL"/>
    <s v="Online TA"/>
    <x v="0"/>
    <n v="0"/>
    <n v="0"/>
    <n v="0"/>
    <s v="E"/>
    <s v="F"/>
    <n v="2"/>
    <s v="No Deposit"/>
    <n v="240"/>
    <m/>
    <n v="0"/>
    <x v="0"/>
    <x v="29"/>
    <n v="0"/>
    <n v="1"/>
    <x v="1"/>
    <d v="2016-03-15T00:00:00"/>
  </r>
  <r>
    <x v="0"/>
    <x v="0"/>
    <n v="41"/>
    <n v="2016"/>
    <x v="11"/>
    <n v="17"/>
    <n v="21"/>
    <n v="0"/>
    <n v="3"/>
    <n v="2"/>
    <n v="2"/>
    <n v="0"/>
    <s v="BB"/>
    <s v="PRT"/>
    <s v="Online TA"/>
    <x v="0"/>
    <n v="0"/>
    <n v="0"/>
    <n v="0"/>
    <s v="G"/>
    <s v="G"/>
    <n v="0"/>
    <s v="No Deposit"/>
    <n v="7"/>
    <m/>
    <n v="0"/>
    <x v="0"/>
    <x v="229"/>
    <n v="0"/>
    <n v="0"/>
    <x v="0"/>
    <d v="2016-03-11T00:00:00"/>
  </r>
  <r>
    <x v="1"/>
    <x v="1"/>
    <n v="6"/>
    <n v="2016"/>
    <x v="5"/>
    <n v="48"/>
    <n v="25"/>
    <n v="0"/>
    <n v="1"/>
    <n v="2"/>
    <n v="0"/>
    <n v="0"/>
    <s v="Undefined"/>
    <s v="PRT"/>
    <s v="Direct"/>
    <x v="2"/>
    <n v="0"/>
    <n v="0"/>
    <n v="0"/>
    <s v="F"/>
    <s v="F"/>
    <n v="1"/>
    <s v="No Deposit"/>
    <n v="250"/>
    <m/>
    <n v="0"/>
    <x v="0"/>
    <x v="230"/>
    <n v="0"/>
    <n v="0"/>
    <x v="1"/>
    <d v="2016-11-26T00:00:00"/>
  </r>
  <r>
    <x v="1"/>
    <x v="1"/>
    <n v="234"/>
    <n v="2016"/>
    <x v="1"/>
    <n v="44"/>
    <n v="23"/>
    <n v="2"/>
    <n v="5"/>
    <n v="2"/>
    <n v="0"/>
    <n v="0"/>
    <s v="HB"/>
    <s v="GBR"/>
    <s v="Offline TA/TO"/>
    <x v="0"/>
    <n v="0"/>
    <n v="0"/>
    <n v="0"/>
    <s v="A"/>
    <s v="A"/>
    <n v="0"/>
    <s v="No Deposit"/>
    <n v="243"/>
    <m/>
    <n v="0"/>
    <x v="2"/>
    <x v="231"/>
    <n v="0"/>
    <n v="2"/>
    <x v="1"/>
    <d v="2016-10-30T00:00:00"/>
  </r>
  <r>
    <x v="0"/>
    <x v="1"/>
    <n v="8"/>
    <n v="2016"/>
    <x v="11"/>
    <n v="16"/>
    <n v="16"/>
    <n v="2"/>
    <n v="2"/>
    <n v="3"/>
    <n v="0"/>
    <n v="0"/>
    <s v="BB"/>
    <s v="FRA"/>
    <s v="Online TA"/>
    <x v="0"/>
    <n v="0"/>
    <n v="0"/>
    <n v="0"/>
    <s v="D"/>
    <s v="D"/>
    <n v="0"/>
    <s v="No Deposit"/>
    <n v="9"/>
    <m/>
    <n v="0"/>
    <x v="0"/>
    <x v="232"/>
    <n v="0"/>
    <n v="1"/>
    <x v="1"/>
    <d v="2016-04-20T00:00:00"/>
  </r>
  <r>
    <x v="0"/>
    <x v="1"/>
    <n v="13"/>
    <n v="2016"/>
    <x v="6"/>
    <n v="13"/>
    <n v="20"/>
    <n v="1"/>
    <n v="0"/>
    <n v="2"/>
    <n v="0"/>
    <n v="0"/>
    <s v="BB"/>
    <s v="PRT"/>
    <s v="Offline TA/TO"/>
    <x v="0"/>
    <n v="0"/>
    <n v="0"/>
    <n v="0"/>
    <s v="A"/>
    <s v="A"/>
    <n v="0"/>
    <s v="No Deposit"/>
    <n v="220"/>
    <m/>
    <n v="0"/>
    <x v="1"/>
    <x v="89"/>
    <n v="0"/>
    <n v="1"/>
    <x v="1"/>
    <d v="2016-03-21T00:00:00"/>
  </r>
  <r>
    <x v="0"/>
    <x v="1"/>
    <n v="63"/>
    <n v="2016"/>
    <x v="11"/>
    <n v="16"/>
    <n v="13"/>
    <n v="0"/>
    <n v="4"/>
    <n v="2"/>
    <n v="2"/>
    <n v="0"/>
    <s v="BB"/>
    <s v="FRA"/>
    <s v="Online TA"/>
    <x v="0"/>
    <n v="0"/>
    <n v="0"/>
    <n v="0"/>
    <s v="F"/>
    <s v="F"/>
    <n v="0"/>
    <s v="No Deposit"/>
    <n v="9"/>
    <m/>
    <n v="0"/>
    <x v="0"/>
    <x v="233"/>
    <n v="0"/>
    <n v="1"/>
    <x v="1"/>
    <d v="2016-04-17T00:00:00"/>
  </r>
  <r>
    <x v="0"/>
    <x v="1"/>
    <n v="212"/>
    <n v="2016"/>
    <x v="2"/>
    <n v="40"/>
    <n v="26"/>
    <n v="1"/>
    <n v="3"/>
    <n v="2"/>
    <n v="0"/>
    <n v="0"/>
    <s v="BB"/>
    <s v="GBR"/>
    <s v="Online TA"/>
    <x v="0"/>
    <n v="0"/>
    <n v="0"/>
    <n v="0"/>
    <s v="A"/>
    <s v="A"/>
    <n v="1"/>
    <s v="No Deposit"/>
    <n v="9"/>
    <m/>
    <n v="0"/>
    <x v="1"/>
    <x v="234"/>
    <n v="0"/>
    <n v="1"/>
    <x v="1"/>
    <d v="2016-09-30T00:00:00"/>
  </r>
  <r>
    <x v="1"/>
    <x v="1"/>
    <n v="109"/>
    <n v="2016"/>
    <x v="6"/>
    <n v="11"/>
    <n v="7"/>
    <n v="1"/>
    <n v="3"/>
    <n v="2"/>
    <n v="0"/>
    <n v="0"/>
    <s v="BB"/>
    <s v="GBR"/>
    <s v="Offline TA/TO"/>
    <x v="0"/>
    <n v="0"/>
    <n v="0"/>
    <n v="0"/>
    <s v="A"/>
    <s v="D"/>
    <n v="0"/>
    <s v="No Deposit"/>
    <n v="6"/>
    <m/>
    <n v="0"/>
    <x v="0"/>
    <x v="235"/>
    <n v="0"/>
    <n v="1"/>
    <x v="1"/>
    <d v="2016-03-11T00:00:00"/>
  </r>
  <r>
    <x v="0"/>
    <x v="1"/>
    <n v="86"/>
    <n v="2016"/>
    <x v="1"/>
    <n v="43"/>
    <n v="20"/>
    <n v="0"/>
    <n v="3"/>
    <n v="4"/>
    <n v="0"/>
    <n v="0"/>
    <s v="BB"/>
    <s v="CHE"/>
    <s v="Online TA"/>
    <x v="0"/>
    <n v="0"/>
    <n v="0"/>
    <n v="0"/>
    <s v="G"/>
    <s v="G"/>
    <n v="1"/>
    <s v="No Deposit"/>
    <n v="7"/>
    <m/>
    <n v="0"/>
    <x v="0"/>
    <x v="236"/>
    <n v="0"/>
    <n v="1"/>
    <x v="1"/>
    <d v="2016-10-23T00:00:00"/>
  </r>
  <r>
    <x v="0"/>
    <x v="0"/>
    <n v="221"/>
    <n v="2016"/>
    <x v="10"/>
    <n v="24"/>
    <n v="10"/>
    <n v="1"/>
    <n v="2"/>
    <n v="2"/>
    <n v="0"/>
    <n v="0"/>
    <s v="BB"/>
    <s v="PRT"/>
    <s v="Offline TA/TO"/>
    <x v="0"/>
    <n v="0"/>
    <n v="1"/>
    <n v="0"/>
    <s v="A"/>
    <s v="A"/>
    <n v="0"/>
    <s v="Non Refund"/>
    <n v="3"/>
    <m/>
    <n v="15"/>
    <x v="0"/>
    <x v="2"/>
    <n v="0"/>
    <n v="0"/>
    <x v="0"/>
    <d v="2015-11-17T00:00:00"/>
  </r>
  <r>
    <x v="1"/>
    <x v="0"/>
    <n v="256"/>
    <n v="2016"/>
    <x v="10"/>
    <n v="25"/>
    <n v="17"/>
    <n v="2"/>
    <n v="7"/>
    <n v="2"/>
    <n v="0"/>
    <n v="0"/>
    <s v="BB"/>
    <s v="PRT"/>
    <s v="Online TA"/>
    <x v="0"/>
    <n v="0"/>
    <n v="0"/>
    <n v="0"/>
    <s v="A"/>
    <s v="A"/>
    <n v="0"/>
    <s v="No Deposit"/>
    <n v="240"/>
    <m/>
    <n v="0"/>
    <x v="0"/>
    <x v="162"/>
    <n v="0"/>
    <n v="1"/>
    <x v="0"/>
    <d v="2015-12-30T00:00:00"/>
  </r>
  <r>
    <x v="1"/>
    <x v="1"/>
    <n v="207"/>
    <n v="2016"/>
    <x v="4"/>
    <n v="33"/>
    <n v="12"/>
    <n v="1"/>
    <n v="2"/>
    <n v="2"/>
    <n v="0"/>
    <n v="0"/>
    <s v="BB"/>
    <s v="PRT"/>
    <s v="Online TA"/>
    <x v="0"/>
    <n v="0"/>
    <n v="0"/>
    <n v="0"/>
    <s v="A"/>
    <s v="D"/>
    <n v="0"/>
    <s v="No Deposit"/>
    <n v="240"/>
    <m/>
    <n v="0"/>
    <x v="0"/>
    <x v="237"/>
    <n v="1"/>
    <n v="0"/>
    <x v="1"/>
    <d v="2016-08-15T00:00:00"/>
  </r>
  <r>
    <x v="1"/>
    <x v="0"/>
    <n v="147"/>
    <n v="2016"/>
    <x v="6"/>
    <n v="14"/>
    <n v="28"/>
    <n v="2"/>
    <n v="5"/>
    <n v="2"/>
    <n v="0"/>
    <n v="0"/>
    <s v="HB"/>
    <s v="PRT"/>
    <s v="Offline TA/TO"/>
    <x v="0"/>
    <n v="0"/>
    <n v="0"/>
    <n v="0"/>
    <s v="E"/>
    <s v="E"/>
    <n v="0"/>
    <s v="No Deposit"/>
    <m/>
    <m/>
    <n v="0"/>
    <x v="1"/>
    <x v="66"/>
    <n v="0"/>
    <n v="0"/>
    <x v="0"/>
    <d v="2016-03-04T00:00:00"/>
  </r>
  <r>
    <x v="1"/>
    <x v="1"/>
    <n v="10"/>
    <n v="2016"/>
    <x v="1"/>
    <n v="42"/>
    <n v="9"/>
    <n v="2"/>
    <n v="0"/>
    <n v="2"/>
    <n v="0"/>
    <n v="0"/>
    <s v="BB"/>
    <s v="GBR"/>
    <s v="Groups"/>
    <x v="1"/>
    <n v="0"/>
    <n v="0"/>
    <n v="0"/>
    <s v="A"/>
    <s v="A"/>
    <n v="0"/>
    <s v="No Deposit"/>
    <m/>
    <m/>
    <n v="0"/>
    <x v="1"/>
    <x v="238"/>
    <n v="0"/>
    <n v="0"/>
    <x v="1"/>
    <d v="2016-10-11T00:00:00"/>
  </r>
  <r>
    <x v="1"/>
    <x v="0"/>
    <n v="32"/>
    <n v="2016"/>
    <x v="11"/>
    <n v="17"/>
    <n v="19"/>
    <n v="2"/>
    <n v="5"/>
    <n v="2"/>
    <n v="0"/>
    <n v="0"/>
    <s v="HB"/>
    <s v="PRT"/>
    <s v="Groups"/>
    <x v="2"/>
    <n v="0"/>
    <n v="0"/>
    <n v="0"/>
    <s v="D"/>
    <s v="D"/>
    <n v="0"/>
    <s v="No Deposit"/>
    <n v="273"/>
    <m/>
    <n v="0"/>
    <x v="1"/>
    <x v="157"/>
    <n v="0"/>
    <n v="0"/>
    <x v="0"/>
    <d v="2016-03-18T00:00:00"/>
  </r>
  <r>
    <x v="1"/>
    <x v="1"/>
    <n v="88"/>
    <n v="2016"/>
    <x v="11"/>
    <n v="16"/>
    <n v="15"/>
    <n v="2"/>
    <n v="5"/>
    <n v="2"/>
    <n v="0"/>
    <n v="0"/>
    <s v="BB"/>
    <s v="FIN"/>
    <s v="Offline TA/TO"/>
    <x v="0"/>
    <n v="0"/>
    <n v="0"/>
    <n v="0"/>
    <s v="D"/>
    <s v="F"/>
    <n v="0"/>
    <s v="No Deposit"/>
    <n v="314"/>
    <m/>
    <n v="0"/>
    <x v="0"/>
    <x v="239"/>
    <n v="1"/>
    <n v="1"/>
    <x v="1"/>
    <d v="2016-04-22T00:00:00"/>
  </r>
  <r>
    <x v="0"/>
    <x v="1"/>
    <n v="320"/>
    <n v="2016"/>
    <x v="4"/>
    <n v="34"/>
    <n v="18"/>
    <n v="0"/>
    <n v="2"/>
    <n v="2"/>
    <n v="0"/>
    <n v="0"/>
    <s v="HB"/>
    <s v="DEU"/>
    <s v="Offline TA/TO"/>
    <x v="0"/>
    <n v="0"/>
    <n v="0"/>
    <n v="0"/>
    <s v="A"/>
    <s v="A"/>
    <n v="0"/>
    <s v="No Deposit"/>
    <n v="6"/>
    <m/>
    <n v="0"/>
    <x v="1"/>
    <x v="42"/>
    <n v="0"/>
    <n v="1"/>
    <x v="1"/>
    <d v="2016-08-20T00:00:00"/>
  </r>
  <r>
    <x v="1"/>
    <x v="1"/>
    <n v="12"/>
    <n v="2016"/>
    <x v="8"/>
    <n v="5"/>
    <n v="30"/>
    <n v="0"/>
    <n v="1"/>
    <n v="1"/>
    <n v="0"/>
    <n v="0"/>
    <s v="BB"/>
    <s v="LTU"/>
    <s v="Offline TA/TO"/>
    <x v="0"/>
    <n v="0"/>
    <n v="0"/>
    <n v="0"/>
    <s v="A"/>
    <s v="D"/>
    <n v="0"/>
    <s v="No Deposit"/>
    <n v="95"/>
    <m/>
    <n v="0"/>
    <x v="0"/>
    <x v="240"/>
    <n v="0"/>
    <n v="0"/>
    <x v="1"/>
    <d v="2016-01-31T00:00:00"/>
  </r>
  <r>
    <x v="1"/>
    <x v="1"/>
    <n v="44"/>
    <n v="2016"/>
    <x v="11"/>
    <n v="15"/>
    <n v="6"/>
    <n v="0"/>
    <n v="4"/>
    <n v="2"/>
    <n v="0"/>
    <n v="0"/>
    <s v="HB"/>
    <s v="PRT"/>
    <s v="Direct"/>
    <x v="2"/>
    <n v="0"/>
    <n v="0"/>
    <n v="0"/>
    <s v="A"/>
    <s v="D"/>
    <n v="0"/>
    <s v="No Deposit"/>
    <n v="250"/>
    <m/>
    <n v="0"/>
    <x v="1"/>
    <x v="93"/>
    <n v="0"/>
    <n v="2"/>
    <x v="1"/>
    <d v="2016-04-10T00:00:00"/>
  </r>
  <r>
    <x v="0"/>
    <x v="0"/>
    <n v="285"/>
    <n v="2016"/>
    <x v="1"/>
    <n v="41"/>
    <n v="3"/>
    <n v="1"/>
    <n v="3"/>
    <n v="2"/>
    <n v="0"/>
    <n v="0"/>
    <s v="BB"/>
    <s v="PRT"/>
    <s v="Offline TA/TO"/>
    <x v="0"/>
    <n v="0"/>
    <n v="0"/>
    <n v="0"/>
    <s v="A"/>
    <s v="A"/>
    <n v="0"/>
    <s v="Non Refund"/>
    <n v="31"/>
    <m/>
    <n v="24"/>
    <x v="0"/>
    <x v="25"/>
    <n v="0"/>
    <n v="0"/>
    <x v="0"/>
    <d v="2016-01-16T00:00:00"/>
  </r>
  <r>
    <x v="0"/>
    <x v="0"/>
    <n v="18"/>
    <n v="2016"/>
    <x v="3"/>
    <n v="53"/>
    <n v="30"/>
    <n v="0"/>
    <n v="2"/>
    <n v="2"/>
    <n v="2"/>
    <n v="0"/>
    <s v="BB"/>
    <s v="PRT"/>
    <s v="Direct"/>
    <x v="2"/>
    <n v="0"/>
    <n v="0"/>
    <n v="0"/>
    <s v="G"/>
    <s v="G"/>
    <n v="0"/>
    <s v="No Deposit"/>
    <m/>
    <m/>
    <n v="0"/>
    <x v="0"/>
    <x v="241"/>
    <n v="0"/>
    <n v="0"/>
    <x v="0"/>
    <d v="2016-12-14T00:00:00"/>
  </r>
  <r>
    <x v="1"/>
    <x v="1"/>
    <n v="5"/>
    <n v="2016"/>
    <x v="6"/>
    <n v="13"/>
    <n v="20"/>
    <n v="2"/>
    <n v="2"/>
    <n v="2"/>
    <n v="0"/>
    <n v="1"/>
    <s v="BB"/>
    <s v="GBR"/>
    <s v="Offline TA/TO"/>
    <x v="0"/>
    <n v="0"/>
    <n v="0"/>
    <n v="0"/>
    <s v="A"/>
    <s v="C"/>
    <n v="1"/>
    <s v="No Deposit"/>
    <n v="171"/>
    <m/>
    <n v="0"/>
    <x v="0"/>
    <x v="242"/>
    <n v="0"/>
    <n v="0"/>
    <x v="1"/>
    <d v="2016-03-24T00:00:00"/>
  </r>
  <r>
    <x v="1"/>
    <x v="1"/>
    <n v="100"/>
    <n v="2016"/>
    <x v="4"/>
    <n v="32"/>
    <n v="6"/>
    <n v="1"/>
    <n v="1"/>
    <n v="2"/>
    <n v="0"/>
    <n v="0"/>
    <s v="BB"/>
    <s v="ESP"/>
    <s v="Online TA"/>
    <x v="0"/>
    <n v="0"/>
    <n v="0"/>
    <n v="0"/>
    <s v="A"/>
    <s v="A"/>
    <n v="0"/>
    <s v="No Deposit"/>
    <n v="240"/>
    <m/>
    <n v="0"/>
    <x v="0"/>
    <x v="243"/>
    <n v="1"/>
    <n v="0"/>
    <x v="1"/>
    <d v="2016-08-08T00:00:00"/>
  </r>
  <r>
    <x v="0"/>
    <x v="0"/>
    <n v="20"/>
    <n v="2016"/>
    <x v="6"/>
    <n v="14"/>
    <n v="31"/>
    <n v="0"/>
    <n v="2"/>
    <n v="1"/>
    <n v="0"/>
    <n v="0"/>
    <s v="BB"/>
    <s v="PRT"/>
    <s v="Corporate"/>
    <x v="1"/>
    <n v="0"/>
    <n v="0"/>
    <n v="0"/>
    <s v="A"/>
    <s v="A"/>
    <n v="2"/>
    <s v="No Deposit"/>
    <m/>
    <n v="179"/>
    <n v="0"/>
    <x v="0"/>
    <x v="97"/>
    <n v="0"/>
    <n v="0"/>
    <x v="0"/>
    <d v="2016-03-23T00:00:00"/>
  </r>
  <r>
    <x v="0"/>
    <x v="0"/>
    <n v="78"/>
    <n v="2016"/>
    <x v="11"/>
    <n v="15"/>
    <n v="5"/>
    <n v="0"/>
    <n v="4"/>
    <n v="2"/>
    <n v="0"/>
    <n v="0"/>
    <s v="BB"/>
    <s v="HUN"/>
    <s v="Online TA"/>
    <x v="0"/>
    <n v="0"/>
    <n v="0"/>
    <n v="0"/>
    <s v="D"/>
    <s v="D"/>
    <n v="0"/>
    <s v="No Deposit"/>
    <n v="9"/>
    <m/>
    <n v="0"/>
    <x v="0"/>
    <x v="145"/>
    <n v="0"/>
    <n v="0"/>
    <x v="0"/>
    <d v="2016-03-18T00:00:00"/>
  </r>
  <r>
    <x v="1"/>
    <x v="1"/>
    <n v="342"/>
    <n v="2016"/>
    <x v="2"/>
    <n v="40"/>
    <n v="29"/>
    <n v="2"/>
    <n v="4"/>
    <n v="1"/>
    <n v="0"/>
    <n v="0"/>
    <s v="BB"/>
    <s v="IRL"/>
    <s v="Groups"/>
    <x v="0"/>
    <n v="0"/>
    <n v="0"/>
    <n v="0"/>
    <s v="A"/>
    <s v="A"/>
    <n v="0"/>
    <s v="No Deposit"/>
    <n v="201"/>
    <m/>
    <n v="0"/>
    <x v="1"/>
    <x v="91"/>
    <n v="0"/>
    <n v="0"/>
    <x v="1"/>
    <d v="2016-10-05T00:00:00"/>
  </r>
  <r>
    <x v="1"/>
    <x v="1"/>
    <n v="53"/>
    <n v="2016"/>
    <x v="2"/>
    <n v="39"/>
    <n v="23"/>
    <n v="1"/>
    <n v="2"/>
    <n v="2"/>
    <n v="0"/>
    <n v="0"/>
    <s v="BB"/>
    <s v="IRL"/>
    <s v="Online TA"/>
    <x v="0"/>
    <n v="0"/>
    <n v="0"/>
    <n v="0"/>
    <s v="E"/>
    <s v="E"/>
    <n v="0"/>
    <s v="No Deposit"/>
    <n v="240"/>
    <m/>
    <n v="0"/>
    <x v="0"/>
    <x v="244"/>
    <n v="0"/>
    <n v="3"/>
    <x v="1"/>
    <d v="2016-09-26T00:00:00"/>
  </r>
  <r>
    <x v="0"/>
    <x v="0"/>
    <n v="77"/>
    <n v="2016"/>
    <x v="6"/>
    <n v="13"/>
    <n v="26"/>
    <n v="2"/>
    <n v="5"/>
    <n v="2"/>
    <n v="0"/>
    <n v="0"/>
    <s v="BB"/>
    <s v="FRA"/>
    <s v="Online TA"/>
    <x v="0"/>
    <n v="0"/>
    <n v="0"/>
    <n v="0"/>
    <s v="D"/>
    <s v="D"/>
    <n v="0"/>
    <s v="No Deposit"/>
    <n v="9"/>
    <m/>
    <n v="0"/>
    <x v="0"/>
    <x v="77"/>
    <n v="0"/>
    <n v="0"/>
    <x v="0"/>
    <d v="2016-01-09T00:00:00"/>
  </r>
  <r>
    <x v="0"/>
    <x v="0"/>
    <n v="41"/>
    <n v="2016"/>
    <x v="2"/>
    <n v="39"/>
    <n v="18"/>
    <n v="2"/>
    <n v="1"/>
    <n v="2"/>
    <n v="0"/>
    <n v="0"/>
    <s v="BB"/>
    <s v="GBR"/>
    <s v="Online TA"/>
    <x v="0"/>
    <n v="0"/>
    <n v="0"/>
    <n v="0"/>
    <s v="D"/>
    <s v="D"/>
    <n v="0"/>
    <s v="No Deposit"/>
    <n v="9"/>
    <m/>
    <n v="0"/>
    <x v="0"/>
    <x v="203"/>
    <n v="0"/>
    <n v="1"/>
    <x v="0"/>
    <d v="2016-08-15T00:00:00"/>
  </r>
  <r>
    <x v="0"/>
    <x v="1"/>
    <n v="6"/>
    <n v="2016"/>
    <x v="7"/>
    <n v="20"/>
    <n v="9"/>
    <n v="1"/>
    <n v="1"/>
    <n v="2"/>
    <n v="0"/>
    <n v="0"/>
    <s v="BB"/>
    <s v="NLD"/>
    <s v="Online TA"/>
    <x v="0"/>
    <n v="0"/>
    <n v="0"/>
    <n v="0"/>
    <s v="D"/>
    <s v="D"/>
    <n v="0"/>
    <s v="No Deposit"/>
    <n v="9"/>
    <m/>
    <n v="0"/>
    <x v="0"/>
    <x v="128"/>
    <n v="0"/>
    <n v="1"/>
    <x v="1"/>
    <d v="2016-05-11T00:00:00"/>
  </r>
  <r>
    <x v="0"/>
    <x v="0"/>
    <n v="50"/>
    <n v="2016"/>
    <x v="8"/>
    <n v="5"/>
    <n v="29"/>
    <n v="1"/>
    <n v="2"/>
    <n v="1"/>
    <n v="0"/>
    <n v="0"/>
    <s v="BB"/>
    <s v="TUR"/>
    <s v="Online TA"/>
    <x v="0"/>
    <n v="0"/>
    <n v="0"/>
    <n v="0"/>
    <s v="A"/>
    <s v="A"/>
    <n v="0"/>
    <s v="No Deposit"/>
    <n v="9"/>
    <m/>
    <n v="0"/>
    <x v="0"/>
    <x v="245"/>
    <n v="0"/>
    <n v="0"/>
    <x v="0"/>
    <d v="2015-12-23T00:00:00"/>
  </r>
  <r>
    <x v="0"/>
    <x v="0"/>
    <n v="24"/>
    <n v="2016"/>
    <x v="9"/>
    <n v="9"/>
    <n v="22"/>
    <n v="1"/>
    <n v="2"/>
    <n v="2"/>
    <n v="0"/>
    <n v="0"/>
    <s v="BB"/>
    <s v="PRT"/>
    <s v="Offline TA/TO"/>
    <x v="0"/>
    <n v="0"/>
    <n v="0"/>
    <n v="0"/>
    <s v="A"/>
    <s v="A"/>
    <n v="0"/>
    <s v="No Deposit"/>
    <n v="86"/>
    <m/>
    <n v="0"/>
    <x v="0"/>
    <x v="194"/>
    <n v="0"/>
    <n v="0"/>
    <x v="0"/>
    <d v="2016-02-01T00:00:00"/>
  </r>
  <r>
    <x v="1"/>
    <x v="1"/>
    <n v="31"/>
    <n v="2016"/>
    <x v="11"/>
    <n v="16"/>
    <n v="16"/>
    <n v="2"/>
    <n v="5"/>
    <n v="2"/>
    <n v="0"/>
    <n v="0"/>
    <s v="BB"/>
    <s v="GBR"/>
    <s v="Offline TA/TO"/>
    <x v="0"/>
    <n v="0"/>
    <n v="0"/>
    <n v="0"/>
    <s v="A"/>
    <s v="A"/>
    <n v="0"/>
    <s v="No Deposit"/>
    <n v="6"/>
    <m/>
    <n v="0"/>
    <x v="0"/>
    <x v="242"/>
    <n v="0"/>
    <n v="0"/>
    <x v="1"/>
    <d v="2016-04-23T00:00:00"/>
  </r>
  <r>
    <x v="1"/>
    <x v="1"/>
    <n v="3"/>
    <n v="2016"/>
    <x v="6"/>
    <n v="10"/>
    <n v="4"/>
    <n v="2"/>
    <n v="3"/>
    <n v="2"/>
    <n v="0"/>
    <n v="0"/>
    <s v="BB"/>
    <s v="ESP"/>
    <s v="Online TA"/>
    <x v="0"/>
    <n v="0"/>
    <n v="0"/>
    <n v="0"/>
    <s v="D"/>
    <s v="D"/>
    <n v="2"/>
    <s v="No Deposit"/>
    <n v="240"/>
    <m/>
    <n v="0"/>
    <x v="0"/>
    <x v="107"/>
    <n v="0"/>
    <n v="1"/>
    <x v="1"/>
    <d v="2016-03-09T00:00:00"/>
  </r>
  <r>
    <x v="0"/>
    <x v="0"/>
    <n v="150"/>
    <n v="2016"/>
    <x v="1"/>
    <n v="41"/>
    <n v="3"/>
    <n v="1"/>
    <n v="2"/>
    <n v="2"/>
    <n v="1"/>
    <n v="0"/>
    <s v="BB"/>
    <s v="BRA"/>
    <s v="Online TA"/>
    <x v="0"/>
    <n v="0"/>
    <n v="0"/>
    <n v="0"/>
    <s v="A"/>
    <s v="A"/>
    <n v="0"/>
    <s v="No Deposit"/>
    <n v="9"/>
    <m/>
    <n v="0"/>
    <x v="0"/>
    <x v="246"/>
    <n v="0"/>
    <n v="0"/>
    <x v="0"/>
    <d v="2016-05-24T00:00:00"/>
  </r>
  <r>
    <x v="0"/>
    <x v="1"/>
    <n v="159"/>
    <n v="2016"/>
    <x v="7"/>
    <n v="22"/>
    <n v="26"/>
    <n v="0"/>
    <n v="3"/>
    <n v="2"/>
    <n v="1"/>
    <n v="0"/>
    <s v="BB"/>
    <s v="PRT"/>
    <s v="Online TA"/>
    <x v="0"/>
    <n v="0"/>
    <n v="0"/>
    <n v="0"/>
    <s v="A"/>
    <s v="D"/>
    <n v="7"/>
    <s v="No Deposit"/>
    <n v="9"/>
    <m/>
    <n v="0"/>
    <x v="0"/>
    <x v="247"/>
    <n v="0"/>
    <n v="1"/>
    <x v="1"/>
    <d v="2016-05-29T00:00:00"/>
  </r>
  <r>
    <x v="1"/>
    <x v="1"/>
    <n v="73"/>
    <n v="2016"/>
    <x v="5"/>
    <n v="46"/>
    <n v="12"/>
    <n v="0"/>
    <n v="1"/>
    <n v="2"/>
    <n v="0"/>
    <n v="0"/>
    <s v="BB"/>
    <s v="PRT"/>
    <s v="Online TA"/>
    <x v="0"/>
    <n v="0"/>
    <n v="0"/>
    <n v="0"/>
    <s v="A"/>
    <s v="D"/>
    <n v="0"/>
    <s v="No Deposit"/>
    <n v="240"/>
    <m/>
    <n v="0"/>
    <x v="0"/>
    <x v="222"/>
    <n v="0"/>
    <n v="1"/>
    <x v="1"/>
    <d v="2016-11-13T00:00:00"/>
  </r>
  <r>
    <x v="0"/>
    <x v="0"/>
    <n v="39"/>
    <n v="2016"/>
    <x v="6"/>
    <n v="11"/>
    <n v="6"/>
    <n v="2"/>
    <n v="3"/>
    <n v="2"/>
    <n v="0"/>
    <n v="0"/>
    <s v="BB"/>
    <s v="ITA"/>
    <s v="Online TA"/>
    <x v="0"/>
    <n v="0"/>
    <n v="0"/>
    <n v="0"/>
    <s v="A"/>
    <s v="A"/>
    <n v="0"/>
    <s v="No Deposit"/>
    <n v="9"/>
    <m/>
    <n v="0"/>
    <x v="0"/>
    <x v="204"/>
    <n v="0"/>
    <n v="1"/>
    <x v="0"/>
    <d v="2016-01-29T00:00:00"/>
  </r>
  <r>
    <x v="0"/>
    <x v="1"/>
    <n v="147"/>
    <n v="2016"/>
    <x v="0"/>
    <n v="30"/>
    <n v="22"/>
    <n v="1"/>
    <n v="2"/>
    <n v="2"/>
    <n v="1"/>
    <n v="0"/>
    <s v="BB"/>
    <s v="GBR"/>
    <s v="Offline TA/TO"/>
    <x v="0"/>
    <n v="0"/>
    <n v="0"/>
    <n v="0"/>
    <s v="A"/>
    <s v="D"/>
    <n v="0"/>
    <s v="No Deposit"/>
    <n v="22"/>
    <m/>
    <n v="0"/>
    <x v="0"/>
    <x v="248"/>
    <n v="0"/>
    <n v="1"/>
    <x v="1"/>
    <d v="2016-07-25T00:00:00"/>
  </r>
  <r>
    <x v="1"/>
    <x v="1"/>
    <n v="94"/>
    <n v="2016"/>
    <x v="10"/>
    <n v="24"/>
    <n v="10"/>
    <n v="0"/>
    <n v="2"/>
    <n v="3"/>
    <n v="0"/>
    <n v="0"/>
    <s v="BB"/>
    <s v="PRT"/>
    <s v="Online TA"/>
    <x v="0"/>
    <n v="0"/>
    <n v="0"/>
    <n v="0"/>
    <s v="A"/>
    <s v="A"/>
    <n v="6"/>
    <s v="No Deposit"/>
    <n v="240"/>
    <m/>
    <n v="0"/>
    <x v="1"/>
    <x v="249"/>
    <n v="1"/>
    <n v="0"/>
    <x v="1"/>
    <d v="2016-06-12T00:00:00"/>
  </r>
  <r>
    <x v="1"/>
    <x v="1"/>
    <n v="237"/>
    <n v="2016"/>
    <x v="3"/>
    <n v="53"/>
    <n v="29"/>
    <n v="2"/>
    <n v="6"/>
    <n v="2"/>
    <n v="0"/>
    <n v="0"/>
    <s v="BB"/>
    <s v="ITA"/>
    <s v="Online TA"/>
    <x v="0"/>
    <n v="0"/>
    <n v="0"/>
    <n v="0"/>
    <s v="D"/>
    <s v="D"/>
    <n v="1"/>
    <s v="No Deposit"/>
    <n v="240"/>
    <m/>
    <n v="0"/>
    <x v="0"/>
    <x v="250"/>
    <n v="0"/>
    <n v="2"/>
    <x v="1"/>
    <d v="2017-01-06T00:00:00"/>
  </r>
  <r>
    <x v="0"/>
    <x v="0"/>
    <n v="31"/>
    <n v="2016"/>
    <x v="11"/>
    <n v="14"/>
    <n v="2"/>
    <n v="0"/>
    <n v="1"/>
    <n v="2"/>
    <n v="0"/>
    <n v="0"/>
    <s v="BB"/>
    <s v="PRT"/>
    <s v="Online TA"/>
    <x v="0"/>
    <n v="0"/>
    <n v="0"/>
    <n v="0"/>
    <s v="A"/>
    <s v="A"/>
    <n v="0"/>
    <s v="No Deposit"/>
    <n v="9"/>
    <m/>
    <n v="0"/>
    <x v="0"/>
    <x v="161"/>
    <n v="0"/>
    <n v="0"/>
    <x v="0"/>
    <d v="2016-03-06T00:00:00"/>
  </r>
  <r>
    <x v="1"/>
    <x v="1"/>
    <n v="287"/>
    <n v="2016"/>
    <x v="2"/>
    <n v="37"/>
    <n v="5"/>
    <n v="2"/>
    <n v="5"/>
    <n v="2"/>
    <n v="0"/>
    <n v="0"/>
    <s v="BB"/>
    <s v="GBR"/>
    <s v="Groups"/>
    <x v="0"/>
    <n v="0"/>
    <n v="0"/>
    <n v="0"/>
    <s v="A"/>
    <s v="A"/>
    <n v="0"/>
    <s v="Refundable"/>
    <n v="418"/>
    <m/>
    <n v="0"/>
    <x v="1"/>
    <x v="251"/>
    <n v="0"/>
    <n v="0"/>
    <x v="1"/>
    <d v="2016-09-12T00:00:00"/>
  </r>
  <r>
    <x v="1"/>
    <x v="1"/>
    <n v="2"/>
    <n v="2016"/>
    <x v="9"/>
    <n v="6"/>
    <n v="6"/>
    <n v="0"/>
    <n v="1"/>
    <n v="2"/>
    <n v="0"/>
    <n v="0"/>
    <s v="BB"/>
    <s v="PRT"/>
    <s v="Direct"/>
    <x v="2"/>
    <n v="0"/>
    <n v="0"/>
    <n v="0"/>
    <s v="E"/>
    <s v="F"/>
    <n v="0"/>
    <s v="No Deposit"/>
    <m/>
    <m/>
    <n v="0"/>
    <x v="1"/>
    <x v="107"/>
    <n v="0"/>
    <n v="0"/>
    <x v="1"/>
    <d v="2016-02-07T00:00:00"/>
  </r>
  <r>
    <x v="0"/>
    <x v="0"/>
    <n v="54"/>
    <n v="2016"/>
    <x v="6"/>
    <n v="12"/>
    <n v="18"/>
    <n v="1"/>
    <n v="2"/>
    <n v="2"/>
    <n v="0"/>
    <n v="0"/>
    <s v="SC"/>
    <s v="POL"/>
    <s v="Online TA"/>
    <x v="0"/>
    <n v="0"/>
    <n v="0"/>
    <n v="0"/>
    <s v="A"/>
    <s v="A"/>
    <n v="0"/>
    <s v="No Deposit"/>
    <n v="9"/>
    <m/>
    <n v="0"/>
    <x v="0"/>
    <x v="252"/>
    <n v="0"/>
    <n v="0"/>
    <x v="0"/>
    <d v="2016-02-13T00:00:00"/>
  </r>
  <r>
    <x v="1"/>
    <x v="1"/>
    <n v="0"/>
    <n v="2016"/>
    <x v="1"/>
    <n v="43"/>
    <n v="19"/>
    <n v="0"/>
    <n v="1"/>
    <n v="2"/>
    <n v="1"/>
    <n v="0"/>
    <s v="BB"/>
    <s v="PRT"/>
    <s v="Direct"/>
    <x v="2"/>
    <n v="0"/>
    <n v="0"/>
    <n v="0"/>
    <s v="A"/>
    <s v="A"/>
    <n v="0"/>
    <s v="No Deposit"/>
    <m/>
    <m/>
    <n v="0"/>
    <x v="0"/>
    <x v="89"/>
    <n v="1"/>
    <n v="1"/>
    <x v="1"/>
    <d v="2016-10-20T00:00:00"/>
  </r>
  <r>
    <x v="0"/>
    <x v="1"/>
    <n v="14"/>
    <n v="2016"/>
    <x v="5"/>
    <n v="49"/>
    <n v="28"/>
    <n v="1"/>
    <n v="2"/>
    <n v="2"/>
    <n v="0"/>
    <n v="0"/>
    <s v="BB"/>
    <s v="FRA"/>
    <s v="Offline TA/TO"/>
    <x v="0"/>
    <n v="0"/>
    <n v="0"/>
    <n v="0"/>
    <s v="A"/>
    <s v="A"/>
    <n v="0"/>
    <s v="No Deposit"/>
    <n v="28"/>
    <m/>
    <n v="0"/>
    <x v="0"/>
    <x v="2"/>
    <n v="0"/>
    <n v="0"/>
    <x v="1"/>
    <d v="2016-12-01T00:00:00"/>
  </r>
  <r>
    <x v="1"/>
    <x v="1"/>
    <n v="0"/>
    <n v="2016"/>
    <x v="6"/>
    <n v="12"/>
    <n v="14"/>
    <n v="1"/>
    <n v="0"/>
    <n v="1"/>
    <n v="0"/>
    <n v="0"/>
    <s v="BB"/>
    <s v="PRT"/>
    <s v="Direct"/>
    <x v="2"/>
    <n v="0"/>
    <n v="0"/>
    <n v="0"/>
    <s v="A"/>
    <s v="D"/>
    <n v="0"/>
    <s v="No Deposit"/>
    <m/>
    <n v="47"/>
    <n v="0"/>
    <x v="0"/>
    <x v="253"/>
    <n v="0"/>
    <n v="0"/>
    <x v="1"/>
    <d v="2016-03-15T00:00:00"/>
  </r>
  <r>
    <x v="0"/>
    <x v="1"/>
    <n v="135"/>
    <n v="2016"/>
    <x v="4"/>
    <n v="32"/>
    <n v="2"/>
    <n v="0"/>
    <n v="2"/>
    <n v="2"/>
    <n v="1"/>
    <n v="0"/>
    <s v="BB"/>
    <s v="PRT"/>
    <s v="Online TA"/>
    <x v="0"/>
    <n v="0"/>
    <n v="0"/>
    <n v="0"/>
    <s v="A"/>
    <s v="A"/>
    <n v="0"/>
    <s v="No Deposit"/>
    <n v="9"/>
    <m/>
    <n v="0"/>
    <x v="0"/>
    <x v="254"/>
    <n v="1"/>
    <n v="0"/>
    <x v="1"/>
    <d v="2016-08-04T00:00:00"/>
  </r>
  <r>
    <x v="0"/>
    <x v="0"/>
    <n v="451"/>
    <n v="2016"/>
    <x v="7"/>
    <n v="21"/>
    <n v="16"/>
    <n v="1"/>
    <n v="2"/>
    <n v="2"/>
    <n v="0"/>
    <n v="0"/>
    <s v="BB"/>
    <s v="PRT"/>
    <s v="Groups"/>
    <x v="0"/>
    <n v="0"/>
    <n v="0"/>
    <n v="0"/>
    <s v="A"/>
    <s v="A"/>
    <n v="0"/>
    <s v="Non Refund"/>
    <n v="1"/>
    <m/>
    <n v="0"/>
    <x v="0"/>
    <x v="4"/>
    <n v="0"/>
    <n v="0"/>
    <x v="0"/>
    <d v="2016-03-14T00:00:00"/>
  </r>
  <r>
    <x v="1"/>
    <x v="1"/>
    <n v="14"/>
    <n v="2016"/>
    <x v="6"/>
    <n v="12"/>
    <n v="19"/>
    <n v="2"/>
    <n v="3"/>
    <n v="2"/>
    <n v="0"/>
    <n v="0"/>
    <s v="Undefined"/>
    <s v="ESP"/>
    <s v="Offline TA/TO"/>
    <x v="0"/>
    <n v="0"/>
    <n v="0"/>
    <n v="0"/>
    <s v="A"/>
    <s v="A"/>
    <n v="1"/>
    <s v="No Deposit"/>
    <n v="196"/>
    <m/>
    <n v="0"/>
    <x v="0"/>
    <x v="107"/>
    <n v="0"/>
    <n v="0"/>
    <x v="1"/>
    <d v="2016-03-24T00:00:00"/>
  </r>
  <r>
    <x v="1"/>
    <x v="1"/>
    <n v="83"/>
    <n v="2016"/>
    <x v="0"/>
    <n v="31"/>
    <n v="25"/>
    <n v="3"/>
    <n v="5"/>
    <n v="1"/>
    <n v="0"/>
    <n v="0"/>
    <s v="BB"/>
    <s v="GBR"/>
    <s v="Groups"/>
    <x v="1"/>
    <n v="0"/>
    <n v="0"/>
    <n v="0"/>
    <s v="A"/>
    <s v="I"/>
    <n v="1"/>
    <s v="No Deposit"/>
    <n v="307"/>
    <m/>
    <n v="0"/>
    <x v="1"/>
    <x v="212"/>
    <n v="0"/>
    <n v="0"/>
    <x v="1"/>
    <d v="2016-08-02T00:00:00"/>
  </r>
  <r>
    <x v="0"/>
    <x v="1"/>
    <n v="195"/>
    <n v="2016"/>
    <x v="0"/>
    <n v="30"/>
    <n v="21"/>
    <n v="2"/>
    <n v="5"/>
    <n v="2"/>
    <n v="0"/>
    <n v="0"/>
    <s v="BB"/>
    <s v="NOR"/>
    <s v="Online TA"/>
    <x v="0"/>
    <n v="0"/>
    <n v="0"/>
    <n v="0"/>
    <s v="A"/>
    <s v="A"/>
    <n v="0"/>
    <s v="No Deposit"/>
    <n v="9"/>
    <m/>
    <n v="0"/>
    <x v="0"/>
    <x v="36"/>
    <n v="0"/>
    <n v="1"/>
    <x v="1"/>
    <d v="2016-07-28T00:00:00"/>
  </r>
  <r>
    <x v="0"/>
    <x v="0"/>
    <n v="104"/>
    <n v="2016"/>
    <x v="1"/>
    <n v="42"/>
    <n v="9"/>
    <n v="1"/>
    <n v="0"/>
    <n v="2"/>
    <n v="0"/>
    <n v="0"/>
    <s v="SC"/>
    <s v="FRA"/>
    <s v="Online TA"/>
    <x v="0"/>
    <n v="0"/>
    <n v="0"/>
    <n v="0"/>
    <s v="A"/>
    <s v="A"/>
    <n v="0"/>
    <s v="No Deposit"/>
    <n v="9"/>
    <m/>
    <n v="0"/>
    <x v="0"/>
    <x v="63"/>
    <n v="0"/>
    <n v="1"/>
    <x v="0"/>
    <d v="2016-10-08T00:00:00"/>
  </r>
  <r>
    <x v="0"/>
    <x v="0"/>
    <n v="65"/>
    <n v="2016"/>
    <x v="2"/>
    <n v="37"/>
    <n v="9"/>
    <n v="0"/>
    <n v="2"/>
    <n v="2"/>
    <n v="0"/>
    <n v="0"/>
    <s v="BB"/>
    <s v="FRA"/>
    <s v="Online TA"/>
    <x v="0"/>
    <n v="0"/>
    <n v="0"/>
    <n v="0"/>
    <s v="D"/>
    <s v="D"/>
    <n v="0"/>
    <s v="No Deposit"/>
    <n v="9"/>
    <m/>
    <n v="0"/>
    <x v="0"/>
    <x v="203"/>
    <n v="0"/>
    <n v="1"/>
    <x v="0"/>
    <d v="2016-09-05T00:00:00"/>
  </r>
  <r>
    <x v="0"/>
    <x v="1"/>
    <n v="98"/>
    <n v="2016"/>
    <x v="6"/>
    <n v="12"/>
    <n v="17"/>
    <n v="2"/>
    <n v="3"/>
    <n v="2"/>
    <n v="0"/>
    <n v="0"/>
    <s v="BB"/>
    <s v="ITA"/>
    <s v="Online TA"/>
    <x v="0"/>
    <n v="0"/>
    <n v="0"/>
    <n v="0"/>
    <s v="A"/>
    <s v="A"/>
    <n v="0"/>
    <s v="No Deposit"/>
    <n v="9"/>
    <m/>
    <n v="0"/>
    <x v="0"/>
    <x v="255"/>
    <n v="0"/>
    <n v="0"/>
    <x v="1"/>
    <d v="2016-03-22T00:00:00"/>
  </r>
  <r>
    <x v="0"/>
    <x v="1"/>
    <n v="117"/>
    <n v="2016"/>
    <x v="5"/>
    <n v="47"/>
    <n v="13"/>
    <n v="2"/>
    <n v="0"/>
    <n v="2"/>
    <n v="0"/>
    <n v="0"/>
    <s v="SC"/>
    <s v="CHE"/>
    <s v="Online TA"/>
    <x v="0"/>
    <n v="0"/>
    <n v="0"/>
    <n v="0"/>
    <s v="A"/>
    <s v="A"/>
    <n v="0"/>
    <s v="No Deposit"/>
    <n v="9"/>
    <m/>
    <n v="0"/>
    <x v="0"/>
    <x v="210"/>
    <n v="0"/>
    <n v="0"/>
    <x v="1"/>
    <d v="2016-11-15T00:00:00"/>
  </r>
  <r>
    <x v="0"/>
    <x v="1"/>
    <n v="68"/>
    <n v="2016"/>
    <x v="9"/>
    <n v="8"/>
    <n v="20"/>
    <n v="2"/>
    <n v="5"/>
    <n v="2"/>
    <n v="0"/>
    <n v="0"/>
    <s v="BB"/>
    <s v="DEU"/>
    <s v="Offline TA/TO"/>
    <x v="0"/>
    <n v="0"/>
    <n v="0"/>
    <n v="0"/>
    <s v="A"/>
    <s v="A"/>
    <n v="0"/>
    <s v="No Deposit"/>
    <n v="27"/>
    <m/>
    <n v="0"/>
    <x v="0"/>
    <x v="256"/>
    <n v="0"/>
    <n v="0"/>
    <x v="1"/>
    <d v="2016-02-27T00:00:00"/>
  </r>
  <r>
    <x v="0"/>
    <x v="1"/>
    <n v="4"/>
    <n v="2016"/>
    <x v="9"/>
    <n v="8"/>
    <n v="16"/>
    <n v="0"/>
    <n v="3"/>
    <n v="1"/>
    <n v="0"/>
    <n v="0"/>
    <s v="BB"/>
    <s v="PRT"/>
    <s v="Corporate"/>
    <x v="1"/>
    <n v="1"/>
    <n v="0"/>
    <n v="5"/>
    <s v="A"/>
    <s v="A"/>
    <n v="0"/>
    <s v="No Deposit"/>
    <m/>
    <n v="40"/>
    <n v="0"/>
    <x v="0"/>
    <x v="9"/>
    <n v="0"/>
    <n v="1"/>
    <x v="1"/>
    <d v="2016-02-19T00:00:00"/>
  </r>
  <r>
    <x v="0"/>
    <x v="1"/>
    <n v="50"/>
    <n v="2016"/>
    <x v="6"/>
    <n v="14"/>
    <n v="31"/>
    <n v="0"/>
    <n v="3"/>
    <n v="2"/>
    <n v="0"/>
    <n v="0"/>
    <s v="BB"/>
    <s v="PRT"/>
    <s v="Groups"/>
    <x v="0"/>
    <n v="0"/>
    <n v="0"/>
    <n v="0"/>
    <s v="A"/>
    <s v="A"/>
    <n v="0"/>
    <s v="No Deposit"/>
    <n v="1"/>
    <m/>
    <n v="0"/>
    <x v="1"/>
    <x v="9"/>
    <n v="0"/>
    <n v="0"/>
    <x v="1"/>
    <d v="2016-04-03T00:00:00"/>
  </r>
  <r>
    <x v="0"/>
    <x v="1"/>
    <n v="56"/>
    <n v="2016"/>
    <x v="5"/>
    <n v="48"/>
    <n v="22"/>
    <n v="0"/>
    <n v="4"/>
    <n v="3"/>
    <n v="0"/>
    <n v="0"/>
    <s v="BB"/>
    <s v="ITA"/>
    <s v="Online TA"/>
    <x v="0"/>
    <n v="0"/>
    <n v="0"/>
    <n v="0"/>
    <s v="D"/>
    <s v="D"/>
    <n v="0"/>
    <s v="No Deposit"/>
    <n v="9"/>
    <m/>
    <n v="0"/>
    <x v="0"/>
    <x v="221"/>
    <n v="0"/>
    <n v="2"/>
    <x v="1"/>
    <d v="2016-11-26T00:00:00"/>
  </r>
  <r>
    <x v="0"/>
    <x v="0"/>
    <n v="102"/>
    <n v="2016"/>
    <x v="1"/>
    <n v="42"/>
    <n v="9"/>
    <n v="1"/>
    <n v="0"/>
    <n v="2"/>
    <n v="0"/>
    <n v="0"/>
    <s v="SC"/>
    <s v="FRA"/>
    <s v="Online TA"/>
    <x v="0"/>
    <n v="0"/>
    <n v="0"/>
    <n v="0"/>
    <s v="A"/>
    <s v="A"/>
    <n v="0"/>
    <s v="No Deposit"/>
    <n v="9"/>
    <m/>
    <n v="0"/>
    <x v="0"/>
    <x v="63"/>
    <n v="0"/>
    <n v="1"/>
    <x v="0"/>
    <d v="2016-10-08T00:00:00"/>
  </r>
  <r>
    <x v="1"/>
    <x v="1"/>
    <n v="0"/>
    <n v="2016"/>
    <x v="1"/>
    <n v="44"/>
    <n v="28"/>
    <n v="0"/>
    <n v="1"/>
    <n v="2"/>
    <n v="0"/>
    <n v="0"/>
    <s v="BB"/>
    <s v="IRL"/>
    <s v="Direct"/>
    <x v="2"/>
    <n v="1"/>
    <n v="0"/>
    <n v="0"/>
    <s v="D"/>
    <s v="D"/>
    <n v="0"/>
    <s v="No Deposit"/>
    <m/>
    <m/>
    <n v="0"/>
    <x v="0"/>
    <x v="134"/>
    <n v="0"/>
    <n v="1"/>
    <x v="1"/>
    <d v="2016-10-29T00:00:00"/>
  </r>
  <r>
    <x v="0"/>
    <x v="1"/>
    <n v="39"/>
    <n v="2016"/>
    <x v="2"/>
    <n v="38"/>
    <n v="16"/>
    <n v="1"/>
    <n v="2"/>
    <n v="2"/>
    <n v="2"/>
    <n v="0"/>
    <s v="BB"/>
    <s v="DNK"/>
    <s v="Direct"/>
    <x v="2"/>
    <n v="0"/>
    <n v="0"/>
    <n v="0"/>
    <s v="G"/>
    <s v="G"/>
    <n v="0"/>
    <s v="No Deposit"/>
    <n v="14"/>
    <m/>
    <n v="0"/>
    <x v="0"/>
    <x v="257"/>
    <n v="0"/>
    <n v="2"/>
    <x v="1"/>
    <d v="2016-09-19T00:00:00"/>
  </r>
  <r>
    <x v="1"/>
    <x v="1"/>
    <n v="12"/>
    <n v="2016"/>
    <x v="11"/>
    <n v="18"/>
    <n v="27"/>
    <n v="0"/>
    <n v="3"/>
    <n v="2"/>
    <n v="0"/>
    <n v="0"/>
    <s v="Undefined"/>
    <s v="PRT"/>
    <s v="Groups"/>
    <x v="2"/>
    <n v="0"/>
    <n v="0"/>
    <n v="0"/>
    <s v="A"/>
    <s v="A"/>
    <n v="1"/>
    <s v="No Deposit"/>
    <n v="385"/>
    <m/>
    <n v="0"/>
    <x v="1"/>
    <x v="258"/>
    <n v="0"/>
    <n v="0"/>
    <x v="1"/>
    <d v="2016-04-30T00:00:00"/>
  </r>
  <r>
    <x v="1"/>
    <x v="1"/>
    <n v="9"/>
    <n v="2016"/>
    <x v="8"/>
    <n v="4"/>
    <n v="17"/>
    <n v="1"/>
    <n v="0"/>
    <n v="2"/>
    <n v="0"/>
    <n v="0"/>
    <s v="BB"/>
    <s v="GBR"/>
    <s v="Online TA"/>
    <x v="0"/>
    <n v="0"/>
    <n v="0"/>
    <n v="0"/>
    <s v="G"/>
    <s v="G"/>
    <n v="0"/>
    <s v="No Deposit"/>
    <n v="240"/>
    <m/>
    <n v="0"/>
    <x v="0"/>
    <x v="259"/>
    <n v="0"/>
    <n v="1"/>
    <x v="1"/>
    <d v="2016-01-18T00:00:00"/>
  </r>
  <r>
    <x v="0"/>
    <x v="0"/>
    <n v="288"/>
    <n v="2016"/>
    <x v="11"/>
    <n v="17"/>
    <n v="21"/>
    <n v="0"/>
    <n v="2"/>
    <n v="2"/>
    <n v="0"/>
    <n v="0"/>
    <s v="BB"/>
    <s v="PRT"/>
    <s v="Groups"/>
    <x v="0"/>
    <n v="0"/>
    <n v="0"/>
    <n v="0"/>
    <s v="A"/>
    <s v="A"/>
    <n v="0"/>
    <s v="Non Refund"/>
    <n v="1"/>
    <m/>
    <n v="0"/>
    <x v="0"/>
    <x v="6"/>
    <n v="0"/>
    <n v="0"/>
    <x v="0"/>
    <d v="2015-10-21T00:00:00"/>
  </r>
  <r>
    <x v="0"/>
    <x v="1"/>
    <n v="198"/>
    <n v="2016"/>
    <x v="7"/>
    <n v="21"/>
    <n v="20"/>
    <n v="0"/>
    <n v="1"/>
    <n v="2"/>
    <n v="0"/>
    <n v="0"/>
    <s v="BB"/>
    <s v="PRT"/>
    <s v="Groups"/>
    <x v="0"/>
    <n v="0"/>
    <n v="0"/>
    <n v="0"/>
    <s v="A"/>
    <s v="D"/>
    <n v="0"/>
    <s v="No Deposit"/>
    <n v="1"/>
    <m/>
    <n v="98"/>
    <x v="1"/>
    <x v="9"/>
    <n v="0"/>
    <n v="0"/>
    <x v="1"/>
    <d v="2016-05-21T00:00:00"/>
  </r>
  <r>
    <x v="0"/>
    <x v="0"/>
    <n v="188"/>
    <n v="2016"/>
    <x v="4"/>
    <n v="33"/>
    <n v="13"/>
    <n v="1"/>
    <n v="1"/>
    <n v="2"/>
    <n v="0"/>
    <n v="0"/>
    <s v="BB"/>
    <s v="ISR"/>
    <s v="Online TA"/>
    <x v="0"/>
    <n v="0"/>
    <n v="0"/>
    <n v="0"/>
    <s v="A"/>
    <s v="A"/>
    <n v="0"/>
    <s v="No Deposit"/>
    <n v="9"/>
    <m/>
    <n v="0"/>
    <x v="0"/>
    <x v="178"/>
    <n v="0"/>
    <n v="0"/>
    <x v="0"/>
    <d v="2016-03-01T00:00:00"/>
  </r>
  <r>
    <x v="1"/>
    <x v="1"/>
    <n v="3"/>
    <n v="2016"/>
    <x v="6"/>
    <n v="11"/>
    <n v="12"/>
    <n v="2"/>
    <n v="1"/>
    <n v="2"/>
    <n v="0"/>
    <n v="0"/>
    <s v="BB"/>
    <s v="ESP"/>
    <s v="Offline TA/TO"/>
    <x v="0"/>
    <n v="0"/>
    <n v="0"/>
    <n v="0"/>
    <s v="C"/>
    <s v="C"/>
    <n v="0"/>
    <s v="No Deposit"/>
    <n v="8"/>
    <m/>
    <n v="0"/>
    <x v="0"/>
    <x v="260"/>
    <n v="0"/>
    <n v="0"/>
    <x v="1"/>
    <d v="2016-03-15T00:00:00"/>
  </r>
  <r>
    <x v="0"/>
    <x v="1"/>
    <n v="144"/>
    <n v="2016"/>
    <x v="0"/>
    <n v="31"/>
    <n v="25"/>
    <n v="1"/>
    <n v="5"/>
    <n v="2"/>
    <n v="0"/>
    <n v="0"/>
    <s v="BB"/>
    <s v="AUT"/>
    <s v="Online TA"/>
    <x v="0"/>
    <n v="0"/>
    <n v="0"/>
    <n v="0"/>
    <s v="A"/>
    <s v="A"/>
    <n v="0"/>
    <s v="No Deposit"/>
    <n v="9"/>
    <m/>
    <n v="0"/>
    <x v="0"/>
    <x v="261"/>
    <n v="0"/>
    <n v="1"/>
    <x v="1"/>
    <d v="2016-07-31T00:00:00"/>
  </r>
  <r>
    <x v="1"/>
    <x v="1"/>
    <n v="21"/>
    <n v="2016"/>
    <x v="8"/>
    <n v="1"/>
    <n v="2"/>
    <n v="4"/>
    <n v="10"/>
    <n v="1"/>
    <n v="0"/>
    <n v="0"/>
    <s v="BB"/>
    <s v="DEU"/>
    <s v="Offline TA/TO"/>
    <x v="0"/>
    <n v="0"/>
    <n v="0"/>
    <n v="0"/>
    <s v="E"/>
    <s v="E"/>
    <n v="0"/>
    <s v="No Deposit"/>
    <n v="314"/>
    <m/>
    <n v="0"/>
    <x v="0"/>
    <x v="262"/>
    <n v="0"/>
    <n v="0"/>
    <x v="1"/>
    <d v="2016-01-16T00:00:00"/>
  </r>
  <r>
    <x v="0"/>
    <x v="1"/>
    <n v="99"/>
    <n v="2016"/>
    <x v="9"/>
    <n v="8"/>
    <n v="19"/>
    <n v="0"/>
    <n v="2"/>
    <n v="1"/>
    <n v="0"/>
    <n v="0"/>
    <s v="BB"/>
    <s v="PRT"/>
    <s v="Corporate"/>
    <x v="0"/>
    <n v="0"/>
    <n v="0"/>
    <n v="0"/>
    <s v="A"/>
    <s v="A"/>
    <n v="1"/>
    <s v="No Deposit"/>
    <m/>
    <n v="67"/>
    <n v="0"/>
    <x v="1"/>
    <x v="85"/>
    <n v="0"/>
    <n v="0"/>
    <x v="1"/>
    <d v="2016-02-21T00:00:00"/>
  </r>
  <r>
    <x v="0"/>
    <x v="0"/>
    <n v="96"/>
    <n v="2016"/>
    <x v="1"/>
    <n v="44"/>
    <n v="28"/>
    <n v="1"/>
    <n v="2"/>
    <n v="2"/>
    <n v="2"/>
    <n v="0"/>
    <s v="BB"/>
    <s v="GBR"/>
    <s v="Online TA"/>
    <x v="0"/>
    <n v="0"/>
    <n v="0"/>
    <n v="0"/>
    <s v="F"/>
    <s v="F"/>
    <n v="0"/>
    <s v="No Deposit"/>
    <n v="9"/>
    <m/>
    <n v="0"/>
    <x v="0"/>
    <x v="263"/>
    <n v="0"/>
    <n v="1"/>
    <x v="0"/>
    <d v="2016-10-23T00:00:00"/>
  </r>
  <r>
    <x v="0"/>
    <x v="1"/>
    <n v="50"/>
    <n v="2016"/>
    <x v="5"/>
    <n v="47"/>
    <n v="17"/>
    <n v="0"/>
    <n v="1"/>
    <n v="2"/>
    <n v="0"/>
    <n v="0"/>
    <s v="SC"/>
    <s v="BRA"/>
    <s v="Online TA"/>
    <x v="0"/>
    <n v="0"/>
    <n v="0"/>
    <n v="0"/>
    <s v="A"/>
    <s v="A"/>
    <n v="0"/>
    <s v="No Deposit"/>
    <n v="9"/>
    <m/>
    <n v="0"/>
    <x v="0"/>
    <x v="210"/>
    <n v="0"/>
    <n v="1"/>
    <x v="1"/>
    <d v="2016-11-18T00:00:00"/>
  </r>
  <r>
    <x v="1"/>
    <x v="0"/>
    <n v="468"/>
    <n v="2016"/>
    <x v="7"/>
    <n v="20"/>
    <n v="12"/>
    <n v="0"/>
    <n v="2"/>
    <n v="2"/>
    <n v="0"/>
    <n v="0"/>
    <s v="HB"/>
    <s v="PRT"/>
    <s v="Groups"/>
    <x v="0"/>
    <n v="0"/>
    <n v="0"/>
    <n v="0"/>
    <s v="A"/>
    <s v="A"/>
    <n v="0"/>
    <s v="No Deposit"/>
    <n v="249"/>
    <m/>
    <n v="0"/>
    <x v="1"/>
    <x v="150"/>
    <n v="0"/>
    <n v="0"/>
    <x v="0"/>
    <d v="2016-03-04T00:00:00"/>
  </r>
  <r>
    <x v="0"/>
    <x v="0"/>
    <n v="245"/>
    <n v="2016"/>
    <x v="10"/>
    <n v="25"/>
    <n v="17"/>
    <n v="0"/>
    <n v="2"/>
    <n v="2"/>
    <n v="0"/>
    <n v="0"/>
    <s v="BB"/>
    <s v="PRT"/>
    <s v="Offline TA/TO"/>
    <x v="0"/>
    <n v="0"/>
    <n v="0"/>
    <n v="0"/>
    <s v="A"/>
    <s v="A"/>
    <n v="0"/>
    <s v="Non Refund"/>
    <n v="12"/>
    <m/>
    <n v="0"/>
    <x v="0"/>
    <x v="45"/>
    <n v="0"/>
    <n v="0"/>
    <x v="0"/>
    <d v="2016-02-09T00:00:00"/>
  </r>
  <r>
    <x v="1"/>
    <x v="1"/>
    <n v="542"/>
    <n v="2016"/>
    <x v="2"/>
    <n v="40"/>
    <n v="26"/>
    <n v="2"/>
    <n v="5"/>
    <n v="2"/>
    <n v="0"/>
    <n v="0"/>
    <s v="HB"/>
    <s v="GBR"/>
    <s v="Groups"/>
    <x v="0"/>
    <n v="0"/>
    <n v="0"/>
    <n v="0"/>
    <s v="A"/>
    <s v="A"/>
    <n v="1"/>
    <s v="No Deposit"/>
    <n v="253"/>
    <m/>
    <n v="0"/>
    <x v="1"/>
    <x v="48"/>
    <n v="0"/>
    <n v="0"/>
    <x v="1"/>
    <d v="2016-10-03T00:00:00"/>
  </r>
  <r>
    <x v="1"/>
    <x v="0"/>
    <n v="385"/>
    <n v="2016"/>
    <x v="2"/>
    <n v="39"/>
    <n v="21"/>
    <n v="0"/>
    <n v="4"/>
    <n v="2"/>
    <n v="0"/>
    <n v="0"/>
    <s v="BB"/>
    <s v="PRT"/>
    <s v="Groups"/>
    <x v="2"/>
    <n v="0"/>
    <n v="0"/>
    <n v="0"/>
    <s v="A"/>
    <s v="A"/>
    <n v="0"/>
    <s v="Non Refund"/>
    <m/>
    <m/>
    <n v="0"/>
    <x v="0"/>
    <x v="17"/>
    <n v="0"/>
    <n v="0"/>
    <x v="0"/>
    <d v="2015-10-14T00:00:00"/>
  </r>
  <r>
    <x v="0"/>
    <x v="0"/>
    <n v="146"/>
    <n v="2016"/>
    <x v="11"/>
    <n v="18"/>
    <n v="24"/>
    <n v="2"/>
    <n v="0"/>
    <n v="2"/>
    <n v="0"/>
    <n v="0"/>
    <s v="BB"/>
    <s v="PRT"/>
    <s v="Offline TA/TO"/>
    <x v="0"/>
    <n v="0"/>
    <n v="0"/>
    <n v="0"/>
    <s v="A"/>
    <s v="A"/>
    <n v="0"/>
    <s v="Non Refund"/>
    <n v="26"/>
    <m/>
    <n v="50"/>
    <x v="0"/>
    <x v="119"/>
    <n v="0"/>
    <n v="0"/>
    <x v="0"/>
    <d v="2016-01-19T00:00:00"/>
  </r>
  <r>
    <x v="1"/>
    <x v="1"/>
    <n v="19"/>
    <n v="2016"/>
    <x v="0"/>
    <n v="30"/>
    <n v="21"/>
    <n v="0"/>
    <n v="3"/>
    <n v="2"/>
    <n v="0"/>
    <n v="0"/>
    <s v="BB"/>
    <s v="ESP"/>
    <s v="Online TA"/>
    <x v="0"/>
    <n v="0"/>
    <n v="0"/>
    <n v="0"/>
    <s v="A"/>
    <s v="A"/>
    <n v="0"/>
    <s v="No Deposit"/>
    <n v="240"/>
    <m/>
    <n v="0"/>
    <x v="0"/>
    <x v="264"/>
    <n v="1"/>
    <n v="1"/>
    <x v="1"/>
    <d v="2016-07-24T00:00:00"/>
  </r>
  <r>
    <x v="0"/>
    <x v="1"/>
    <n v="2"/>
    <n v="2016"/>
    <x v="7"/>
    <n v="20"/>
    <n v="14"/>
    <n v="1"/>
    <n v="1"/>
    <n v="2"/>
    <n v="1"/>
    <n v="0"/>
    <s v="BB"/>
    <s v="PRT"/>
    <s v="Direct"/>
    <x v="2"/>
    <n v="0"/>
    <n v="0"/>
    <n v="0"/>
    <s v="G"/>
    <s v="G"/>
    <n v="2"/>
    <s v="No Deposit"/>
    <m/>
    <m/>
    <n v="0"/>
    <x v="0"/>
    <x v="13"/>
    <n v="1"/>
    <n v="1"/>
    <x v="1"/>
    <d v="2016-05-16T00:00:00"/>
  </r>
  <r>
    <x v="1"/>
    <x v="1"/>
    <n v="37"/>
    <n v="2016"/>
    <x v="7"/>
    <n v="20"/>
    <n v="8"/>
    <n v="2"/>
    <n v="0"/>
    <n v="2"/>
    <n v="0"/>
    <n v="0"/>
    <s v="BB"/>
    <s v="PRT"/>
    <s v="Offline TA/TO"/>
    <x v="0"/>
    <n v="0"/>
    <n v="0"/>
    <n v="0"/>
    <s v="A"/>
    <s v="A"/>
    <n v="1"/>
    <s v="No Deposit"/>
    <n v="168"/>
    <m/>
    <n v="0"/>
    <x v="0"/>
    <x v="125"/>
    <n v="0"/>
    <n v="1"/>
    <x v="1"/>
    <d v="2016-05-10T00:00:00"/>
  </r>
  <r>
    <x v="0"/>
    <x v="0"/>
    <n v="37"/>
    <n v="2016"/>
    <x v="1"/>
    <n v="42"/>
    <n v="13"/>
    <n v="0"/>
    <n v="3"/>
    <n v="2"/>
    <n v="0"/>
    <n v="0"/>
    <s v="BB"/>
    <s v="PRT"/>
    <s v="Offline TA/TO"/>
    <x v="0"/>
    <n v="0"/>
    <n v="0"/>
    <n v="0"/>
    <s v="A"/>
    <s v="A"/>
    <n v="0"/>
    <s v="No Deposit"/>
    <n v="56"/>
    <m/>
    <n v="0"/>
    <x v="1"/>
    <x v="57"/>
    <n v="0"/>
    <n v="0"/>
    <x v="0"/>
    <d v="2016-09-06T00:00:00"/>
  </r>
  <r>
    <x v="0"/>
    <x v="1"/>
    <n v="12"/>
    <n v="2016"/>
    <x v="7"/>
    <n v="20"/>
    <n v="11"/>
    <n v="0"/>
    <n v="4"/>
    <n v="2"/>
    <n v="0"/>
    <n v="0"/>
    <s v="BB"/>
    <s v="CHE"/>
    <s v="Offline TA/TO"/>
    <x v="0"/>
    <n v="0"/>
    <n v="0"/>
    <n v="0"/>
    <s v="A"/>
    <s v="A"/>
    <n v="0"/>
    <s v="No Deposit"/>
    <n v="138"/>
    <m/>
    <n v="0"/>
    <x v="0"/>
    <x v="265"/>
    <n v="0"/>
    <n v="0"/>
    <x v="1"/>
    <d v="2016-05-15T00:00:00"/>
  </r>
  <r>
    <x v="1"/>
    <x v="0"/>
    <n v="196"/>
    <n v="2016"/>
    <x v="4"/>
    <n v="36"/>
    <n v="29"/>
    <n v="2"/>
    <n v="5"/>
    <n v="2"/>
    <n v="0"/>
    <n v="0"/>
    <s v="BB"/>
    <s v="PRT"/>
    <s v="Offline TA/TO"/>
    <x v="0"/>
    <n v="0"/>
    <n v="0"/>
    <n v="0"/>
    <s v="E"/>
    <s v="E"/>
    <n v="0"/>
    <s v="No Deposit"/>
    <n v="314"/>
    <m/>
    <n v="0"/>
    <x v="0"/>
    <x v="266"/>
    <n v="0"/>
    <n v="1"/>
    <x v="0"/>
    <d v="2016-08-17T00:00:00"/>
  </r>
  <r>
    <x v="0"/>
    <x v="1"/>
    <n v="0"/>
    <n v="2016"/>
    <x v="8"/>
    <n v="4"/>
    <n v="22"/>
    <n v="1"/>
    <n v="2"/>
    <n v="2"/>
    <n v="0"/>
    <n v="0"/>
    <s v="BB"/>
    <s v="PRT"/>
    <s v="Direct"/>
    <x v="2"/>
    <n v="0"/>
    <n v="0"/>
    <n v="0"/>
    <s v="D"/>
    <s v="D"/>
    <n v="0"/>
    <s v="No Deposit"/>
    <m/>
    <m/>
    <n v="0"/>
    <x v="0"/>
    <x v="267"/>
    <n v="0"/>
    <n v="1"/>
    <x v="1"/>
    <d v="2016-01-25T00:00:00"/>
  </r>
  <r>
    <x v="0"/>
    <x v="0"/>
    <n v="10"/>
    <n v="2016"/>
    <x v="8"/>
    <n v="1"/>
    <n v="2"/>
    <n v="2"/>
    <n v="1"/>
    <n v="2"/>
    <n v="0"/>
    <n v="0"/>
    <s v="BB"/>
    <s v="ESP"/>
    <s v="Online TA"/>
    <x v="0"/>
    <n v="0"/>
    <n v="0"/>
    <n v="0"/>
    <s v="B"/>
    <s v="B"/>
    <n v="0"/>
    <s v="No Deposit"/>
    <n v="9"/>
    <m/>
    <n v="0"/>
    <x v="0"/>
    <x v="268"/>
    <n v="0"/>
    <n v="0"/>
    <x v="0"/>
    <d v="2015-12-31T00:00:00"/>
  </r>
  <r>
    <x v="0"/>
    <x v="1"/>
    <n v="16"/>
    <n v="2016"/>
    <x v="3"/>
    <n v="50"/>
    <n v="9"/>
    <n v="1"/>
    <n v="2"/>
    <n v="2"/>
    <n v="0"/>
    <n v="0"/>
    <s v="BB"/>
    <s v="DEU"/>
    <s v="Direct"/>
    <x v="2"/>
    <n v="0"/>
    <n v="0"/>
    <n v="0"/>
    <s v="A"/>
    <s v="A"/>
    <n v="0"/>
    <s v="No Deposit"/>
    <n v="14"/>
    <m/>
    <n v="0"/>
    <x v="0"/>
    <x v="269"/>
    <n v="0"/>
    <n v="1"/>
    <x v="1"/>
    <d v="2016-12-12T00:00:00"/>
  </r>
  <r>
    <x v="1"/>
    <x v="1"/>
    <n v="4"/>
    <n v="2016"/>
    <x v="4"/>
    <n v="32"/>
    <n v="4"/>
    <n v="1"/>
    <n v="3"/>
    <n v="2"/>
    <n v="0"/>
    <n v="1"/>
    <s v="HB"/>
    <s v="PRT"/>
    <s v="Online TA"/>
    <x v="0"/>
    <n v="0"/>
    <n v="0"/>
    <n v="0"/>
    <s v="A"/>
    <s v="A"/>
    <n v="1"/>
    <s v="No Deposit"/>
    <n v="240"/>
    <m/>
    <n v="0"/>
    <x v="0"/>
    <x v="270"/>
    <n v="0"/>
    <n v="1"/>
    <x v="1"/>
    <d v="2016-08-08T00:00:00"/>
  </r>
  <r>
    <x v="0"/>
    <x v="1"/>
    <n v="22"/>
    <n v="2016"/>
    <x v="11"/>
    <n v="16"/>
    <n v="14"/>
    <n v="2"/>
    <n v="3"/>
    <n v="3"/>
    <n v="0"/>
    <n v="0"/>
    <s v="BB"/>
    <s v="FRA"/>
    <s v="Online TA"/>
    <x v="0"/>
    <n v="0"/>
    <n v="0"/>
    <n v="0"/>
    <s v="D"/>
    <s v="D"/>
    <n v="0"/>
    <s v="No Deposit"/>
    <n v="9"/>
    <m/>
    <n v="0"/>
    <x v="0"/>
    <x v="271"/>
    <n v="0"/>
    <n v="2"/>
    <x v="1"/>
    <d v="2016-04-19T00:00:00"/>
  </r>
  <r>
    <x v="0"/>
    <x v="1"/>
    <n v="85"/>
    <n v="2016"/>
    <x v="11"/>
    <n v="14"/>
    <n v="1"/>
    <n v="0"/>
    <n v="2"/>
    <n v="1"/>
    <n v="0"/>
    <n v="0"/>
    <s v="BB"/>
    <s v="SWE"/>
    <s v="Online TA"/>
    <x v="0"/>
    <n v="0"/>
    <n v="0"/>
    <n v="0"/>
    <s v="A"/>
    <s v="A"/>
    <n v="1"/>
    <s v="No Deposit"/>
    <n v="9"/>
    <m/>
    <n v="0"/>
    <x v="1"/>
    <x v="94"/>
    <n v="0"/>
    <n v="0"/>
    <x v="1"/>
    <d v="2016-04-03T00:00:00"/>
  </r>
  <r>
    <x v="0"/>
    <x v="1"/>
    <n v="301"/>
    <n v="2016"/>
    <x v="0"/>
    <n v="31"/>
    <n v="30"/>
    <n v="1"/>
    <n v="1"/>
    <n v="1"/>
    <n v="0"/>
    <n v="0"/>
    <s v="HB"/>
    <s v="DEU"/>
    <s v="Offline TA/TO"/>
    <x v="0"/>
    <n v="0"/>
    <n v="0"/>
    <n v="0"/>
    <s v="A"/>
    <s v="D"/>
    <n v="1"/>
    <s v="No Deposit"/>
    <n v="6"/>
    <m/>
    <n v="0"/>
    <x v="1"/>
    <x v="13"/>
    <n v="0"/>
    <n v="0"/>
    <x v="1"/>
    <d v="2016-08-01T00:00:00"/>
  </r>
  <r>
    <x v="0"/>
    <x v="0"/>
    <n v="95"/>
    <n v="2016"/>
    <x v="5"/>
    <n v="45"/>
    <n v="5"/>
    <n v="0"/>
    <n v="1"/>
    <n v="1"/>
    <n v="0"/>
    <n v="0"/>
    <s v="BB"/>
    <s v="PRT"/>
    <s v="Groups"/>
    <x v="0"/>
    <n v="0"/>
    <n v="0"/>
    <n v="0"/>
    <s v="A"/>
    <s v="A"/>
    <n v="0"/>
    <s v="No Deposit"/>
    <m/>
    <m/>
    <n v="0"/>
    <x v="1"/>
    <x v="45"/>
    <n v="0"/>
    <n v="0"/>
    <x v="0"/>
    <d v="2016-10-21T00:00:00"/>
  </r>
  <r>
    <x v="1"/>
    <x v="1"/>
    <n v="364"/>
    <n v="2016"/>
    <x v="1"/>
    <n v="42"/>
    <n v="12"/>
    <n v="1"/>
    <n v="4"/>
    <n v="2"/>
    <n v="0"/>
    <n v="0"/>
    <s v="BB"/>
    <s v="GBR"/>
    <s v="Groups"/>
    <x v="1"/>
    <n v="0"/>
    <n v="0"/>
    <n v="0"/>
    <s v="A"/>
    <s v="A"/>
    <n v="1"/>
    <s v="No Deposit"/>
    <m/>
    <n v="223"/>
    <n v="0"/>
    <x v="1"/>
    <x v="17"/>
    <n v="0"/>
    <n v="0"/>
    <x v="1"/>
    <d v="2016-10-17T00:00:00"/>
  </r>
  <r>
    <x v="1"/>
    <x v="1"/>
    <n v="0"/>
    <n v="2016"/>
    <x v="9"/>
    <n v="9"/>
    <n v="27"/>
    <n v="0"/>
    <n v="1"/>
    <n v="2"/>
    <n v="1"/>
    <n v="0"/>
    <s v="HB"/>
    <s v="PRT"/>
    <s v="Online TA"/>
    <x v="0"/>
    <n v="0"/>
    <n v="0"/>
    <n v="0"/>
    <s v="G"/>
    <s v="G"/>
    <n v="0"/>
    <s v="No Deposit"/>
    <n v="240"/>
    <m/>
    <n v="0"/>
    <x v="0"/>
    <x v="272"/>
    <n v="1"/>
    <n v="0"/>
    <x v="1"/>
    <d v="2016-02-28T00:00:00"/>
  </r>
  <r>
    <x v="1"/>
    <x v="0"/>
    <n v="18"/>
    <n v="2016"/>
    <x v="7"/>
    <n v="22"/>
    <n v="27"/>
    <n v="0"/>
    <n v="2"/>
    <n v="2"/>
    <n v="2"/>
    <n v="0"/>
    <s v="BB"/>
    <s v="USA"/>
    <s v="Online TA"/>
    <x v="0"/>
    <n v="0"/>
    <n v="0"/>
    <n v="0"/>
    <s v="G"/>
    <s v="G"/>
    <n v="0"/>
    <s v="No Deposit"/>
    <n v="240"/>
    <m/>
    <n v="0"/>
    <x v="0"/>
    <x v="87"/>
    <n v="0"/>
    <n v="1"/>
    <x v="0"/>
    <d v="2016-05-14T00:00:00"/>
  </r>
  <r>
    <x v="0"/>
    <x v="1"/>
    <n v="65"/>
    <n v="2016"/>
    <x v="6"/>
    <n v="14"/>
    <n v="28"/>
    <n v="1"/>
    <n v="2"/>
    <n v="2"/>
    <n v="1"/>
    <n v="0"/>
    <s v="BB"/>
    <s v="PRT"/>
    <s v="Online TA"/>
    <x v="0"/>
    <n v="0"/>
    <n v="0"/>
    <n v="0"/>
    <s v="A"/>
    <s v="D"/>
    <n v="0"/>
    <s v="No Deposit"/>
    <n v="9"/>
    <m/>
    <n v="0"/>
    <x v="1"/>
    <x v="159"/>
    <n v="0"/>
    <n v="2"/>
    <x v="1"/>
    <d v="2016-03-31T00:00:00"/>
  </r>
  <r>
    <x v="0"/>
    <x v="1"/>
    <n v="0"/>
    <n v="2016"/>
    <x v="7"/>
    <n v="20"/>
    <n v="14"/>
    <n v="0"/>
    <n v="1"/>
    <n v="2"/>
    <n v="0"/>
    <n v="0"/>
    <s v="BB"/>
    <s v="PRT"/>
    <s v="Complementary"/>
    <x v="2"/>
    <n v="0"/>
    <n v="0"/>
    <n v="0"/>
    <s v="A"/>
    <s v="B"/>
    <n v="0"/>
    <s v="No Deposit"/>
    <m/>
    <m/>
    <n v="0"/>
    <x v="0"/>
    <x v="7"/>
    <n v="0"/>
    <n v="0"/>
    <x v="1"/>
    <d v="2016-05-15T00:00:00"/>
  </r>
  <r>
    <x v="0"/>
    <x v="0"/>
    <n v="68"/>
    <n v="2016"/>
    <x v="9"/>
    <n v="8"/>
    <n v="17"/>
    <n v="0"/>
    <n v="2"/>
    <n v="2"/>
    <n v="0"/>
    <n v="0"/>
    <s v="BB"/>
    <s v="PRT"/>
    <s v="Groups"/>
    <x v="0"/>
    <n v="0"/>
    <n v="1"/>
    <n v="0"/>
    <s v="A"/>
    <s v="A"/>
    <n v="0"/>
    <s v="Non Refund"/>
    <n v="37"/>
    <m/>
    <n v="0"/>
    <x v="0"/>
    <x v="45"/>
    <n v="0"/>
    <n v="0"/>
    <x v="0"/>
    <d v="2016-01-06T00:00:00"/>
  </r>
  <r>
    <x v="1"/>
    <x v="1"/>
    <n v="44"/>
    <n v="2016"/>
    <x v="7"/>
    <n v="21"/>
    <n v="18"/>
    <n v="0"/>
    <n v="2"/>
    <n v="2"/>
    <n v="0"/>
    <n v="0"/>
    <s v="BB"/>
    <s v="ESP"/>
    <s v="Online TA"/>
    <x v="0"/>
    <n v="0"/>
    <n v="0"/>
    <n v="0"/>
    <s v="A"/>
    <s v="A"/>
    <n v="0"/>
    <s v="No Deposit"/>
    <n v="240"/>
    <m/>
    <n v="0"/>
    <x v="0"/>
    <x v="85"/>
    <n v="1"/>
    <n v="1"/>
    <x v="1"/>
    <d v="2016-05-20T00:00:00"/>
  </r>
  <r>
    <x v="0"/>
    <x v="1"/>
    <n v="0"/>
    <n v="2016"/>
    <x v="11"/>
    <n v="18"/>
    <n v="29"/>
    <n v="0"/>
    <n v="2"/>
    <n v="1"/>
    <n v="0"/>
    <n v="0"/>
    <s v="BB"/>
    <s v="PRT"/>
    <s v="Groups"/>
    <x v="0"/>
    <n v="0"/>
    <n v="0"/>
    <n v="0"/>
    <s v="A"/>
    <s v="B"/>
    <n v="0"/>
    <s v="No Deposit"/>
    <n v="29"/>
    <m/>
    <n v="0"/>
    <x v="1"/>
    <x v="25"/>
    <n v="0"/>
    <n v="0"/>
    <x v="1"/>
    <d v="2016-05-01T00:00:00"/>
  </r>
  <r>
    <x v="0"/>
    <x v="1"/>
    <n v="172"/>
    <n v="2016"/>
    <x v="0"/>
    <n v="31"/>
    <n v="26"/>
    <n v="1"/>
    <n v="5"/>
    <n v="2"/>
    <n v="0"/>
    <n v="0"/>
    <s v="BB"/>
    <s v="DEU"/>
    <s v="Offline TA/TO"/>
    <x v="0"/>
    <n v="0"/>
    <n v="0"/>
    <n v="0"/>
    <s v="A"/>
    <s v="A"/>
    <n v="0"/>
    <s v="No Deposit"/>
    <n v="27"/>
    <m/>
    <n v="0"/>
    <x v="0"/>
    <x v="273"/>
    <n v="0"/>
    <n v="0"/>
    <x v="1"/>
    <d v="2016-08-01T00:00:00"/>
  </r>
  <r>
    <x v="0"/>
    <x v="0"/>
    <n v="199"/>
    <n v="2016"/>
    <x v="1"/>
    <n v="44"/>
    <n v="28"/>
    <n v="0"/>
    <n v="2"/>
    <n v="2"/>
    <n v="0"/>
    <n v="0"/>
    <s v="BB"/>
    <s v="PRT"/>
    <s v="Groups"/>
    <x v="0"/>
    <n v="0"/>
    <n v="0"/>
    <n v="0"/>
    <s v="A"/>
    <s v="A"/>
    <n v="0"/>
    <s v="No Deposit"/>
    <n v="29"/>
    <m/>
    <n v="0"/>
    <x v="1"/>
    <x v="119"/>
    <n v="0"/>
    <n v="0"/>
    <x v="0"/>
    <d v="2016-10-21T00:00:00"/>
  </r>
  <r>
    <x v="0"/>
    <x v="0"/>
    <n v="267"/>
    <n v="2016"/>
    <x v="6"/>
    <n v="14"/>
    <n v="31"/>
    <n v="0"/>
    <n v="2"/>
    <n v="2"/>
    <n v="0"/>
    <n v="0"/>
    <s v="BB"/>
    <s v="PRT"/>
    <s v="Groups"/>
    <x v="0"/>
    <n v="0"/>
    <n v="0"/>
    <n v="0"/>
    <s v="A"/>
    <s v="A"/>
    <n v="0"/>
    <s v="Non Refund"/>
    <n v="1"/>
    <m/>
    <n v="0"/>
    <x v="0"/>
    <x v="6"/>
    <n v="0"/>
    <n v="0"/>
    <x v="0"/>
    <d v="2015-10-21T00:00:00"/>
  </r>
  <r>
    <x v="1"/>
    <x v="0"/>
    <n v="82"/>
    <n v="2016"/>
    <x v="9"/>
    <n v="7"/>
    <n v="7"/>
    <n v="2"/>
    <n v="0"/>
    <n v="2"/>
    <n v="0"/>
    <n v="0"/>
    <s v="Undefined"/>
    <s v="PRT"/>
    <s v="Groups"/>
    <x v="0"/>
    <n v="1"/>
    <n v="1"/>
    <n v="0"/>
    <s v="A"/>
    <s v="A"/>
    <n v="0"/>
    <s v="No Deposit"/>
    <n v="67"/>
    <m/>
    <n v="0"/>
    <x v="1"/>
    <x v="17"/>
    <n v="0"/>
    <n v="0"/>
    <x v="0"/>
    <d v="2016-01-26T00:00:00"/>
  </r>
  <r>
    <x v="0"/>
    <x v="0"/>
    <n v="350"/>
    <n v="2016"/>
    <x v="2"/>
    <n v="40"/>
    <n v="30"/>
    <n v="1"/>
    <n v="2"/>
    <n v="2"/>
    <n v="0"/>
    <n v="0"/>
    <s v="BB"/>
    <s v="PRT"/>
    <s v="Offline TA/TO"/>
    <x v="0"/>
    <n v="0"/>
    <n v="1"/>
    <n v="0"/>
    <s v="A"/>
    <s v="A"/>
    <n v="0"/>
    <s v="Non Refund"/>
    <n v="4"/>
    <m/>
    <n v="17"/>
    <x v="0"/>
    <x v="13"/>
    <n v="0"/>
    <n v="0"/>
    <x v="0"/>
    <d v="2015-11-02T00:00:00"/>
  </r>
  <r>
    <x v="0"/>
    <x v="1"/>
    <n v="0"/>
    <n v="2016"/>
    <x v="10"/>
    <n v="26"/>
    <n v="20"/>
    <n v="1"/>
    <n v="1"/>
    <n v="1"/>
    <n v="0"/>
    <n v="0"/>
    <s v="BB"/>
    <s v="ITA"/>
    <s v="Direct"/>
    <x v="2"/>
    <n v="0"/>
    <n v="0"/>
    <n v="0"/>
    <s v="A"/>
    <s v="D"/>
    <n v="1"/>
    <s v="No Deposit"/>
    <m/>
    <m/>
    <n v="0"/>
    <x v="0"/>
    <x v="274"/>
    <n v="0"/>
    <n v="0"/>
    <x v="1"/>
    <d v="2016-06-22T00:00:00"/>
  </r>
  <r>
    <x v="1"/>
    <x v="1"/>
    <n v="191"/>
    <n v="2016"/>
    <x v="11"/>
    <n v="17"/>
    <n v="22"/>
    <n v="1"/>
    <n v="2"/>
    <n v="2"/>
    <n v="0"/>
    <n v="0"/>
    <s v="Undefined"/>
    <s v="PRT"/>
    <s v="Offline TA/TO"/>
    <x v="0"/>
    <n v="0"/>
    <n v="0"/>
    <n v="0"/>
    <s v="A"/>
    <s v="A"/>
    <n v="1"/>
    <s v="No Deposit"/>
    <m/>
    <m/>
    <n v="0"/>
    <x v="1"/>
    <x v="258"/>
    <n v="0"/>
    <n v="0"/>
    <x v="1"/>
    <d v="2016-04-25T00:00:00"/>
  </r>
  <r>
    <x v="0"/>
    <x v="1"/>
    <n v="49"/>
    <n v="2016"/>
    <x v="8"/>
    <n v="3"/>
    <n v="15"/>
    <n v="0"/>
    <n v="2"/>
    <n v="2"/>
    <n v="0"/>
    <n v="0"/>
    <s v="BB"/>
    <s v="FRA"/>
    <s v="Online TA"/>
    <x v="0"/>
    <n v="0"/>
    <n v="0"/>
    <n v="0"/>
    <s v="A"/>
    <s v="A"/>
    <n v="0"/>
    <s v="No Deposit"/>
    <n v="7"/>
    <m/>
    <n v="0"/>
    <x v="0"/>
    <x v="275"/>
    <n v="0"/>
    <n v="1"/>
    <x v="1"/>
    <d v="2016-01-17T00:00:00"/>
  </r>
  <r>
    <x v="0"/>
    <x v="0"/>
    <n v="300"/>
    <n v="2016"/>
    <x v="5"/>
    <n v="46"/>
    <n v="11"/>
    <n v="0"/>
    <n v="2"/>
    <n v="2"/>
    <n v="0"/>
    <n v="0"/>
    <s v="BB"/>
    <s v="PRT"/>
    <s v="Groups"/>
    <x v="0"/>
    <n v="0"/>
    <n v="0"/>
    <n v="0"/>
    <s v="A"/>
    <s v="A"/>
    <n v="0"/>
    <s v="Non Refund"/>
    <n v="1"/>
    <m/>
    <n v="0"/>
    <x v="0"/>
    <x v="9"/>
    <n v="0"/>
    <n v="0"/>
    <x v="0"/>
    <d v="2016-03-14T00:00:00"/>
  </r>
  <r>
    <x v="0"/>
    <x v="1"/>
    <n v="78"/>
    <n v="2016"/>
    <x v="3"/>
    <n v="52"/>
    <n v="20"/>
    <n v="1"/>
    <n v="5"/>
    <n v="3"/>
    <n v="0"/>
    <n v="0"/>
    <s v="BB"/>
    <s v="AUS"/>
    <s v="Direct"/>
    <x v="2"/>
    <n v="0"/>
    <n v="0"/>
    <n v="0"/>
    <s v="G"/>
    <s v="A"/>
    <n v="0"/>
    <s v="No Deposit"/>
    <n v="14"/>
    <m/>
    <n v="0"/>
    <x v="1"/>
    <x v="276"/>
    <n v="0"/>
    <n v="2"/>
    <x v="1"/>
    <d v="2016-12-26T00:00:00"/>
  </r>
  <r>
    <x v="0"/>
    <x v="0"/>
    <n v="50"/>
    <n v="2016"/>
    <x v="10"/>
    <n v="26"/>
    <n v="21"/>
    <n v="0"/>
    <n v="3"/>
    <n v="2"/>
    <n v="0"/>
    <n v="0"/>
    <s v="SC"/>
    <s v="GBR"/>
    <s v="Online TA"/>
    <x v="0"/>
    <n v="0"/>
    <n v="0"/>
    <n v="0"/>
    <s v="A"/>
    <s v="A"/>
    <n v="0"/>
    <s v="No Deposit"/>
    <n v="9"/>
    <m/>
    <n v="0"/>
    <x v="0"/>
    <x v="277"/>
    <n v="0"/>
    <n v="0"/>
    <x v="0"/>
    <d v="2016-05-24T00:00:00"/>
  </r>
  <r>
    <x v="0"/>
    <x v="1"/>
    <n v="8"/>
    <n v="2016"/>
    <x v="2"/>
    <n v="38"/>
    <n v="15"/>
    <n v="0"/>
    <n v="1"/>
    <n v="1"/>
    <n v="0"/>
    <n v="0"/>
    <s v="BB"/>
    <s v="PRT"/>
    <s v="Direct"/>
    <x v="2"/>
    <n v="0"/>
    <n v="0"/>
    <n v="0"/>
    <s v="A"/>
    <s v="A"/>
    <n v="0"/>
    <s v="No Deposit"/>
    <n v="14"/>
    <m/>
    <n v="0"/>
    <x v="0"/>
    <x v="278"/>
    <n v="0"/>
    <n v="0"/>
    <x v="1"/>
    <d v="2016-09-16T00:00:00"/>
  </r>
  <r>
    <x v="0"/>
    <x v="0"/>
    <n v="42"/>
    <n v="2016"/>
    <x v="3"/>
    <n v="51"/>
    <n v="11"/>
    <n v="2"/>
    <n v="3"/>
    <n v="2"/>
    <n v="0"/>
    <n v="0"/>
    <s v="BB"/>
    <s v="BRA"/>
    <s v="Online TA"/>
    <x v="0"/>
    <n v="0"/>
    <n v="0"/>
    <n v="0"/>
    <s v="A"/>
    <s v="A"/>
    <n v="0"/>
    <s v="No Deposit"/>
    <n v="9"/>
    <m/>
    <n v="0"/>
    <x v="0"/>
    <x v="225"/>
    <n v="0"/>
    <n v="2"/>
    <x v="0"/>
    <d v="2016-11-02T00:00:00"/>
  </r>
  <r>
    <x v="0"/>
    <x v="1"/>
    <n v="12"/>
    <n v="2016"/>
    <x v="1"/>
    <n v="42"/>
    <n v="12"/>
    <n v="0"/>
    <n v="1"/>
    <n v="1"/>
    <n v="0"/>
    <n v="0"/>
    <s v="BB"/>
    <s v="PRT"/>
    <s v="Corporate"/>
    <x v="1"/>
    <n v="1"/>
    <n v="3"/>
    <n v="18"/>
    <s v="A"/>
    <s v="D"/>
    <n v="0"/>
    <s v="No Deposit"/>
    <m/>
    <n v="40"/>
    <n v="0"/>
    <x v="0"/>
    <x v="150"/>
    <n v="1"/>
    <n v="0"/>
    <x v="1"/>
    <d v="2016-10-13T00:00:00"/>
  </r>
  <r>
    <x v="0"/>
    <x v="1"/>
    <n v="87"/>
    <n v="2016"/>
    <x v="4"/>
    <n v="35"/>
    <n v="27"/>
    <n v="2"/>
    <n v="4"/>
    <n v="3"/>
    <n v="0"/>
    <n v="0"/>
    <s v="BB"/>
    <s v="DEU"/>
    <s v="Online TA"/>
    <x v="0"/>
    <n v="0"/>
    <n v="0"/>
    <n v="0"/>
    <s v="A"/>
    <s v="A"/>
    <n v="0"/>
    <s v="No Deposit"/>
    <n v="7"/>
    <m/>
    <n v="0"/>
    <x v="0"/>
    <x v="279"/>
    <n v="0"/>
    <n v="2"/>
    <x v="1"/>
    <d v="2016-09-02T00:00:00"/>
  </r>
  <r>
    <x v="1"/>
    <x v="0"/>
    <n v="67"/>
    <n v="2016"/>
    <x v="1"/>
    <n v="41"/>
    <n v="6"/>
    <n v="1"/>
    <n v="3"/>
    <n v="2"/>
    <n v="2"/>
    <n v="0"/>
    <s v="BB"/>
    <s v="GBR"/>
    <s v="Online TA"/>
    <x v="0"/>
    <n v="0"/>
    <n v="0"/>
    <n v="0"/>
    <s v="G"/>
    <s v="G"/>
    <n v="0"/>
    <s v="No Deposit"/>
    <n v="240"/>
    <m/>
    <n v="0"/>
    <x v="0"/>
    <x v="212"/>
    <n v="0"/>
    <n v="0"/>
    <x v="0"/>
    <d v="2016-08-03T00:00:00"/>
  </r>
  <r>
    <x v="0"/>
    <x v="1"/>
    <n v="34"/>
    <n v="2016"/>
    <x v="9"/>
    <n v="7"/>
    <n v="8"/>
    <n v="1"/>
    <n v="4"/>
    <n v="1"/>
    <n v="0"/>
    <n v="0"/>
    <s v="BB"/>
    <s v="FRA"/>
    <s v="Online TA"/>
    <x v="0"/>
    <n v="0"/>
    <n v="0"/>
    <n v="0"/>
    <s v="A"/>
    <s v="A"/>
    <n v="0"/>
    <s v="No Deposit"/>
    <n v="9"/>
    <m/>
    <n v="0"/>
    <x v="0"/>
    <x v="280"/>
    <n v="0"/>
    <n v="0"/>
    <x v="1"/>
    <d v="2016-02-13T00:00:00"/>
  </r>
  <r>
    <x v="0"/>
    <x v="1"/>
    <n v="0"/>
    <n v="2016"/>
    <x v="6"/>
    <n v="11"/>
    <n v="7"/>
    <n v="1"/>
    <n v="0"/>
    <n v="1"/>
    <n v="0"/>
    <n v="0"/>
    <s v="BB"/>
    <s v="ESP"/>
    <s v="Corporate"/>
    <x v="1"/>
    <n v="0"/>
    <n v="0"/>
    <n v="0"/>
    <s v="A"/>
    <s v="A"/>
    <n v="0"/>
    <s v="No Deposit"/>
    <n v="91"/>
    <m/>
    <n v="0"/>
    <x v="0"/>
    <x v="2"/>
    <n v="0"/>
    <n v="0"/>
    <x v="1"/>
    <d v="2016-03-08T00:00:00"/>
  </r>
  <r>
    <x v="1"/>
    <x v="1"/>
    <n v="243"/>
    <n v="2016"/>
    <x v="1"/>
    <n v="41"/>
    <n v="6"/>
    <n v="2"/>
    <n v="3"/>
    <n v="1"/>
    <n v="0"/>
    <n v="0"/>
    <s v="BB"/>
    <s v="IRL"/>
    <s v="Groups"/>
    <x v="0"/>
    <n v="0"/>
    <n v="0"/>
    <n v="0"/>
    <s v="D"/>
    <s v="D"/>
    <n v="1"/>
    <s v="No Deposit"/>
    <n v="91"/>
    <m/>
    <n v="0"/>
    <x v="1"/>
    <x v="281"/>
    <n v="0"/>
    <n v="0"/>
    <x v="1"/>
    <d v="2016-10-11T00:00:00"/>
  </r>
  <r>
    <x v="1"/>
    <x v="0"/>
    <n v="35"/>
    <n v="2016"/>
    <x v="3"/>
    <n v="50"/>
    <n v="7"/>
    <n v="0"/>
    <n v="4"/>
    <n v="2"/>
    <n v="1"/>
    <n v="0"/>
    <s v="FB"/>
    <s v="PRT"/>
    <s v="Online TA"/>
    <x v="0"/>
    <n v="0"/>
    <n v="0"/>
    <n v="0"/>
    <s v="E"/>
    <s v="E"/>
    <n v="1"/>
    <s v="No Deposit"/>
    <n v="314"/>
    <m/>
    <n v="0"/>
    <x v="0"/>
    <x v="282"/>
    <n v="0"/>
    <n v="0"/>
    <x v="0"/>
    <d v="2016-11-24T00:00:00"/>
  </r>
  <r>
    <x v="0"/>
    <x v="1"/>
    <n v="1"/>
    <n v="2016"/>
    <x v="8"/>
    <n v="1"/>
    <n v="2"/>
    <n v="2"/>
    <n v="1"/>
    <n v="2"/>
    <n v="0"/>
    <n v="0"/>
    <s v="BB"/>
    <s v="PRT"/>
    <s v="Online TA"/>
    <x v="0"/>
    <n v="0"/>
    <n v="0"/>
    <n v="0"/>
    <s v="A"/>
    <s v="A"/>
    <n v="0"/>
    <s v="No Deposit"/>
    <n v="9"/>
    <m/>
    <n v="0"/>
    <x v="0"/>
    <x v="283"/>
    <n v="0"/>
    <n v="0"/>
    <x v="1"/>
    <d v="2016-01-05T00:00:00"/>
  </r>
  <r>
    <x v="0"/>
    <x v="1"/>
    <n v="65"/>
    <n v="2016"/>
    <x v="5"/>
    <n v="48"/>
    <n v="20"/>
    <n v="1"/>
    <n v="0"/>
    <n v="1"/>
    <n v="0"/>
    <n v="0"/>
    <s v="SC"/>
    <s v="NOR"/>
    <s v="Online TA"/>
    <x v="0"/>
    <n v="0"/>
    <n v="0"/>
    <n v="0"/>
    <s v="A"/>
    <s v="A"/>
    <n v="0"/>
    <s v="No Deposit"/>
    <n v="9"/>
    <m/>
    <n v="0"/>
    <x v="0"/>
    <x v="210"/>
    <n v="0"/>
    <n v="0"/>
    <x v="1"/>
    <d v="2016-11-21T00:00:00"/>
  </r>
  <r>
    <x v="1"/>
    <x v="1"/>
    <n v="153"/>
    <n v="2016"/>
    <x v="11"/>
    <n v="16"/>
    <n v="14"/>
    <n v="0"/>
    <n v="3"/>
    <n v="3"/>
    <n v="1"/>
    <n v="0"/>
    <s v="BB"/>
    <s v="PRT"/>
    <s v="Online TA"/>
    <x v="0"/>
    <n v="0"/>
    <n v="0"/>
    <n v="0"/>
    <s v="H"/>
    <s v="H"/>
    <n v="0"/>
    <s v="No Deposit"/>
    <n v="240"/>
    <m/>
    <n v="0"/>
    <x v="1"/>
    <x v="50"/>
    <n v="0"/>
    <n v="2"/>
    <x v="1"/>
    <d v="2016-04-17T00:00:00"/>
  </r>
  <r>
    <x v="0"/>
    <x v="0"/>
    <n v="132"/>
    <n v="2016"/>
    <x v="0"/>
    <n v="28"/>
    <n v="5"/>
    <n v="0"/>
    <n v="4"/>
    <n v="2"/>
    <n v="0"/>
    <n v="0"/>
    <s v="BB"/>
    <s v="CHE"/>
    <s v="Online TA"/>
    <x v="0"/>
    <n v="0"/>
    <n v="0"/>
    <n v="0"/>
    <s v="A"/>
    <s v="A"/>
    <n v="0"/>
    <s v="No Deposit"/>
    <n v="9"/>
    <m/>
    <n v="0"/>
    <x v="0"/>
    <x v="284"/>
    <n v="0"/>
    <n v="0"/>
    <x v="0"/>
    <d v="2016-03-05T00:00:00"/>
  </r>
  <r>
    <x v="0"/>
    <x v="0"/>
    <n v="104"/>
    <n v="2016"/>
    <x v="10"/>
    <n v="24"/>
    <n v="9"/>
    <n v="0"/>
    <n v="3"/>
    <n v="2"/>
    <n v="0"/>
    <n v="0"/>
    <s v="BB"/>
    <s v="BRA"/>
    <s v="Online TA"/>
    <x v="0"/>
    <n v="0"/>
    <n v="0"/>
    <n v="0"/>
    <s v="A"/>
    <s v="A"/>
    <n v="0"/>
    <s v="No Deposit"/>
    <n v="9"/>
    <m/>
    <n v="0"/>
    <x v="0"/>
    <x v="156"/>
    <n v="0"/>
    <n v="0"/>
    <x v="0"/>
    <d v="2016-03-01T00:00:00"/>
  </r>
  <r>
    <x v="0"/>
    <x v="0"/>
    <n v="178"/>
    <n v="2016"/>
    <x v="2"/>
    <n v="37"/>
    <n v="9"/>
    <n v="0"/>
    <n v="2"/>
    <n v="1"/>
    <n v="0"/>
    <n v="0"/>
    <s v="BB"/>
    <s v="PRT"/>
    <s v="Groups"/>
    <x v="0"/>
    <n v="0"/>
    <n v="0"/>
    <n v="0"/>
    <s v="A"/>
    <s v="A"/>
    <n v="0"/>
    <s v="Non Refund"/>
    <n v="29"/>
    <m/>
    <n v="0"/>
    <x v="0"/>
    <x v="246"/>
    <n v="0"/>
    <n v="0"/>
    <x v="0"/>
    <d v="2016-03-23T00:00:00"/>
  </r>
  <r>
    <x v="0"/>
    <x v="1"/>
    <n v="36"/>
    <n v="2016"/>
    <x v="6"/>
    <n v="10"/>
    <n v="1"/>
    <n v="0"/>
    <n v="1"/>
    <n v="1"/>
    <n v="0"/>
    <n v="0"/>
    <s v="BB"/>
    <s v="DEU"/>
    <s v="Corporate"/>
    <x v="1"/>
    <n v="0"/>
    <n v="0"/>
    <n v="0"/>
    <s v="A"/>
    <s v="A"/>
    <n v="0"/>
    <s v="No Deposit"/>
    <m/>
    <n v="185"/>
    <n v="0"/>
    <x v="1"/>
    <x v="285"/>
    <n v="0"/>
    <n v="0"/>
    <x v="1"/>
    <d v="2016-03-02T00:00:00"/>
  </r>
  <r>
    <x v="1"/>
    <x v="1"/>
    <n v="83"/>
    <n v="2016"/>
    <x v="5"/>
    <n v="46"/>
    <n v="12"/>
    <n v="2"/>
    <n v="5"/>
    <n v="1"/>
    <n v="0"/>
    <n v="0"/>
    <s v="HB"/>
    <s v="DEU"/>
    <s v="Online TA"/>
    <x v="0"/>
    <n v="0"/>
    <n v="0"/>
    <n v="0"/>
    <s v="E"/>
    <s v="E"/>
    <n v="1"/>
    <s v="No Deposit"/>
    <n v="314"/>
    <m/>
    <n v="0"/>
    <x v="0"/>
    <x v="286"/>
    <n v="0"/>
    <n v="0"/>
    <x v="1"/>
    <d v="2016-11-19T00:00:00"/>
  </r>
  <r>
    <x v="0"/>
    <x v="0"/>
    <n v="3"/>
    <n v="2016"/>
    <x v="9"/>
    <n v="9"/>
    <n v="25"/>
    <n v="0"/>
    <n v="1"/>
    <n v="1"/>
    <n v="0"/>
    <n v="0"/>
    <s v="BB"/>
    <s v="PRT"/>
    <s v="Corporate"/>
    <x v="1"/>
    <n v="1"/>
    <n v="0"/>
    <n v="3"/>
    <s v="A"/>
    <s v="A"/>
    <n v="0"/>
    <s v="No Deposit"/>
    <m/>
    <n v="40"/>
    <n v="0"/>
    <x v="1"/>
    <x v="17"/>
    <n v="0"/>
    <n v="1"/>
    <x v="0"/>
    <d v="2016-02-25T00:00:00"/>
  </r>
  <r>
    <x v="1"/>
    <x v="0"/>
    <n v="96"/>
    <n v="2016"/>
    <x v="1"/>
    <n v="42"/>
    <n v="9"/>
    <n v="2"/>
    <n v="1"/>
    <n v="2"/>
    <n v="0"/>
    <n v="0"/>
    <s v="BB"/>
    <s v="PRT"/>
    <s v="Groups"/>
    <x v="1"/>
    <n v="0"/>
    <n v="0"/>
    <n v="0"/>
    <s v="A"/>
    <s v="A"/>
    <n v="0"/>
    <s v="No Deposit"/>
    <m/>
    <m/>
    <n v="0"/>
    <x v="1"/>
    <x v="238"/>
    <n v="0"/>
    <n v="0"/>
    <x v="0"/>
    <d v="2016-09-07T00:00:00"/>
  </r>
  <r>
    <x v="0"/>
    <x v="1"/>
    <n v="40"/>
    <n v="2016"/>
    <x v="1"/>
    <n v="42"/>
    <n v="10"/>
    <n v="1"/>
    <n v="2"/>
    <n v="2"/>
    <n v="0"/>
    <n v="0"/>
    <s v="BB"/>
    <s v="NLD"/>
    <s v="Offline TA/TO"/>
    <x v="0"/>
    <n v="0"/>
    <n v="0"/>
    <n v="0"/>
    <s v="A"/>
    <s v="A"/>
    <n v="0"/>
    <s v="No Deposit"/>
    <n v="85"/>
    <m/>
    <n v="0"/>
    <x v="0"/>
    <x v="133"/>
    <n v="0"/>
    <n v="0"/>
    <x v="1"/>
    <d v="2016-10-13T00:00:00"/>
  </r>
  <r>
    <x v="0"/>
    <x v="0"/>
    <n v="437"/>
    <n v="2016"/>
    <x v="7"/>
    <n v="19"/>
    <n v="2"/>
    <n v="1"/>
    <n v="2"/>
    <n v="2"/>
    <n v="0"/>
    <n v="0"/>
    <s v="BB"/>
    <s v="PRT"/>
    <s v="Groups"/>
    <x v="0"/>
    <n v="0"/>
    <n v="0"/>
    <n v="0"/>
    <s v="A"/>
    <s v="A"/>
    <n v="0"/>
    <s v="Non Refund"/>
    <n v="1"/>
    <m/>
    <n v="0"/>
    <x v="0"/>
    <x v="4"/>
    <n v="0"/>
    <n v="0"/>
    <x v="0"/>
    <d v="2016-03-14T00:00:00"/>
  </r>
  <r>
    <x v="0"/>
    <x v="1"/>
    <n v="41"/>
    <n v="2016"/>
    <x v="11"/>
    <n v="16"/>
    <n v="12"/>
    <n v="0"/>
    <n v="3"/>
    <n v="2"/>
    <n v="0"/>
    <n v="0"/>
    <s v="BB"/>
    <s v="FRA"/>
    <s v="Online TA"/>
    <x v="0"/>
    <n v="0"/>
    <n v="0"/>
    <n v="0"/>
    <s v="A"/>
    <s v="A"/>
    <n v="0"/>
    <s v="No Deposit"/>
    <n v="9"/>
    <m/>
    <n v="0"/>
    <x v="0"/>
    <x v="178"/>
    <n v="0"/>
    <n v="0"/>
    <x v="1"/>
    <d v="2016-04-15T00:00:00"/>
  </r>
  <r>
    <x v="0"/>
    <x v="1"/>
    <n v="56"/>
    <n v="2016"/>
    <x v="5"/>
    <n v="46"/>
    <n v="11"/>
    <n v="2"/>
    <n v="2"/>
    <n v="2"/>
    <n v="0"/>
    <n v="0"/>
    <s v="SC"/>
    <s v="ESP"/>
    <s v="Online TA"/>
    <x v="0"/>
    <n v="0"/>
    <n v="0"/>
    <n v="0"/>
    <s v="A"/>
    <s v="A"/>
    <n v="0"/>
    <s v="No Deposit"/>
    <n v="9"/>
    <m/>
    <n v="0"/>
    <x v="0"/>
    <x v="171"/>
    <n v="0"/>
    <n v="3"/>
    <x v="1"/>
    <d v="2016-11-15T00:00:00"/>
  </r>
  <r>
    <x v="0"/>
    <x v="0"/>
    <n v="1"/>
    <n v="2016"/>
    <x v="8"/>
    <n v="4"/>
    <n v="23"/>
    <n v="2"/>
    <n v="1"/>
    <n v="2"/>
    <n v="0"/>
    <n v="0"/>
    <s v="SC"/>
    <s v="AGO"/>
    <s v="Online TA"/>
    <x v="0"/>
    <n v="0"/>
    <n v="0"/>
    <n v="0"/>
    <s v="A"/>
    <s v="A"/>
    <n v="0"/>
    <s v="No Deposit"/>
    <n v="9"/>
    <m/>
    <n v="0"/>
    <x v="0"/>
    <x v="97"/>
    <n v="0"/>
    <n v="0"/>
    <x v="2"/>
    <d v="2016-01-23T00:00:00"/>
  </r>
  <r>
    <x v="1"/>
    <x v="0"/>
    <n v="209"/>
    <n v="2016"/>
    <x v="0"/>
    <n v="28"/>
    <n v="8"/>
    <n v="2"/>
    <n v="5"/>
    <n v="2"/>
    <n v="2"/>
    <n v="0"/>
    <s v="BB"/>
    <s v="PRT"/>
    <s v="Online TA"/>
    <x v="0"/>
    <n v="0"/>
    <n v="0"/>
    <n v="0"/>
    <s v="G"/>
    <s v="G"/>
    <n v="0"/>
    <s v="No Deposit"/>
    <n v="240"/>
    <m/>
    <n v="0"/>
    <x v="0"/>
    <x v="249"/>
    <n v="0"/>
    <n v="0"/>
    <x v="0"/>
    <d v="2016-04-01T00:00:00"/>
  </r>
  <r>
    <x v="0"/>
    <x v="1"/>
    <n v="113"/>
    <n v="2016"/>
    <x v="11"/>
    <n v="16"/>
    <n v="15"/>
    <n v="0"/>
    <n v="2"/>
    <n v="2"/>
    <n v="0"/>
    <n v="0"/>
    <s v="BB"/>
    <s v="FRA"/>
    <s v="Online TA"/>
    <x v="0"/>
    <n v="0"/>
    <n v="0"/>
    <n v="0"/>
    <s v="A"/>
    <s v="A"/>
    <n v="0"/>
    <s v="No Deposit"/>
    <n v="9"/>
    <m/>
    <n v="0"/>
    <x v="0"/>
    <x v="287"/>
    <n v="0"/>
    <n v="1"/>
    <x v="1"/>
    <d v="2016-04-17T00:00:00"/>
  </r>
  <r>
    <x v="0"/>
    <x v="0"/>
    <n v="405"/>
    <n v="2016"/>
    <x v="4"/>
    <n v="34"/>
    <n v="18"/>
    <n v="0"/>
    <n v="2"/>
    <n v="2"/>
    <n v="0"/>
    <n v="0"/>
    <s v="BB"/>
    <s v="PRT"/>
    <s v="Groups"/>
    <x v="0"/>
    <n v="0"/>
    <n v="0"/>
    <n v="0"/>
    <s v="A"/>
    <s v="A"/>
    <n v="0"/>
    <s v="Non Refund"/>
    <n v="1"/>
    <m/>
    <n v="0"/>
    <x v="0"/>
    <x v="6"/>
    <n v="0"/>
    <n v="0"/>
    <x v="0"/>
    <d v="2015-10-21T00:00:00"/>
  </r>
  <r>
    <x v="1"/>
    <x v="1"/>
    <n v="128"/>
    <n v="2016"/>
    <x v="2"/>
    <n v="40"/>
    <n v="30"/>
    <n v="2"/>
    <n v="5"/>
    <n v="2"/>
    <n v="0"/>
    <n v="0"/>
    <s v="BB"/>
    <s v="IRL"/>
    <s v="Direct"/>
    <x v="2"/>
    <n v="0"/>
    <n v="0"/>
    <n v="0"/>
    <s v="F"/>
    <s v="F"/>
    <n v="0"/>
    <s v="No Deposit"/>
    <n v="250"/>
    <m/>
    <n v="0"/>
    <x v="0"/>
    <x v="288"/>
    <n v="0"/>
    <n v="0"/>
    <x v="1"/>
    <d v="2016-10-07T00:00:00"/>
  </r>
  <r>
    <x v="1"/>
    <x v="1"/>
    <n v="0"/>
    <n v="2016"/>
    <x v="9"/>
    <n v="7"/>
    <n v="8"/>
    <n v="1"/>
    <n v="0"/>
    <n v="2"/>
    <n v="0"/>
    <n v="0"/>
    <s v="BB"/>
    <s v="ESP"/>
    <s v="Direct"/>
    <x v="2"/>
    <n v="0"/>
    <n v="0"/>
    <n v="0"/>
    <s v="A"/>
    <s v="A"/>
    <n v="2"/>
    <s v="No Deposit"/>
    <m/>
    <m/>
    <n v="0"/>
    <x v="0"/>
    <x v="238"/>
    <n v="0"/>
    <n v="0"/>
    <x v="1"/>
    <d v="2016-02-09T00:00:00"/>
  </r>
  <r>
    <x v="0"/>
    <x v="1"/>
    <n v="19"/>
    <n v="2016"/>
    <x v="2"/>
    <n v="38"/>
    <n v="12"/>
    <n v="1"/>
    <n v="0"/>
    <n v="2"/>
    <n v="0"/>
    <n v="0"/>
    <s v="SC"/>
    <s v="CHE"/>
    <s v="Online TA"/>
    <x v="0"/>
    <n v="0"/>
    <n v="0"/>
    <n v="0"/>
    <s v="A"/>
    <s v="A"/>
    <n v="0"/>
    <s v="No Deposit"/>
    <n v="9"/>
    <m/>
    <n v="0"/>
    <x v="0"/>
    <x v="138"/>
    <n v="0"/>
    <n v="0"/>
    <x v="1"/>
    <d v="2016-09-13T00:00:00"/>
  </r>
  <r>
    <x v="1"/>
    <x v="0"/>
    <n v="134"/>
    <n v="2016"/>
    <x v="4"/>
    <n v="34"/>
    <n v="17"/>
    <n v="2"/>
    <n v="4"/>
    <n v="3"/>
    <n v="0"/>
    <n v="0"/>
    <s v="HB"/>
    <s v="ESP"/>
    <s v="Online TA"/>
    <x v="0"/>
    <n v="0"/>
    <n v="0"/>
    <n v="0"/>
    <s v="A"/>
    <s v="A"/>
    <n v="1"/>
    <s v="No Deposit"/>
    <n v="240"/>
    <m/>
    <n v="0"/>
    <x v="0"/>
    <x v="289"/>
    <n v="0"/>
    <n v="0"/>
    <x v="0"/>
    <d v="2016-06-30T00:00:00"/>
  </r>
  <r>
    <x v="1"/>
    <x v="1"/>
    <n v="5"/>
    <n v="2016"/>
    <x v="2"/>
    <n v="36"/>
    <n v="3"/>
    <n v="2"/>
    <n v="2"/>
    <n v="2"/>
    <n v="0"/>
    <n v="0"/>
    <s v="BB"/>
    <s v="IRL"/>
    <s v="Direct"/>
    <x v="2"/>
    <n v="0"/>
    <n v="0"/>
    <n v="0"/>
    <s v="F"/>
    <s v="F"/>
    <n v="0"/>
    <s v="No Deposit"/>
    <n v="250"/>
    <m/>
    <n v="0"/>
    <x v="0"/>
    <x v="290"/>
    <n v="0"/>
    <n v="0"/>
    <x v="1"/>
    <d v="2016-09-07T00:00:00"/>
  </r>
  <r>
    <x v="1"/>
    <x v="1"/>
    <n v="0"/>
    <n v="2016"/>
    <x v="5"/>
    <n v="46"/>
    <n v="11"/>
    <n v="0"/>
    <n v="1"/>
    <n v="2"/>
    <n v="0"/>
    <n v="0"/>
    <s v="BB"/>
    <s v="PRT"/>
    <s v="Direct"/>
    <x v="2"/>
    <n v="0"/>
    <n v="0"/>
    <n v="0"/>
    <s v="E"/>
    <s v="E"/>
    <n v="0"/>
    <s v="No Deposit"/>
    <m/>
    <m/>
    <n v="0"/>
    <x v="0"/>
    <x v="89"/>
    <n v="0"/>
    <n v="0"/>
    <x v="1"/>
    <d v="2016-11-12T00:00:00"/>
  </r>
  <r>
    <x v="0"/>
    <x v="0"/>
    <n v="283"/>
    <n v="2016"/>
    <x v="1"/>
    <n v="43"/>
    <n v="16"/>
    <n v="2"/>
    <n v="0"/>
    <n v="2"/>
    <n v="0"/>
    <n v="0"/>
    <s v="HB"/>
    <s v="PRT"/>
    <s v="Groups"/>
    <x v="0"/>
    <n v="0"/>
    <n v="0"/>
    <n v="0"/>
    <s v="A"/>
    <s v="A"/>
    <n v="0"/>
    <s v="Non Refund"/>
    <n v="1"/>
    <m/>
    <n v="0"/>
    <x v="0"/>
    <x v="291"/>
    <n v="0"/>
    <n v="0"/>
    <x v="0"/>
    <d v="2016-02-09T00:00:00"/>
  </r>
  <r>
    <x v="1"/>
    <x v="1"/>
    <n v="204"/>
    <n v="2016"/>
    <x v="4"/>
    <n v="32"/>
    <n v="5"/>
    <n v="2"/>
    <n v="4"/>
    <n v="2"/>
    <n v="0"/>
    <n v="0"/>
    <s v="BB"/>
    <s v="CHE"/>
    <s v="Online TA"/>
    <x v="0"/>
    <n v="0"/>
    <n v="0"/>
    <n v="0"/>
    <s v="E"/>
    <s v="F"/>
    <n v="0"/>
    <s v="No Deposit"/>
    <n v="242"/>
    <m/>
    <n v="0"/>
    <x v="0"/>
    <x v="292"/>
    <n v="0"/>
    <n v="2"/>
    <x v="1"/>
    <d v="2016-08-11T00:00:00"/>
  </r>
  <r>
    <x v="1"/>
    <x v="1"/>
    <n v="1"/>
    <n v="2016"/>
    <x v="11"/>
    <n v="18"/>
    <n v="29"/>
    <n v="0"/>
    <n v="2"/>
    <n v="2"/>
    <n v="0"/>
    <n v="0"/>
    <s v="BB"/>
    <s v="PRT"/>
    <s v="Corporate"/>
    <x v="1"/>
    <n v="1"/>
    <n v="0"/>
    <n v="1"/>
    <s v="D"/>
    <s v="D"/>
    <n v="0"/>
    <s v="No Deposit"/>
    <m/>
    <n v="402"/>
    <n v="0"/>
    <x v="0"/>
    <x v="11"/>
    <n v="0"/>
    <n v="0"/>
    <x v="1"/>
    <d v="2016-05-01T00:00:00"/>
  </r>
  <r>
    <x v="0"/>
    <x v="1"/>
    <n v="0"/>
    <n v="2016"/>
    <x v="3"/>
    <n v="49"/>
    <n v="1"/>
    <n v="0"/>
    <n v="2"/>
    <n v="1"/>
    <n v="0"/>
    <n v="0"/>
    <s v="BB"/>
    <s v="FRA"/>
    <s v="Online TA"/>
    <x v="0"/>
    <n v="0"/>
    <n v="0"/>
    <n v="0"/>
    <s v="A"/>
    <s v="A"/>
    <n v="0"/>
    <s v="No Deposit"/>
    <n v="9"/>
    <m/>
    <n v="0"/>
    <x v="0"/>
    <x v="291"/>
    <n v="0"/>
    <n v="1"/>
    <x v="1"/>
    <d v="2016-12-03T00:00:00"/>
  </r>
  <r>
    <x v="1"/>
    <x v="1"/>
    <n v="5"/>
    <n v="2016"/>
    <x v="9"/>
    <n v="7"/>
    <n v="8"/>
    <n v="6"/>
    <n v="15"/>
    <n v="2"/>
    <n v="0"/>
    <n v="0"/>
    <s v="Undefined"/>
    <s v="FRA"/>
    <s v="Offline TA/TO"/>
    <x v="0"/>
    <n v="0"/>
    <n v="0"/>
    <n v="0"/>
    <s v="A"/>
    <s v="E"/>
    <n v="1"/>
    <s v="No Deposit"/>
    <n v="363"/>
    <m/>
    <n v="0"/>
    <x v="0"/>
    <x v="293"/>
    <n v="1"/>
    <n v="0"/>
    <x v="1"/>
    <d v="2016-02-29T00:00:00"/>
  </r>
  <r>
    <x v="0"/>
    <x v="1"/>
    <n v="104"/>
    <n v="2016"/>
    <x v="7"/>
    <n v="20"/>
    <n v="14"/>
    <n v="2"/>
    <n v="1"/>
    <n v="3"/>
    <n v="0"/>
    <n v="0"/>
    <s v="BB"/>
    <s v="FRA"/>
    <s v="Online TA"/>
    <x v="0"/>
    <n v="0"/>
    <n v="0"/>
    <n v="0"/>
    <s v="D"/>
    <s v="D"/>
    <n v="0"/>
    <s v="No Deposit"/>
    <n v="9"/>
    <m/>
    <n v="0"/>
    <x v="1"/>
    <x v="137"/>
    <n v="0"/>
    <n v="2"/>
    <x v="1"/>
    <d v="2016-05-17T00:00:00"/>
  </r>
  <r>
    <x v="0"/>
    <x v="0"/>
    <n v="265"/>
    <n v="2016"/>
    <x v="5"/>
    <n v="48"/>
    <n v="20"/>
    <n v="2"/>
    <n v="1"/>
    <n v="2"/>
    <n v="0"/>
    <n v="0"/>
    <s v="BB"/>
    <s v="GBR"/>
    <s v="Online TA"/>
    <x v="0"/>
    <n v="0"/>
    <n v="0"/>
    <n v="0"/>
    <s v="A"/>
    <s v="A"/>
    <n v="0"/>
    <s v="No Deposit"/>
    <n v="9"/>
    <m/>
    <n v="0"/>
    <x v="0"/>
    <x v="294"/>
    <n v="0"/>
    <n v="2"/>
    <x v="0"/>
    <d v="2016-09-23T00:00:00"/>
  </r>
  <r>
    <x v="0"/>
    <x v="0"/>
    <n v="305"/>
    <n v="2016"/>
    <x v="5"/>
    <n v="45"/>
    <n v="4"/>
    <n v="1"/>
    <n v="2"/>
    <n v="2"/>
    <n v="0"/>
    <n v="0"/>
    <s v="BB"/>
    <s v="PRT"/>
    <s v="Offline TA/TO"/>
    <x v="0"/>
    <n v="0"/>
    <n v="0"/>
    <n v="0"/>
    <s v="A"/>
    <s v="A"/>
    <n v="0"/>
    <s v="Non Refund"/>
    <n v="21"/>
    <m/>
    <n v="0"/>
    <x v="0"/>
    <x v="138"/>
    <n v="0"/>
    <n v="0"/>
    <x v="0"/>
    <d v="2016-02-01T00:00:00"/>
  </r>
  <r>
    <x v="1"/>
    <x v="1"/>
    <n v="336"/>
    <n v="2016"/>
    <x v="2"/>
    <n v="38"/>
    <n v="15"/>
    <n v="1"/>
    <n v="3"/>
    <n v="2"/>
    <n v="0"/>
    <n v="0"/>
    <s v="BB"/>
    <s v="GBR"/>
    <s v="Groups"/>
    <x v="2"/>
    <n v="0"/>
    <n v="0"/>
    <n v="0"/>
    <s v="A"/>
    <s v="A"/>
    <n v="1"/>
    <s v="No Deposit"/>
    <m/>
    <n v="223"/>
    <n v="0"/>
    <x v="1"/>
    <x v="295"/>
    <n v="1"/>
    <n v="0"/>
    <x v="1"/>
    <d v="2016-09-19T00:00:00"/>
  </r>
  <r>
    <x v="0"/>
    <x v="1"/>
    <n v="188"/>
    <n v="2016"/>
    <x v="4"/>
    <n v="33"/>
    <n v="8"/>
    <n v="1"/>
    <n v="1"/>
    <n v="2"/>
    <n v="1"/>
    <n v="0"/>
    <s v="HB"/>
    <s v="ITA"/>
    <s v="Online TA"/>
    <x v="0"/>
    <n v="0"/>
    <n v="0"/>
    <n v="0"/>
    <s v="A"/>
    <s v="A"/>
    <n v="1"/>
    <s v="No Deposit"/>
    <n v="9"/>
    <m/>
    <n v="0"/>
    <x v="0"/>
    <x v="152"/>
    <n v="0"/>
    <n v="1"/>
    <x v="1"/>
    <d v="2016-08-10T00:00:00"/>
  </r>
  <r>
    <x v="0"/>
    <x v="1"/>
    <n v="175"/>
    <n v="2016"/>
    <x v="0"/>
    <n v="29"/>
    <n v="10"/>
    <n v="4"/>
    <n v="6"/>
    <n v="2"/>
    <n v="0"/>
    <n v="0"/>
    <s v="BB"/>
    <s v="NOR"/>
    <s v="Online TA"/>
    <x v="0"/>
    <n v="0"/>
    <n v="0"/>
    <n v="0"/>
    <s v="D"/>
    <s v="D"/>
    <n v="0"/>
    <s v="No Deposit"/>
    <n v="8"/>
    <m/>
    <n v="0"/>
    <x v="0"/>
    <x v="124"/>
    <n v="0"/>
    <n v="1"/>
    <x v="1"/>
    <d v="2016-07-20T00:00:00"/>
  </r>
  <r>
    <x v="0"/>
    <x v="0"/>
    <n v="194"/>
    <n v="2016"/>
    <x v="0"/>
    <n v="28"/>
    <n v="9"/>
    <n v="2"/>
    <n v="1"/>
    <n v="0"/>
    <n v="2"/>
    <n v="0"/>
    <s v="BB"/>
    <s v="NLD"/>
    <s v="Online TA"/>
    <x v="0"/>
    <n v="0"/>
    <n v="0"/>
    <n v="0"/>
    <s v="B"/>
    <s v="B"/>
    <n v="1"/>
    <s v="No Deposit"/>
    <n v="9"/>
    <m/>
    <n v="0"/>
    <x v="0"/>
    <x v="296"/>
    <n v="0"/>
    <n v="0"/>
    <x v="0"/>
    <d v="2015-12-30T00:00:00"/>
  </r>
  <r>
    <x v="0"/>
    <x v="1"/>
    <n v="18"/>
    <n v="2016"/>
    <x v="10"/>
    <n v="25"/>
    <n v="13"/>
    <n v="1"/>
    <n v="0"/>
    <n v="2"/>
    <n v="0"/>
    <n v="0"/>
    <s v="BB"/>
    <s v="PRT"/>
    <s v="Online TA"/>
    <x v="0"/>
    <n v="0"/>
    <n v="0"/>
    <n v="0"/>
    <s v="D"/>
    <s v="A"/>
    <n v="0"/>
    <s v="No Deposit"/>
    <n v="7"/>
    <m/>
    <n v="0"/>
    <x v="0"/>
    <x v="77"/>
    <n v="0"/>
    <n v="0"/>
    <x v="1"/>
    <d v="2016-06-14T00:00:00"/>
  </r>
  <r>
    <x v="0"/>
    <x v="1"/>
    <n v="2"/>
    <n v="2016"/>
    <x v="7"/>
    <n v="19"/>
    <n v="4"/>
    <n v="0"/>
    <n v="1"/>
    <n v="1"/>
    <n v="0"/>
    <n v="0"/>
    <s v="BB"/>
    <s v="PRT"/>
    <s v="Aviation"/>
    <x v="1"/>
    <n v="0"/>
    <n v="0"/>
    <n v="0"/>
    <s v="A"/>
    <s v="A"/>
    <n v="0"/>
    <s v="No Deposit"/>
    <m/>
    <n v="153"/>
    <n v="0"/>
    <x v="0"/>
    <x v="119"/>
    <n v="0"/>
    <n v="0"/>
    <x v="1"/>
    <d v="2016-05-05T00:00:00"/>
  </r>
  <r>
    <x v="0"/>
    <x v="1"/>
    <n v="2"/>
    <n v="2016"/>
    <x v="0"/>
    <n v="29"/>
    <n v="11"/>
    <n v="1"/>
    <n v="2"/>
    <n v="1"/>
    <n v="0"/>
    <n v="0"/>
    <s v="BB"/>
    <s v="PRT"/>
    <s v="Complementary"/>
    <x v="1"/>
    <n v="1"/>
    <n v="2"/>
    <n v="6"/>
    <s v="A"/>
    <s v="A"/>
    <n v="0"/>
    <s v="No Deposit"/>
    <m/>
    <n v="45"/>
    <n v="0"/>
    <x v="0"/>
    <x v="7"/>
    <n v="0"/>
    <n v="1"/>
    <x v="1"/>
    <d v="2016-07-14T00:00:00"/>
  </r>
  <r>
    <x v="0"/>
    <x v="0"/>
    <n v="181"/>
    <n v="2016"/>
    <x v="1"/>
    <n v="42"/>
    <n v="11"/>
    <n v="0"/>
    <n v="2"/>
    <n v="1"/>
    <n v="0"/>
    <n v="0"/>
    <s v="BB"/>
    <s v="PRT"/>
    <s v="Offline TA/TO"/>
    <x v="0"/>
    <n v="0"/>
    <n v="0"/>
    <n v="0"/>
    <s v="A"/>
    <s v="A"/>
    <n v="0"/>
    <s v="No Deposit"/>
    <n v="234"/>
    <m/>
    <n v="0"/>
    <x v="1"/>
    <x v="169"/>
    <n v="0"/>
    <n v="0"/>
    <x v="2"/>
    <d v="2016-10-11T00:00:00"/>
  </r>
  <r>
    <x v="0"/>
    <x v="1"/>
    <n v="1"/>
    <n v="2016"/>
    <x v="5"/>
    <n v="48"/>
    <n v="22"/>
    <n v="0"/>
    <n v="3"/>
    <n v="2"/>
    <n v="0"/>
    <n v="0"/>
    <s v="SC"/>
    <s v="CHN"/>
    <s v="Online TA"/>
    <x v="0"/>
    <n v="0"/>
    <n v="0"/>
    <n v="0"/>
    <s v="D"/>
    <s v="E"/>
    <n v="0"/>
    <s v="No Deposit"/>
    <n v="9"/>
    <m/>
    <n v="0"/>
    <x v="0"/>
    <x v="25"/>
    <n v="0"/>
    <n v="1"/>
    <x v="1"/>
    <d v="2016-11-25T00:00:00"/>
  </r>
  <r>
    <x v="0"/>
    <x v="1"/>
    <n v="12"/>
    <n v="2016"/>
    <x v="1"/>
    <n v="44"/>
    <n v="25"/>
    <n v="0"/>
    <n v="3"/>
    <n v="1"/>
    <n v="0"/>
    <n v="0"/>
    <s v="BB"/>
    <s v="BIH"/>
    <s v="Online TA"/>
    <x v="0"/>
    <n v="0"/>
    <n v="0"/>
    <n v="0"/>
    <s v="A"/>
    <s v="A"/>
    <n v="0"/>
    <s v="No Deposit"/>
    <n v="9"/>
    <m/>
    <n v="0"/>
    <x v="0"/>
    <x v="58"/>
    <n v="0"/>
    <n v="2"/>
    <x v="1"/>
    <d v="2016-10-28T00:00:00"/>
  </r>
  <r>
    <x v="0"/>
    <x v="0"/>
    <n v="125"/>
    <n v="2016"/>
    <x v="4"/>
    <n v="33"/>
    <n v="8"/>
    <n v="1"/>
    <n v="4"/>
    <n v="2"/>
    <n v="0"/>
    <n v="0"/>
    <s v="BB"/>
    <s v="FRA"/>
    <s v="Online TA"/>
    <x v="0"/>
    <n v="0"/>
    <n v="0"/>
    <n v="0"/>
    <s v="A"/>
    <s v="A"/>
    <n v="0"/>
    <s v="No Deposit"/>
    <n v="9"/>
    <m/>
    <n v="0"/>
    <x v="0"/>
    <x v="186"/>
    <n v="0"/>
    <n v="0"/>
    <x v="0"/>
    <d v="2016-04-05T00:00:00"/>
  </r>
  <r>
    <x v="0"/>
    <x v="1"/>
    <n v="42"/>
    <n v="2016"/>
    <x v="6"/>
    <n v="11"/>
    <n v="11"/>
    <n v="0"/>
    <n v="2"/>
    <n v="2"/>
    <n v="0"/>
    <n v="0"/>
    <s v="BB"/>
    <s v="BEL"/>
    <s v="Online TA"/>
    <x v="0"/>
    <n v="0"/>
    <n v="0"/>
    <n v="0"/>
    <s v="A"/>
    <s v="A"/>
    <n v="0"/>
    <s v="No Deposit"/>
    <n v="9"/>
    <m/>
    <n v="0"/>
    <x v="0"/>
    <x v="94"/>
    <n v="0"/>
    <n v="0"/>
    <x v="1"/>
    <d v="2016-03-13T00:00:00"/>
  </r>
  <r>
    <x v="0"/>
    <x v="0"/>
    <n v="188"/>
    <n v="2016"/>
    <x v="10"/>
    <n v="25"/>
    <n v="15"/>
    <n v="0"/>
    <n v="2"/>
    <n v="1"/>
    <n v="0"/>
    <n v="0"/>
    <s v="BB"/>
    <s v="PRT"/>
    <s v="Offline TA/TO"/>
    <x v="0"/>
    <n v="0"/>
    <n v="0"/>
    <n v="0"/>
    <s v="A"/>
    <s v="A"/>
    <n v="0"/>
    <s v="Non Refund"/>
    <n v="119"/>
    <m/>
    <n v="39"/>
    <x v="0"/>
    <x v="58"/>
    <n v="0"/>
    <n v="0"/>
    <x v="0"/>
    <d v="2016-01-18T00:00:00"/>
  </r>
  <r>
    <x v="0"/>
    <x v="1"/>
    <n v="42"/>
    <n v="2016"/>
    <x v="11"/>
    <n v="14"/>
    <n v="2"/>
    <n v="0"/>
    <n v="1"/>
    <n v="2"/>
    <n v="0"/>
    <n v="0"/>
    <s v="BB"/>
    <s v="CHN"/>
    <s v="Online TA"/>
    <x v="0"/>
    <n v="0"/>
    <n v="0"/>
    <n v="0"/>
    <s v="A"/>
    <s v="D"/>
    <n v="0"/>
    <s v="No Deposit"/>
    <n v="9"/>
    <m/>
    <n v="0"/>
    <x v="0"/>
    <x v="161"/>
    <n v="0"/>
    <n v="0"/>
    <x v="1"/>
    <d v="2016-04-03T00:00:00"/>
  </r>
  <r>
    <x v="1"/>
    <x v="1"/>
    <n v="18"/>
    <n v="2016"/>
    <x v="0"/>
    <n v="27"/>
    <n v="1"/>
    <n v="1"/>
    <n v="2"/>
    <n v="2"/>
    <n v="0"/>
    <n v="0"/>
    <s v="BB"/>
    <s v="DEU"/>
    <s v="Online TA"/>
    <x v="0"/>
    <n v="0"/>
    <n v="0"/>
    <n v="0"/>
    <s v="A"/>
    <s v="A"/>
    <n v="0"/>
    <s v="No Deposit"/>
    <n v="240"/>
    <m/>
    <n v="0"/>
    <x v="0"/>
    <x v="142"/>
    <n v="0"/>
    <n v="1"/>
    <x v="1"/>
    <d v="2016-07-04T00:00:00"/>
  </r>
  <r>
    <x v="0"/>
    <x v="0"/>
    <n v="205"/>
    <n v="2016"/>
    <x v="4"/>
    <n v="32"/>
    <n v="4"/>
    <n v="1"/>
    <n v="3"/>
    <n v="2"/>
    <n v="0"/>
    <n v="0"/>
    <s v="SC"/>
    <s v="PRT"/>
    <s v="Online TA"/>
    <x v="0"/>
    <n v="0"/>
    <n v="0"/>
    <n v="0"/>
    <s v="A"/>
    <s v="A"/>
    <n v="2"/>
    <s v="No Deposit"/>
    <n v="7"/>
    <m/>
    <n v="0"/>
    <x v="0"/>
    <x v="8"/>
    <n v="0"/>
    <n v="0"/>
    <x v="0"/>
    <d v="2016-01-14T00:00:00"/>
  </r>
  <r>
    <x v="0"/>
    <x v="1"/>
    <n v="67"/>
    <n v="2016"/>
    <x v="11"/>
    <n v="18"/>
    <n v="30"/>
    <n v="1"/>
    <n v="1"/>
    <n v="3"/>
    <n v="0"/>
    <n v="0"/>
    <s v="HB"/>
    <s v="ESP"/>
    <s v="Online TA"/>
    <x v="0"/>
    <n v="0"/>
    <n v="0"/>
    <n v="0"/>
    <s v="D"/>
    <s v="D"/>
    <n v="1"/>
    <s v="No Deposit"/>
    <n v="9"/>
    <m/>
    <n v="0"/>
    <x v="0"/>
    <x v="297"/>
    <n v="1"/>
    <n v="2"/>
    <x v="1"/>
    <d v="2016-05-02T00:00:00"/>
  </r>
  <r>
    <x v="1"/>
    <x v="0"/>
    <n v="138"/>
    <n v="2016"/>
    <x v="11"/>
    <n v="18"/>
    <n v="25"/>
    <n v="1"/>
    <n v="2"/>
    <n v="2"/>
    <n v="0"/>
    <n v="0"/>
    <s v="BB"/>
    <s v="PRT"/>
    <s v="Groups"/>
    <x v="0"/>
    <n v="0"/>
    <n v="0"/>
    <n v="0"/>
    <s v="E"/>
    <s v="E"/>
    <n v="0"/>
    <s v="Non Refund"/>
    <m/>
    <m/>
    <n v="0"/>
    <x v="0"/>
    <x v="9"/>
    <n v="0"/>
    <n v="0"/>
    <x v="0"/>
    <d v="2016-01-18T00:00:00"/>
  </r>
  <r>
    <x v="0"/>
    <x v="1"/>
    <n v="58"/>
    <n v="2016"/>
    <x v="2"/>
    <n v="40"/>
    <n v="29"/>
    <n v="0"/>
    <n v="1"/>
    <n v="2"/>
    <n v="1"/>
    <n v="0"/>
    <s v="BB"/>
    <s v="IRL"/>
    <s v="Direct"/>
    <x v="2"/>
    <n v="0"/>
    <n v="0"/>
    <n v="0"/>
    <s v="D"/>
    <s v="D"/>
    <n v="0"/>
    <s v="No Deposit"/>
    <n v="14"/>
    <m/>
    <n v="0"/>
    <x v="0"/>
    <x v="298"/>
    <n v="0"/>
    <n v="2"/>
    <x v="1"/>
    <d v="2016-09-30T00:00:00"/>
  </r>
  <r>
    <x v="0"/>
    <x v="0"/>
    <n v="317"/>
    <n v="2016"/>
    <x v="2"/>
    <n v="37"/>
    <n v="9"/>
    <n v="1"/>
    <n v="2"/>
    <n v="2"/>
    <n v="0"/>
    <n v="0"/>
    <s v="BB"/>
    <s v="PRT"/>
    <s v="Offline TA/TO"/>
    <x v="0"/>
    <n v="0"/>
    <n v="1"/>
    <n v="0"/>
    <s v="A"/>
    <s v="A"/>
    <n v="0"/>
    <s v="Non Refund"/>
    <n v="58"/>
    <m/>
    <n v="56"/>
    <x v="0"/>
    <x v="13"/>
    <n v="0"/>
    <n v="0"/>
    <x v="0"/>
    <d v="2015-12-23T00:00:00"/>
  </r>
  <r>
    <x v="0"/>
    <x v="0"/>
    <n v="19"/>
    <n v="2016"/>
    <x v="5"/>
    <n v="46"/>
    <n v="7"/>
    <n v="1"/>
    <n v="1"/>
    <n v="1"/>
    <n v="0"/>
    <n v="0"/>
    <s v="BB"/>
    <s v="PRT"/>
    <s v="Online TA"/>
    <x v="0"/>
    <n v="0"/>
    <n v="0"/>
    <n v="0"/>
    <s v="A"/>
    <s v="A"/>
    <n v="0"/>
    <s v="No Deposit"/>
    <n v="83"/>
    <m/>
    <n v="0"/>
    <x v="0"/>
    <x v="144"/>
    <n v="0"/>
    <n v="0"/>
    <x v="0"/>
    <d v="2016-10-24T00:00:00"/>
  </r>
  <r>
    <x v="0"/>
    <x v="0"/>
    <n v="211"/>
    <n v="2016"/>
    <x v="7"/>
    <n v="21"/>
    <n v="20"/>
    <n v="0"/>
    <n v="2"/>
    <n v="2"/>
    <n v="0"/>
    <n v="0"/>
    <s v="BB"/>
    <s v="PRT"/>
    <s v="Offline TA/TO"/>
    <x v="0"/>
    <n v="0"/>
    <n v="0"/>
    <n v="0"/>
    <s v="A"/>
    <s v="A"/>
    <n v="0"/>
    <s v="Non Refund"/>
    <n v="6"/>
    <m/>
    <n v="111"/>
    <x v="0"/>
    <x v="25"/>
    <n v="0"/>
    <n v="0"/>
    <x v="0"/>
    <d v="2016-03-18T00:00:00"/>
  </r>
  <r>
    <x v="0"/>
    <x v="0"/>
    <n v="40"/>
    <n v="2016"/>
    <x v="11"/>
    <n v="15"/>
    <n v="6"/>
    <n v="0"/>
    <n v="1"/>
    <n v="2"/>
    <n v="2"/>
    <n v="0"/>
    <s v="BB"/>
    <s v="FRA"/>
    <s v="Online TA"/>
    <x v="0"/>
    <n v="0"/>
    <n v="0"/>
    <n v="0"/>
    <s v="F"/>
    <s v="F"/>
    <n v="0"/>
    <s v="No Deposit"/>
    <n v="9"/>
    <m/>
    <n v="0"/>
    <x v="0"/>
    <x v="299"/>
    <n v="0"/>
    <n v="0"/>
    <x v="0"/>
    <d v="2016-03-12T00:00:00"/>
  </r>
  <r>
    <x v="0"/>
    <x v="1"/>
    <n v="29"/>
    <n v="2016"/>
    <x v="1"/>
    <n v="41"/>
    <n v="5"/>
    <n v="1"/>
    <n v="4"/>
    <n v="2"/>
    <n v="0"/>
    <n v="0"/>
    <s v="BB"/>
    <s v="POL"/>
    <s v="Online TA"/>
    <x v="0"/>
    <n v="0"/>
    <n v="0"/>
    <n v="0"/>
    <s v="D"/>
    <s v="D"/>
    <n v="0"/>
    <s v="No Deposit"/>
    <n v="9"/>
    <m/>
    <n v="0"/>
    <x v="0"/>
    <x v="300"/>
    <n v="0"/>
    <n v="2"/>
    <x v="1"/>
    <d v="2016-10-10T00:00:00"/>
  </r>
  <r>
    <x v="1"/>
    <x v="1"/>
    <n v="31"/>
    <n v="2016"/>
    <x v="11"/>
    <n v="17"/>
    <n v="18"/>
    <n v="1"/>
    <n v="1"/>
    <n v="1"/>
    <n v="0"/>
    <n v="0"/>
    <s v="BB"/>
    <s v="DEU"/>
    <s v="Groups"/>
    <x v="1"/>
    <n v="0"/>
    <n v="0"/>
    <n v="0"/>
    <s v="D"/>
    <s v="D"/>
    <n v="1"/>
    <s v="No Deposit"/>
    <m/>
    <m/>
    <n v="0"/>
    <x v="0"/>
    <x v="45"/>
    <n v="0"/>
    <n v="0"/>
    <x v="1"/>
    <d v="2016-04-20T00:00:00"/>
  </r>
  <r>
    <x v="1"/>
    <x v="0"/>
    <n v="82"/>
    <n v="2016"/>
    <x v="9"/>
    <n v="7"/>
    <n v="7"/>
    <n v="2"/>
    <n v="0"/>
    <n v="2"/>
    <n v="0"/>
    <n v="0"/>
    <s v="BB"/>
    <s v="PRT"/>
    <s v="Groups"/>
    <x v="0"/>
    <n v="1"/>
    <n v="1"/>
    <n v="0"/>
    <s v="A"/>
    <s v="A"/>
    <n v="0"/>
    <s v="No Deposit"/>
    <n v="67"/>
    <m/>
    <n v="0"/>
    <x v="1"/>
    <x v="37"/>
    <n v="0"/>
    <n v="0"/>
    <x v="0"/>
    <d v="2015-11-17T00:00:00"/>
  </r>
  <r>
    <x v="0"/>
    <x v="1"/>
    <n v="91"/>
    <n v="2016"/>
    <x v="0"/>
    <n v="30"/>
    <n v="20"/>
    <n v="0"/>
    <n v="2"/>
    <n v="2"/>
    <n v="1"/>
    <n v="0"/>
    <s v="BB"/>
    <s v="PRT"/>
    <s v="Online TA"/>
    <x v="0"/>
    <n v="0"/>
    <n v="0"/>
    <n v="0"/>
    <s v="A"/>
    <s v="D"/>
    <n v="0"/>
    <s v="No Deposit"/>
    <n v="9"/>
    <m/>
    <n v="0"/>
    <x v="0"/>
    <x v="128"/>
    <n v="0"/>
    <n v="2"/>
    <x v="1"/>
    <d v="2016-07-22T00:00:00"/>
  </r>
  <r>
    <x v="1"/>
    <x v="1"/>
    <n v="24"/>
    <n v="2016"/>
    <x v="10"/>
    <n v="26"/>
    <n v="25"/>
    <n v="2"/>
    <n v="1"/>
    <n v="2"/>
    <n v="0"/>
    <n v="0"/>
    <s v="BB"/>
    <s v="GBR"/>
    <s v="Online TA"/>
    <x v="0"/>
    <n v="0"/>
    <n v="0"/>
    <n v="0"/>
    <s v="A"/>
    <s v="A"/>
    <n v="0"/>
    <s v="No Deposit"/>
    <n v="241"/>
    <m/>
    <n v="0"/>
    <x v="0"/>
    <x v="301"/>
    <n v="0"/>
    <n v="1"/>
    <x v="1"/>
    <d v="2016-06-28T00:00:00"/>
  </r>
  <r>
    <x v="1"/>
    <x v="1"/>
    <n v="81"/>
    <n v="2016"/>
    <x v="0"/>
    <n v="29"/>
    <n v="15"/>
    <n v="2"/>
    <n v="5"/>
    <n v="2"/>
    <n v="0"/>
    <n v="0"/>
    <s v="BB"/>
    <s v="GBR"/>
    <s v="Online TA"/>
    <x v="0"/>
    <n v="0"/>
    <n v="0"/>
    <n v="0"/>
    <s v="E"/>
    <s v="E"/>
    <n v="0"/>
    <s v="No Deposit"/>
    <n v="240"/>
    <m/>
    <n v="0"/>
    <x v="0"/>
    <x v="302"/>
    <n v="0"/>
    <n v="2"/>
    <x v="1"/>
    <d v="2016-07-22T00:00:00"/>
  </r>
  <r>
    <x v="1"/>
    <x v="1"/>
    <n v="46"/>
    <n v="2016"/>
    <x v="3"/>
    <n v="53"/>
    <n v="30"/>
    <n v="0"/>
    <n v="2"/>
    <n v="2"/>
    <n v="0"/>
    <n v="0"/>
    <s v="BB"/>
    <s v="PRT"/>
    <s v="Offline TA/TO"/>
    <x v="0"/>
    <n v="0"/>
    <n v="0"/>
    <n v="0"/>
    <s v="D"/>
    <s v="D"/>
    <n v="0"/>
    <s v="No Deposit"/>
    <n v="5"/>
    <m/>
    <n v="0"/>
    <x v="0"/>
    <x v="303"/>
    <n v="0"/>
    <n v="0"/>
    <x v="1"/>
    <d v="2017-01-01T00:00:00"/>
  </r>
  <r>
    <x v="0"/>
    <x v="1"/>
    <n v="43"/>
    <n v="2016"/>
    <x v="4"/>
    <n v="32"/>
    <n v="5"/>
    <n v="2"/>
    <n v="2"/>
    <n v="3"/>
    <n v="0"/>
    <n v="0"/>
    <s v="BB"/>
    <s v="BEL"/>
    <s v="Online TA"/>
    <x v="0"/>
    <n v="0"/>
    <n v="0"/>
    <n v="0"/>
    <s v="D"/>
    <s v="D"/>
    <n v="0"/>
    <s v="No Deposit"/>
    <n v="9"/>
    <m/>
    <n v="0"/>
    <x v="0"/>
    <x v="129"/>
    <n v="0"/>
    <n v="2"/>
    <x v="1"/>
    <d v="2016-08-09T00:00:00"/>
  </r>
  <r>
    <x v="0"/>
    <x v="1"/>
    <n v="229"/>
    <n v="2016"/>
    <x v="1"/>
    <n v="44"/>
    <n v="27"/>
    <n v="0"/>
    <n v="3"/>
    <n v="2"/>
    <n v="0"/>
    <n v="0"/>
    <s v="BB"/>
    <s v="GBR"/>
    <s v="Online TA"/>
    <x v="0"/>
    <n v="0"/>
    <n v="0"/>
    <n v="0"/>
    <s v="A"/>
    <s v="A"/>
    <n v="0"/>
    <s v="No Deposit"/>
    <n v="7"/>
    <m/>
    <n v="0"/>
    <x v="0"/>
    <x v="304"/>
    <n v="0"/>
    <n v="2"/>
    <x v="1"/>
    <d v="2016-10-30T00:00:00"/>
  </r>
  <r>
    <x v="0"/>
    <x v="0"/>
    <n v="199"/>
    <n v="2016"/>
    <x v="1"/>
    <n v="44"/>
    <n v="28"/>
    <n v="0"/>
    <n v="2"/>
    <n v="2"/>
    <n v="0"/>
    <n v="0"/>
    <s v="BB"/>
    <s v="PRT"/>
    <s v="Groups"/>
    <x v="0"/>
    <n v="0"/>
    <n v="0"/>
    <n v="0"/>
    <s v="A"/>
    <s v="A"/>
    <n v="0"/>
    <s v="No Deposit"/>
    <n v="29"/>
    <m/>
    <n v="0"/>
    <x v="1"/>
    <x v="119"/>
    <n v="0"/>
    <n v="0"/>
    <x v="0"/>
    <d v="2016-10-21T00:00:00"/>
  </r>
  <r>
    <x v="1"/>
    <x v="0"/>
    <n v="14"/>
    <n v="2016"/>
    <x v="1"/>
    <n v="44"/>
    <n v="25"/>
    <n v="0"/>
    <n v="3"/>
    <n v="2"/>
    <n v="0"/>
    <n v="0"/>
    <s v="BB"/>
    <s v="FIN"/>
    <s v="Complementary"/>
    <x v="2"/>
    <n v="0"/>
    <n v="1"/>
    <n v="1"/>
    <s v="A"/>
    <s v="E"/>
    <n v="0"/>
    <s v="No Deposit"/>
    <m/>
    <m/>
    <n v="0"/>
    <x v="0"/>
    <x v="7"/>
    <n v="0"/>
    <n v="2"/>
    <x v="0"/>
    <d v="2016-10-18T00:00:00"/>
  </r>
  <r>
    <x v="0"/>
    <x v="0"/>
    <n v="443"/>
    <n v="2016"/>
    <x v="1"/>
    <n v="41"/>
    <n v="7"/>
    <n v="0"/>
    <n v="2"/>
    <n v="2"/>
    <n v="0"/>
    <n v="0"/>
    <s v="BB"/>
    <s v="PRT"/>
    <s v="Groups"/>
    <x v="0"/>
    <n v="0"/>
    <n v="0"/>
    <n v="0"/>
    <s v="A"/>
    <s v="A"/>
    <n v="0"/>
    <s v="Non Refund"/>
    <n v="1"/>
    <m/>
    <n v="391"/>
    <x v="0"/>
    <x v="9"/>
    <n v="0"/>
    <n v="0"/>
    <x v="0"/>
    <d v="2016-09-20T00:00:00"/>
  </r>
  <r>
    <x v="0"/>
    <x v="0"/>
    <n v="250"/>
    <n v="2016"/>
    <x v="2"/>
    <n v="40"/>
    <n v="26"/>
    <n v="1"/>
    <n v="3"/>
    <n v="2"/>
    <n v="0"/>
    <n v="0"/>
    <s v="BB"/>
    <s v="PRT"/>
    <s v="Offline TA/TO"/>
    <x v="0"/>
    <n v="0"/>
    <n v="0"/>
    <n v="0"/>
    <s v="A"/>
    <s v="A"/>
    <n v="0"/>
    <s v="Non Refund"/>
    <n v="3"/>
    <m/>
    <n v="0"/>
    <x v="0"/>
    <x v="119"/>
    <n v="0"/>
    <n v="0"/>
    <x v="0"/>
    <d v="2016-06-28T00:00:00"/>
  </r>
  <r>
    <x v="1"/>
    <x v="0"/>
    <n v="112"/>
    <n v="2016"/>
    <x v="9"/>
    <n v="7"/>
    <n v="12"/>
    <n v="0"/>
    <n v="2"/>
    <n v="2"/>
    <n v="0"/>
    <n v="0"/>
    <s v="FB"/>
    <s v="PRT"/>
    <s v="Groups"/>
    <x v="0"/>
    <n v="0"/>
    <n v="0"/>
    <n v="0"/>
    <s v="A"/>
    <s v="A"/>
    <n v="0"/>
    <s v="No Deposit"/>
    <n v="134"/>
    <m/>
    <n v="0"/>
    <x v="1"/>
    <x v="48"/>
    <n v="0"/>
    <n v="0"/>
    <x v="0"/>
    <d v="2016-02-10T00:00:00"/>
  </r>
  <r>
    <x v="0"/>
    <x v="0"/>
    <n v="302"/>
    <n v="2016"/>
    <x v="2"/>
    <n v="38"/>
    <n v="16"/>
    <n v="1"/>
    <n v="2"/>
    <n v="2"/>
    <n v="0"/>
    <n v="0"/>
    <s v="BB"/>
    <s v="PRT"/>
    <s v="Offline TA/TO"/>
    <x v="0"/>
    <n v="0"/>
    <n v="0"/>
    <n v="0"/>
    <s v="A"/>
    <s v="A"/>
    <n v="0"/>
    <s v="Non Refund"/>
    <n v="12"/>
    <m/>
    <n v="70"/>
    <x v="0"/>
    <x v="25"/>
    <n v="0"/>
    <n v="0"/>
    <x v="0"/>
    <d v="2016-01-28T00:00:00"/>
  </r>
  <r>
    <x v="0"/>
    <x v="1"/>
    <n v="9"/>
    <n v="2016"/>
    <x v="10"/>
    <n v="25"/>
    <n v="17"/>
    <n v="0"/>
    <n v="2"/>
    <n v="3"/>
    <n v="0"/>
    <n v="0"/>
    <s v="BB"/>
    <s v="JPN"/>
    <s v="Online TA"/>
    <x v="0"/>
    <n v="0"/>
    <n v="0"/>
    <n v="0"/>
    <s v="D"/>
    <s v="D"/>
    <n v="0"/>
    <s v="No Deposit"/>
    <n v="9"/>
    <m/>
    <n v="0"/>
    <x v="0"/>
    <x v="197"/>
    <n v="0"/>
    <n v="2"/>
    <x v="1"/>
    <d v="2016-06-19T00:00:00"/>
  </r>
  <r>
    <x v="0"/>
    <x v="1"/>
    <n v="124"/>
    <n v="2016"/>
    <x v="10"/>
    <n v="27"/>
    <n v="30"/>
    <n v="0"/>
    <n v="2"/>
    <n v="2"/>
    <n v="0"/>
    <n v="0"/>
    <s v="BB"/>
    <s v="FIN"/>
    <s v="Online TA"/>
    <x v="0"/>
    <n v="0"/>
    <n v="0"/>
    <n v="0"/>
    <s v="B"/>
    <s v="B"/>
    <n v="1"/>
    <s v="No Deposit"/>
    <n v="9"/>
    <m/>
    <n v="0"/>
    <x v="1"/>
    <x v="305"/>
    <n v="0"/>
    <n v="0"/>
    <x v="1"/>
    <d v="2016-07-02T00:00:00"/>
  </r>
  <r>
    <x v="1"/>
    <x v="0"/>
    <n v="54"/>
    <n v="2016"/>
    <x v="0"/>
    <n v="29"/>
    <n v="15"/>
    <n v="0"/>
    <n v="2"/>
    <n v="2"/>
    <n v="0"/>
    <n v="0"/>
    <s v="BB"/>
    <s v="ESP"/>
    <s v="Online TA"/>
    <x v="0"/>
    <n v="0"/>
    <n v="0"/>
    <n v="0"/>
    <s v="A"/>
    <s v="A"/>
    <n v="0"/>
    <s v="No Deposit"/>
    <n v="240"/>
    <m/>
    <n v="0"/>
    <x v="0"/>
    <x v="306"/>
    <n v="0"/>
    <n v="0"/>
    <x v="0"/>
    <d v="2016-06-13T00:00:00"/>
  </r>
  <r>
    <x v="0"/>
    <x v="1"/>
    <n v="3"/>
    <n v="2016"/>
    <x v="2"/>
    <n v="40"/>
    <n v="26"/>
    <n v="3"/>
    <n v="7"/>
    <n v="1"/>
    <n v="0"/>
    <n v="0"/>
    <s v="BB"/>
    <s v="PRT"/>
    <s v="Corporate"/>
    <x v="1"/>
    <n v="1"/>
    <n v="4"/>
    <n v="46"/>
    <s v="A"/>
    <s v="A"/>
    <n v="0"/>
    <s v="No Deposit"/>
    <m/>
    <n v="40"/>
    <n v="0"/>
    <x v="0"/>
    <x v="9"/>
    <n v="0"/>
    <n v="0"/>
    <x v="1"/>
    <d v="2016-10-06T00:00:00"/>
  </r>
  <r>
    <x v="0"/>
    <x v="0"/>
    <n v="420"/>
    <n v="2016"/>
    <x v="2"/>
    <n v="36"/>
    <n v="3"/>
    <n v="2"/>
    <n v="2"/>
    <n v="2"/>
    <n v="0"/>
    <n v="0"/>
    <s v="BB"/>
    <s v="PRT"/>
    <s v="Groups"/>
    <x v="0"/>
    <n v="0"/>
    <n v="0"/>
    <n v="0"/>
    <s v="A"/>
    <s v="A"/>
    <n v="0"/>
    <s v="Non Refund"/>
    <n v="35"/>
    <m/>
    <n v="0"/>
    <x v="0"/>
    <x v="45"/>
    <n v="0"/>
    <n v="0"/>
    <x v="0"/>
    <d v="2015-10-12T00:00:00"/>
  </r>
  <r>
    <x v="0"/>
    <x v="1"/>
    <n v="122"/>
    <n v="2016"/>
    <x v="6"/>
    <n v="14"/>
    <n v="27"/>
    <n v="2"/>
    <n v="1"/>
    <n v="2"/>
    <n v="0"/>
    <n v="0"/>
    <s v="HB"/>
    <s v="PRT"/>
    <s v="Offline TA/TO"/>
    <x v="0"/>
    <n v="0"/>
    <n v="0"/>
    <n v="0"/>
    <s v="A"/>
    <s v="A"/>
    <n v="0"/>
    <s v="No Deposit"/>
    <n v="26"/>
    <m/>
    <n v="0"/>
    <x v="1"/>
    <x v="135"/>
    <n v="0"/>
    <n v="1"/>
    <x v="1"/>
    <d v="2016-03-30T00:00:00"/>
  </r>
  <r>
    <x v="0"/>
    <x v="1"/>
    <n v="3"/>
    <n v="2016"/>
    <x v="11"/>
    <n v="18"/>
    <n v="25"/>
    <n v="1"/>
    <n v="0"/>
    <n v="1"/>
    <n v="0"/>
    <n v="0"/>
    <s v="BB"/>
    <s v="PRT"/>
    <s v="Corporate"/>
    <x v="1"/>
    <n v="1"/>
    <n v="0"/>
    <n v="4"/>
    <s v="A"/>
    <s v="A"/>
    <n v="0"/>
    <s v="No Deposit"/>
    <m/>
    <n v="40"/>
    <n v="0"/>
    <x v="0"/>
    <x v="9"/>
    <n v="0"/>
    <n v="0"/>
    <x v="1"/>
    <d v="2016-04-26T00:00:00"/>
  </r>
  <r>
    <x v="0"/>
    <x v="1"/>
    <n v="178"/>
    <n v="2016"/>
    <x v="4"/>
    <n v="35"/>
    <n v="23"/>
    <n v="0"/>
    <n v="3"/>
    <n v="3"/>
    <n v="0"/>
    <n v="0"/>
    <s v="BB"/>
    <s v="ITA"/>
    <s v="Online TA"/>
    <x v="0"/>
    <n v="0"/>
    <n v="0"/>
    <n v="0"/>
    <s v="D"/>
    <s v="D"/>
    <n v="1"/>
    <s v="No Deposit"/>
    <n v="9"/>
    <m/>
    <n v="0"/>
    <x v="0"/>
    <x v="307"/>
    <n v="1"/>
    <n v="1"/>
    <x v="1"/>
    <d v="2016-08-26T00:00:00"/>
  </r>
  <r>
    <x v="0"/>
    <x v="1"/>
    <n v="83"/>
    <n v="2016"/>
    <x v="6"/>
    <n v="14"/>
    <n v="28"/>
    <n v="1"/>
    <n v="4"/>
    <n v="2"/>
    <n v="0"/>
    <n v="0"/>
    <s v="BB"/>
    <s v="PRT"/>
    <s v="Offline TA/TO"/>
    <x v="0"/>
    <n v="0"/>
    <n v="0"/>
    <n v="0"/>
    <s v="A"/>
    <s v="A"/>
    <n v="0"/>
    <s v="No Deposit"/>
    <n v="16"/>
    <m/>
    <n v="0"/>
    <x v="0"/>
    <x v="8"/>
    <n v="0"/>
    <n v="0"/>
    <x v="1"/>
    <d v="2016-04-02T00:00:00"/>
  </r>
  <r>
    <x v="1"/>
    <x v="0"/>
    <n v="162"/>
    <n v="2016"/>
    <x v="4"/>
    <n v="36"/>
    <n v="31"/>
    <n v="2"/>
    <n v="7"/>
    <n v="2"/>
    <n v="0"/>
    <n v="0"/>
    <s v="BB"/>
    <s v="GBR"/>
    <s v="Online TA"/>
    <x v="0"/>
    <n v="0"/>
    <n v="0"/>
    <n v="0"/>
    <s v="A"/>
    <s v="A"/>
    <n v="0"/>
    <s v="No Deposit"/>
    <n v="240"/>
    <m/>
    <n v="0"/>
    <x v="0"/>
    <x v="308"/>
    <n v="0"/>
    <n v="0"/>
    <x v="0"/>
    <d v="2016-07-21T00:00:00"/>
  </r>
  <r>
    <x v="1"/>
    <x v="1"/>
    <n v="16"/>
    <n v="2016"/>
    <x v="3"/>
    <n v="52"/>
    <n v="24"/>
    <n v="2"/>
    <n v="1"/>
    <n v="2"/>
    <n v="0"/>
    <n v="0"/>
    <s v="BB"/>
    <s v="GBR"/>
    <s v="Direct"/>
    <x v="2"/>
    <n v="0"/>
    <n v="0"/>
    <n v="0"/>
    <s v="E"/>
    <s v="E"/>
    <n v="0"/>
    <s v="No Deposit"/>
    <m/>
    <m/>
    <n v="0"/>
    <x v="0"/>
    <x v="309"/>
    <n v="0"/>
    <n v="0"/>
    <x v="1"/>
    <d v="2016-12-27T00:00:00"/>
  </r>
  <r>
    <x v="1"/>
    <x v="0"/>
    <n v="108"/>
    <n v="2016"/>
    <x v="6"/>
    <n v="13"/>
    <n v="21"/>
    <n v="1"/>
    <n v="1"/>
    <n v="2"/>
    <n v="0"/>
    <n v="0"/>
    <s v="BB"/>
    <s v="PRT"/>
    <s v="Online TA"/>
    <x v="0"/>
    <n v="0"/>
    <n v="0"/>
    <n v="0"/>
    <s v="A"/>
    <s v="A"/>
    <n v="1"/>
    <s v="No Deposit"/>
    <n v="240"/>
    <m/>
    <n v="0"/>
    <x v="0"/>
    <x v="21"/>
    <n v="0"/>
    <n v="1"/>
    <x v="0"/>
    <d v="2016-01-04T00:00:00"/>
  </r>
  <r>
    <x v="0"/>
    <x v="1"/>
    <n v="13"/>
    <n v="2016"/>
    <x v="1"/>
    <n v="42"/>
    <n v="10"/>
    <n v="1"/>
    <n v="2"/>
    <n v="2"/>
    <n v="0"/>
    <n v="0"/>
    <s v="BB"/>
    <s v="USA"/>
    <s v="Corporate"/>
    <x v="1"/>
    <n v="0"/>
    <n v="0"/>
    <n v="0"/>
    <s v="A"/>
    <s v="A"/>
    <n v="0"/>
    <s v="No Deposit"/>
    <m/>
    <n v="332"/>
    <n v="0"/>
    <x v="0"/>
    <x v="278"/>
    <n v="0"/>
    <n v="0"/>
    <x v="1"/>
    <d v="2016-10-13T00:00:00"/>
  </r>
  <r>
    <x v="1"/>
    <x v="1"/>
    <n v="130"/>
    <n v="2016"/>
    <x v="4"/>
    <n v="34"/>
    <n v="20"/>
    <n v="4"/>
    <n v="10"/>
    <n v="2"/>
    <n v="0"/>
    <n v="0"/>
    <s v="BB"/>
    <s v="IRL"/>
    <s v="Direct"/>
    <x v="2"/>
    <n v="0"/>
    <n v="0"/>
    <n v="0"/>
    <s v="D"/>
    <s v="D"/>
    <n v="0"/>
    <s v="No Deposit"/>
    <m/>
    <m/>
    <n v="0"/>
    <x v="0"/>
    <x v="310"/>
    <n v="0"/>
    <n v="0"/>
    <x v="1"/>
    <d v="2016-09-03T00:00:00"/>
  </r>
  <r>
    <x v="0"/>
    <x v="0"/>
    <n v="178"/>
    <n v="2016"/>
    <x v="4"/>
    <n v="34"/>
    <n v="18"/>
    <n v="0"/>
    <n v="3"/>
    <n v="1"/>
    <n v="1"/>
    <n v="0"/>
    <s v="BB"/>
    <s v="ITA"/>
    <s v="Online TA"/>
    <x v="0"/>
    <n v="0"/>
    <n v="0"/>
    <n v="0"/>
    <s v="A"/>
    <s v="A"/>
    <n v="0"/>
    <s v="No Deposit"/>
    <n v="9"/>
    <m/>
    <n v="0"/>
    <x v="0"/>
    <x v="311"/>
    <n v="0"/>
    <n v="0"/>
    <x v="0"/>
    <d v="2016-03-04T00:00:00"/>
  </r>
  <r>
    <x v="1"/>
    <x v="1"/>
    <n v="4"/>
    <n v="2016"/>
    <x v="5"/>
    <n v="48"/>
    <n v="26"/>
    <n v="2"/>
    <n v="1"/>
    <n v="1"/>
    <n v="0"/>
    <n v="0"/>
    <s v="BB"/>
    <s v="FRA"/>
    <s v="Online TA"/>
    <x v="0"/>
    <n v="0"/>
    <n v="0"/>
    <n v="0"/>
    <s v="A"/>
    <s v="D"/>
    <n v="0"/>
    <s v="No Deposit"/>
    <n v="240"/>
    <m/>
    <n v="0"/>
    <x v="0"/>
    <x v="312"/>
    <n v="0"/>
    <n v="1"/>
    <x v="1"/>
    <d v="2016-11-29T00:00:00"/>
  </r>
  <r>
    <x v="0"/>
    <x v="1"/>
    <n v="7"/>
    <n v="2016"/>
    <x v="4"/>
    <n v="35"/>
    <n v="26"/>
    <n v="2"/>
    <n v="2"/>
    <n v="2"/>
    <n v="0"/>
    <n v="0"/>
    <s v="BB"/>
    <s v="NLD"/>
    <s v="Online TA"/>
    <x v="0"/>
    <n v="0"/>
    <n v="0"/>
    <n v="0"/>
    <s v="A"/>
    <s v="A"/>
    <n v="0"/>
    <s v="No Deposit"/>
    <n v="9"/>
    <m/>
    <n v="0"/>
    <x v="0"/>
    <x v="313"/>
    <n v="0"/>
    <n v="1"/>
    <x v="1"/>
    <d v="2016-08-30T00:00:00"/>
  </r>
  <r>
    <x v="0"/>
    <x v="0"/>
    <n v="230"/>
    <n v="2016"/>
    <x v="0"/>
    <n v="31"/>
    <n v="26"/>
    <n v="0"/>
    <n v="3"/>
    <n v="2"/>
    <n v="0"/>
    <n v="0"/>
    <s v="BB"/>
    <s v="BEL"/>
    <s v="Online TA"/>
    <x v="0"/>
    <n v="0"/>
    <n v="0"/>
    <n v="0"/>
    <s v="B"/>
    <s v="B"/>
    <n v="1"/>
    <s v="No Deposit"/>
    <n v="9"/>
    <m/>
    <n v="0"/>
    <x v="1"/>
    <x v="314"/>
    <n v="0"/>
    <n v="1"/>
    <x v="0"/>
    <d v="2016-01-25T00:00:00"/>
  </r>
  <r>
    <x v="1"/>
    <x v="0"/>
    <n v="72"/>
    <n v="2016"/>
    <x v="9"/>
    <n v="6"/>
    <n v="6"/>
    <n v="2"/>
    <n v="1"/>
    <n v="2"/>
    <n v="0"/>
    <n v="0"/>
    <s v="HB"/>
    <s v="PRT"/>
    <s v="Groups"/>
    <x v="2"/>
    <n v="0"/>
    <n v="0"/>
    <n v="0"/>
    <s v="D"/>
    <s v="D"/>
    <n v="0"/>
    <s v="No Deposit"/>
    <m/>
    <m/>
    <n v="0"/>
    <x v="1"/>
    <x v="315"/>
    <n v="0"/>
    <n v="0"/>
    <x v="0"/>
    <d v="2016-01-19T00:00:00"/>
  </r>
  <r>
    <x v="0"/>
    <x v="1"/>
    <n v="127"/>
    <n v="2016"/>
    <x v="11"/>
    <n v="18"/>
    <n v="28"/>
    <n v="1"/>
    <n v="3"/>
    <n v="2"/>
    <n v="0"/>
    <n v="0"/>
    <s v="BB"/>
    <s v="USA"/>
    <s v="Offline TA/TO"/>
    <x v="0"/>
    <n v="0"/>
    <n v="0"/>
    <n v="0"/>
    <s v="A"/>
    <s v="A"/>
    <n v="0"/>
    <s v="No Deposit"/>
    <n v="3"/>
    <m/>
    <n v="0"/>
    <x v="0"/>
    <x v="13"/>
    <n v="0"/>
    <n v="0"/>
    <x v="1"/>
    <d v="2016-05-02T00:00:00"/>
  </r>
  <r>
    <x v="0"/>
    <x v="0"/>
    <n v="19"/>
    <n v="2016"/>
    <x v="2"/>
    <n v="39"/>
    <n v="23"/>
    <n v="1"/>
    <n v="2"/>
    <n v="2"/>
    <n v="0"/>
    <n v="0"/>
    <s v="BB"/>
    <s v="DEU"/>
    <s v="Online TA"/>
    <x v="0"/>
    <n v="0"/>
    <n v="0"/>
    <n v="0"/>
    <s v="A"/>
    <s v="A"/>
    <n v="0"/>
    <s v="No Deposit"/>
    <n v="9"/>
    <m/>
    <n v="0"/>
    <x v="0"/>
    <x v="278"/>
    <n v="0"/>
    <n v="1"/>
    <x v="0"/>
    <d v="2016-09-20T00:00:00"/>
  </r>
  <r>
    <x v="0"/>
    <x v="1"/>
    <n v="6"/>
    <n v="2016"/>
    <x v="2"/>
    <n v="39"/>
    <n v="22"/>
    <n v="0"/>
    <n v="1"/>
    <n v="2"/>
    <n v="0"/>
    <n v="0"/>
    <s v="SC"/>
    <s v="ITA"/>
    <s v="Online TA"/>
    <x v="0"/>
    <n v="0"/>
    <n v="0"/>
    <n v="0"/>
    <s v="A"/>
    <s v="A"/>
    <n v="0"/>
    <s v="No Deposit"/>
    <n v="9"/>
    <m/>
    <n v="0"/>
    <x v="0"/>
    <x v="278"/>
    <n v="0"/>
    <n v="3"/>
    <x v="1"/>
    <d v="2016-09-23T00:00:00"/>
  </r>
  <r>
    <x v="1"/>
    <x v="1"/>
    <n v="34"/>
    <n v="2016"/>
    <x v="6"/>
    <n v="11"/>
    <n v="8"/>
    <n v="2"/>
    <n v="5"/>
    <n v="2"/>
    <n v="0"/>
    <n v="0"/>
    <s v="FB"/>
    <s v="GBR"/>
    <s v="Offline TA/TO"/>
    <x v="0"/>
    <n v="0"/>
    <n v="0"/>
    <n v="0"/>
    <s v="E"/>
    <s v="E"/>
    <n v="0"/>
    <s v="No Deposit"/>
    <n v="115"/>
    <m/>
    <n v="0"/>
    <x v="0"/>
    <x v="53"/>
    <n v="0"/>
    <n v="1"/>
    <x v="1"/>
    <d v="2016-03-15T00:00:00"/>
  </r>
  <r>
    <x v="0"/>
    <x v="0"/>
    <n v="196"/>
    <n v="2016"/>
    <x v="4"/>
    <n v="32"/>
    <n v="4"/>
    <n v="0"/>
    <n v="3"/>
    <n v="2"/>
    <n v="0"/>
    <n v="0"/>
    <s v="BB"/>
    <s v="ESP"/>
    <s v="Online TA"/>
    <x v="0"/>
    <n v="0"/>
    <n v="0"/>
    <n v="0"/>
    <s v="A"/>
    <s v="A"/>
    <n v="0"/>
    <s v="No Deposit"/>
    <n v="9"/>
    <m/>
    <n v="0"/>
    <x v="0"/>
    <x v="178"/>
    <n v="0"/>
    <n v="0"/>
    <x v="0"/>
    <d v="2016-01-25T00:00:00"/>
  </r>
  <r>
    <x v="1"/>
    <x v="1"/>
    <n v="3"/>
    <n v="2016"/>
    <x v="3"/>
    <n v="49"/>
    <n v="1"/>
    <n v="0"/>
    <n v="2"/>
    <n v="2"/>
    <n v="0"/>
    <n v="0"/>
    <s v="BB"/>
    <s v="PRT"/>
    <s v="Online TA"/>
    <x v="0"/>
    <n v="0"/>
    <n v="0"/>
    <n v="0"/>
    <s v="A"/>
    <s v="D"/>
    <n v="0"/>
    <s v="No Deposit"/>
    <n v="240"/>
    <m/>
    <n v="0"/>
    <x v="0"/>
    <x v="21"/>
    <n v="0"/>
    <n v="1"/>
    <x v="1"/>
    <d v="2016-12-03T00:00:00"/>
  </r>
  <r>
    <x v="1"/>
    <x v="1"/>
    <n v="6"/>
    <n v="2016"/>
    <x v="6"/>
    <n v="12"/>
    <n v="15"/>
    <n v="0"/>
    <n v="2"/>
    <n v="1"/>
    <n v="0"/>
    <n v="0"/>
    <s v="BB"/>
    <m/>
    <s v="Corporate"/>
    <x v="1"/>
    <n v="0"/>
    <n v="0"/>
    <n v="0"/>
    <s v="A"/>
    <s v="D"/>
    <n v="0"/>
    <s v="No Deposit"/>
    <m/>
    <m/>
    <n v="0"/>
    <x v="0"/>
    <x v="253"/>
    <n v="0"/>
    <n v="0"/>
    <x v="1"/>
    <d v="2016-03-17T00:00:00"/>
  </r>
  <r>
    <x v="0"/>
    <x v="1"/>
    <n v="115"/>
    <n v="2016"/>
    <x v="7"/>
    <n v="19"/>
    <n v="4"/>
    <n v="1"/>
    <n v="4"/>
    <n v="2"/>
    <n v="0"/>
    <n v="0"/>
    <s v="BB"/>
    <s v="DEU"/>
    <s v="Online TA"/>
    <x v="0"/>
    <n v="0"/>
    <n v="0"/>
    <n v="0"/>
    <s v="A"/>
    <s v="A"/>
    <n v="0"/>
    <s v="No Deposit"/>
    <n v="9"/>
    <m/>
    <n v="0"/>
    <x v="1"/>
    <x v="124"/>
    <n v="0"/>
    <n v="1"/>
    <x v="1"/>
    <d v="2016-05-09T00:00:00"/>
  </r>
  <r>
    <x v="0"/>
    <x v="1"/>
    <n v="115"/>
    <n v="2016"/>
    <x v="11"/>
    <n v="15"/>
    <n v="8"/>
    <n v="0"/>
    <n v="2"/>
    <n v="1"/>
    <n v="0"/>
    <n v="0"/>
    <s v="BB"/>
    <s v="PRT"/>
    <s v="Groups"/>
    <x v="0"/>
    <n v="0"/>
    <n v="0"/>
    <n v="0"/>
    <s v="A"/>
    <s v="A"/>
    <n v="1"/>
    <s v="No Deposit"/>
    <n v="1"/>
    <m/>
    <n v="34"/>
    <x v="1"/>
    <x v="316"/>
    <n v="0"/>
    <n v="0"/>
    <x v="1"/>
    <d v="2016-04-10T00:00:00"/>
  </r>
  <r>
    <x v="0"/>
    <x v="0"/>
    <n v="302"/>
    <n v="2016"/>
    <x v="1"/>
    <n v="41"/>
    <n v="6"/>
    <n v="0"/>
    <n v="3"/>
    <n v="2"/>
    <n v="0"/>
    <n v="0"/>
    <s v="BB"/>
    <s v="PRT"/>
    <s v="Offline TA/TO"/>
    <x v="0"/>
    <n v="0"/>
    <n v="1"/>
    <n v="0"/>
    <s v="A"/>
    <s v="A"/>
    <n v="0"/>
    <s v="Non Refund"/>
    <n v="3"/>
    <m/>
    <n v="0"/>
    <x v="0"/>
    <x v="57"/>
    <n v="0"/>
    <n v="0"/>
    <x v="0"/>
    <d v="2015-12-29T00:00:00"/>
  </r>
  <r>
    <x v="1"/>
    <x v="1"/>
    <n v="129"/>
    <n v="2016"/>
    <x v="0"/>
    <n v="29"/>
    <n v="10"/>
    <n v="2"/>
    <n v="4"/>
    <n v="2"/>
    <n v="0"/>
    <n v="0"/>
    <s v="BB"/>
    <s v="PRT"/>
    <s v="Online TA"/>
    <x v="0"/>
    <n v="0"/>
    <n v="0"/>
    <n v="0"/>
    <s v="A"/>
    <s v="A"/>
    <n v="0"/>
    <s v="No Deposit"/>
    <n v="240"/>
    <m/>
    <n v="0"/>
    <x v="0"/>
    <x v="317"/>
    <n v="1"/>
    <n v="3"/>
    <x v="1"/>
    <d v="2016-07-16T00:00:00"/>
  </r>
  <r>
    <x v="0"/>
    <x v="1"/>
    <n v="9"/>
    <n v="2016"/>
    <x v="10"/>
    <n v="25"/>
    <n v="17"/>
    <n v="1"/>
    <n v="2"/>
    <n v="2"/>
    <n v="1"/>
    <n v="0"/>
    <s v="BB"/>
    <s v="GBR"/>
    <s v="Offline TA/TO"/>
    <x v="0"/>
    <n v="0"/>
    <n v="0"/>
    <n v="0"/>
    <s v="A"/>
    <s v="D"/>
    <n v="0"/>
    <s v="No Deposit"/>
    <n v="138"/>
    <m/>
    <n v="0"/>
    <x v="0"/>
    <x v="119"/>
    <n v="0"/>
    <n v="1"/>
    <x v="1"/>
    <d v="2016-06-20T00:00:00"/>
  </r>
  <r>
    <x v="0"/>
    <x v="1"/>
    <n v="28"/>
    <n v="2016"/>
    <x v="10"/>
    <n v="25"/>
    <n v="14"/>
    <n v="0"/>
    <n v="3"/>
    <n v="1"/>
    <n v="0"/>
    <n v="0"/>
    <s v="BB"/>
    <s v="NLD"/>
    <s v="Online TA"/>
    <x v="0"/>
    <n v="0"/>
    <n v="0"/>
    <n v="0"/>
    <s v="D"/>
    <s v="D"/>
    <n v="0"/>
    <s v="No Deposit"/>
    <n v="7"/>
    <m/>
    <n v="0"/>
    <x v="0"/>
    <x v="318"/>
    <n v="0"/>
    <n v="1"/>
    <x v="1"/>
    <d v="2016-06-17T00:00:00"/>
  </r>
  <r>
    <x v="0"/>
    <x v="0"/>
    <n v="127"/>
    <n v="2016"/>
    <x v="11"/>
    <n v="18"/>
    <n v="28"/>
    <n v="1"/>
    <n v="3"/>
    <n v="1"/>
    <n v="0"/>
    <n v="0"/>
    <s v="BB"/>
    <s v="PRT"/>
    <s v="Offline TA/TO"/>
    <x v="0"/>
    <n v="0"/>
    <n v="0"/>
    <n v="0"/>
    <s v="A"/>
    <s v="A"/>
    <n v="0"/>
    <s v="No Deposit"/>
    <n v="3"/>
    <m/>
    <n v="0"/>
    <x v="1"/>
    <x v="2"/>
    <n v="0"/>
    <n v="0"/>
    <x v="0"/>
    <d v="2016-02-10T00:00:00"/>
  </r>
  <r>
    <x v="0"/>
    <x v="1"/>
    <n v="153"/>
    <n v="2016"/>
    <x v="0"/>
    <n v="30"/>
    <n v="23"/>
    <n v="2"/>
    <n v="2"/>
    <n v="2"/>
    <n v="0"/>
    <n v="0"/>
    <s v="BB"/>
    <s v="FRA"/>
    <s v="Online TA"/>
    <x v="0"/>
    <n v="0"/>
    <n v="0"/>
    <n v="0"/>
    <s v="A"/>
    <s v="A"/>
    <n v="0"/>
    <s v="No Deposit"/>
    <n v="9"/>
    <m/>
    <n v="0"/>
    <x v="0"/>
    <x v="319"/>
    <n v="0"/>
    <n v="1"/>
    <x v="1"/>
    <d v="2016-07-27T00:00:00"/>
  </r>
  <r>
    <x v="0"/>
    <x v="0"/>
    <n v="31"/>
    <n v="2016"/>
    <x v="5"/>
    <n v="48"/>
    <n v="23"/>
    <n v="0"/>
    <n v="4"/>
    <n v="2"/>
    <n v="0"/>
    <n v="0"/>
    <s v="BB"/>
    <s v="MAR"/>
    <s v="Online TA"/>
    <x v="0"/>
    <n v="0"/>
    <n v="0"/>
    <n v="0"/>
    <s v="B"/>
    <s v="B"/>
    <n v="1"/>
    <s v="No Deposit"/>
    <n v="9"/>
    <m/>
    <n v="0"/>
    <x v="0"/>
    <x v="320"/>
    <n v="0"/>
    <n v="2"/>
    <x v="0"/>
    <d v="2016-11-11T00:00:00"/>
  </r>
  <r>
    <x v="0"/>
    <x v="1"/>
    <n v="34"/>
    <n v="2016"/>
    <x v="10"/>
    <n v="25"/>
    <n v="14"/>
    <n v="0"/>
    <n v="3"/>
    <n v="2"/>
    <n v="0"/>
    <n v="0"/>
    <s v="SC"/>
    <s v="PRT"/>
    <s v="Online TA"/>
    <x v="0"/>
    <n v="0"/>
    <n v="0"/>
    <n v="0"/>
    <s v="A"/>
    <s v="A"/>
    <n v="0"/>
    <s v="No Deposit"/>
    <n v="9"/>
    <m/>
    <n v="0"/>
    <x v="0"/>
    <x v="321"/>
    <n v="0"/>
    <n v="1"/>
    <x v="1"/>
    <d v="2016-06-17T00:00:00"/>
  </r>
  <r>
    <x v="0"/>
    <x v="1"/>
    <n v="1"/>
    <n v="2016"/>
    <x v="8"/>
    <n v="2"/>
    <n v="8"/>
    <n v="0"/>
    <n v="2"/>
    <n v="2"/>
    <n v="0"/>
    <n v="0"/>
    <s v="SC"/>
    <s v="BRA"/>
    <s v="Online TA"/>
    <x v="0"/>
    <n v="1"/>
    <n v="11"/>
    <n v="0"/>
    <s v="A"/>
    <s v="A"/>
    <n v="0"/>
    <s v="No Deposit"/>
    <n v="9"/>
    <m/>
    <n v="0"/>
    <x v="1"/>
    <x v="29"/>
    <n v="0"/>
    <n v="0"/>
    <x v="1"/>
    <d v="2016-01-10T00:00:00"/>
  </r>
  <r>
    <x v="0"/>
    <x v="0"/>
    <n v="14"/>
    <n v="2016"/>
    <x v="11"/>
    <n v="16"/>
    <n v="16"/>
    <n v="2"/>
    <n v="1"/>
    <n v="2"/>
    <n v="1"/>
    <n v="0"/>
    <s v="BB"/>
    <s v="PRT"/>
    <s v="Online TA"/>
    <x v="0"/>
    <n v="0"/>
    <n v="0"/>
    <n v="0"/>
    <s v="A"/>
    <s v="A"/>
    <n v="0"/>
    <s v="No Deposit"/>
    <n v="9"/>
    <m/>
    <n v="0"/>
    <x v="0"/>
    <x v="322"/>
    <n v="0"/>
    <n v="0"/>
    <x v="0"/>
    <d v="2016-04-04T00:00:00"/>
  </r>
  <r>
    <x v="0"/>
    <x v="0"/>
    <n v="212"/>
    <n v="2016"/>
    <x v="1"/>
    <n v="42"/>
    <n v="9"/>
    <n v="2"/>
    <n v="2"/>
    <n v="2"/>
    <n v="0"/>
    <n v="0"/>
    <s v="BB"/>
    <s v="PRT"/>
    <s v="Online TA"/>
    <x v="0"/>
    <n v="0"/>
    <n v="0"/>
    <n v="0"/>
    <s v="A"/>
    <s v="A"/>
    <n v="0"/>
    <s v="No Deposit"/>
    <n v="7"/>
    <m/>
    <n v="0"/>
    <x v="0"/>
    <x v="323"/>
    <n v="0"/>
    <n v="0"/>
    <x v="0"/>
    <d v="2016-03-12T00:00:00"/>
  </r>
  <r>
    <x v="0"/>
    <x v="0"/>
    <n v="163"/>
    <n v="2016"/>
    <x v="10"/>
    <n v="24"/>
    <n v="5"/>
    <n v="2"/>
    <n v="2"/>
    <n v="1"/>
    <n v="0"/>
    <n v="0"/>
    <s v="BB"/>
    <s v="PRT"/>
    <s v="Offline TA/TO"/>
    <x v="0"/>
    <n v="0"/>
    <n v="0"/>
    <n v="0"/>
    <s v="A"/>
    <s v="A"/>
    <n v="0"/>
    <s v="Non Refund"/>
    <n v="171"/>
    <m/>
    <n v="0"/>
    <x v="0"/>
    <x v="25"/>
    <n v="0"/>
    <n v="0"/>
    <x v="0"/>
    <d v="2016-01-26T00:00:00"/>
  </r>
  <r>
    <x v="0"/>
    <x v="1"/>
    <n v="116"/>
    <n v="2016"/>
    <x v="1"/>
    <n v="44"/>
    <n v="23"/>
    <n v="2"/>
    <n v="2"/>
    <n v="2"/>
    <n v="0"/>
    <n v="1"/>
    <s v="BB"/>
    <s v="KOR"/>
    <s v="Online TA"/>
    <x v="0"/>
    <n v="0"/>
    <n v="0"/>
    <n v="0"/>
    <s v="A"/>
    <s v="A"/>
    <n v="2"/>
    <s v="No Deposit"/>
    <n v="9"/>
    <m/>
    <n v="0"/>
    <x v="0"/>
    <x v="324"/>
    <n v="0"/>
    <n v="2"/>
    <x v="1"/>
    <d v="2016-10-27T00:00:00"/>
  </r>
  <r>
    <x v="1"/>
    <x v="0"/>
    <n v="106"/>
    <n v="2016"/>
    <x v="0"/>
    <n v="30"/>
    <n v="21"/>
    <n v="1"/>
    <n v="3"/>
    <n v="2"/>
    <n v="2"/>
    <n v="0"/>
    <s v="BB"/>
    <s v="ARG"/>
    <s v="Online TA"/>
    <x v="0"/>
    <n v="0"/>
    <n v="0"/>
    <n v="0"/>
    <s v="G"/>
    <s v="G"/>
    <n v="0"/>
    <s v="No Deposit"/>
    <n v="240"/>
    <m/>
    <n v="0"/>
    <x v="0"/>
    <x v="325"/>
    <n v="0"/>
    <n v="0"/>
    <x v="0"/>
    <d v="2016-06-13T00:00:00"/>
  </r>
  <r>
    <x v="1"/>
    <x v="0"/>
    <n v="72"/>
    <n v="2016"/>
    <x v="9"/>
    <n v="6"/>
    <n v="6"/>
    <n v="2"/>
    <n v="1"/>
    <n v="2"/>
    <n v="0"/>
    <n v="0"/>
    <s v="HB"/>
    <s v="PRT"/>
    <s v="Groups"/>
    <x v="2"/>
    <n v="0"/>
    <n v="0"/>
    <n v="0"/>
    <s v="D"/>
    <s v="D"/>
    <n v="0"/>
    <s v="No Deposit"/>
    <m/>
    <m/>
    <n v="0"/>
    <x v="1"/>
    <x v="315"/>
    <n v="0"/>
    <n v="0"/>
    <x v="0"/>
    <d v="2016-01-19T00:00:00"/>
  </r>
  <r>
    <x v="1"/>
    <x v="1"/>
    <n v="30"/>
    <n v="2016"/>
    <x v="9"/>
    <n v="8"/>
    <n v="20"/>
    <n v="2"/>
    <n v="5"/>
    <n v="2"/>
    <n v="0"/>
    <n v="1"/>
    <s v="BB"/>
    <s v="GBR"/>
    <s v="Direct"/>
    <x v="2"/>
    <n v="0"/>
    <n v="0"/>
    <n v="0"/>
    <s v="A"/>
    <s v="E"/>
    <n v="1"/>
    <s v="No Deposit"/>
    <m/>
    <m/>
    <n v="0"/>
    <x v="0"/>
    <x v="21"/>
    <n v="0"/>
    <n v="1"/>
    <x v="1"/>
    <d v="2016-02-27T00:00:00"/>
  </r>
  <r>
    <x v="1"/>
    <x v="1"/>
    <n v="222"/>
    <n v="2016"/>
    <x v="11"/>
    <n v="14"/>
    <n v="2"/>
    <n v="2"/>
    <n v="5"/>
    <n v="2"/>
    <n v="0"/>
    <n v="0"/>
    <s v="BB"/>
    <s v="GBR"/>
    <s v="Online TA"/>
    <x v="0"/>
    <n v="0"/>
    <n v="0"/>
    <n v="0"/>
    <s v="A"/>
    <s v="A"/>
    <n v="0"/>
    <s v="No Deposit"/>
    <n v="241"/>
    <m/>
    <n v="0"/>
    <x v="0"/>
    <x v="326"/>
    <n v="0"/>
    <n v="2"/>
    <x v="1"/>
    <d v="2016-04-09T00:00:00"/>
  </r>
  <r>
    <x v="0"/>
    <x v="0"/>
    <n v="9"/>
    <n v="2016"/>
    <x v="11"/>
    <n v="17"/>
    <n v="19"/>
    <n v="0"/>
    <n v="1"/>
    <n v="2"/>
    <n v="0"/>
    <n v="0"/>
    <s v="SC"/>
    <s v="FIN"/>
    <s v="Online TA"/>
    <x v="0"/>
    <n v="0"/>
    <n v="0"/>
    <n v="0"/>
    <s v="A"/>
    <s v="A"/>
    <n v="0"/>
    <s v="No Deposit"/>
    <n v="9"/>
    <m/>
    <n v="0"/>
    <x v="0"/>
    <x v="138"/>
    <n v="0"/>
    <n v="0"/>
    <x v="0"/>
    <d v="2016-04-15T00:00:00"/>
  </r>
  <r>
    <x v="0"/>
    <x v="0"/>
    <n v="317"/>
    <n v="2016"/>
    <x v="2"/>
    <n v="38"/>
    <n v="15"/>
    <n v="0"/>
    <n v="2"/>
    <n v="2"/>
    <n v="0"/>
    <n v="0"/>
    <s v="BB"/>
    <s v="PRT"/>
    <s v="Offline TA/TO"/>
    <x v="0"/>
    <n v="0"/>
    <n v="0"/>
    <n v="0"/>
    <s v="A"/>
    <s v="A"/>
    <n v="0"/>
    <s v="Non Refund"/>
    <n v="19"/>
    <m/>
    <n v="0"/>
    <x v="0"/>
    <x v="169"/>
    <n v="0"/>
    <n v="0"/>
    <x v="0"/>
    <d v="2016-02-09T00:00:00"/>
  </r>
  <r>
    <x v="1"/>
    <x v="1"/>
    <n v="129"/>
    <n v="2016"/>
    <x v="6"/>
    <n v="14"/>
    <n v="28"/>
    <n v="2"/>
    <n v="5"/>
    <n v="3"/>
    <n v="0"/>
    <n v="0"/>
    <s v="BB"/>
    <s v="BEL"/>
    <s v="Direct"/>
    <x v="2"/>
    <n v="0"/>
    <n v="0"/>
    <n v="0"/>
    <s v="C"/>
    <s v="C"/>
    <n v="0"/>
    <s v="No Deposit"/>
    <m/>
    <m/>
    <n v="0"/>
    <x v="0"/>
    <x v="327"/>
    <n v="0"/>
    <n v="1"/>
    <x v="1"/>
    <d v="2016-04-04T00:00:00"/>
  </r>
  <r>
    <x v="0"/>
    <x v="0"/>
    <n v="240"/>
    <n v="2016"/>
    <x v="3"/>
    <n v="50"/>
    <n v="10"/>
    <n v="2"/>
    <n v="1"/>
    <n v="2"/>
    <n v="0"/>
    <n v="0"/>
    <s v="SC"/>
    <s v="ITA"/>
    <s v="Online TA"/>
    <x v="0"/>
    <n v="0"/>
    <n v="0"/>
    <n v="0"/>
    <s v="A"/>
    <s v="A"/>
    <n v="0"/>
    <s v="No Deposit"/>
    <n v="9"/>
    <m/>
    <n v="0"/>
    <x v="0"/>
    <x v="29"/>
    <n v="0"/>
    <n v="2"/>
    <x v="0"/>
    <d v="2016-11-05T00:00:00"/>
  </r>
  <r>
    <x v="0"/>
    <x v="1"/>
    <n v="87"/>
    <n v="2016"/>
    <x v="7"/>
    <n v="22"/>
    <n v="22"/>
    <n v="2"/>
    <n v="5"/>
    <n v="2"/>
    <n v="0"/>
    <n v="0"/>
    <s v="SC"/>
    <s v="GBR"/>
    <s v="Offline TA/TO"/>
    <x v="0"/>
    <n v="0"/>
    <n v="0"/>
    <n v="0"/>
    <s v="A"/>
    <s v="A"/>
    <n v="0"/>
    <s v="No Deposit"/>
    <n v="138"/>
    <m/>
    <n v="0"/>
    <x v="0"/>
    <x v="89"/>
    <n v="0"/>
    <n v="0"/>
    <x v="1"/>
    <d v="2016-05-29T00:00:00"/>
  </r>
  <r>
    <x v="0"/>
    <x v="1"/>
    <n v="23"/>
    <n v="2016"/>
    <x v="6"/>
    <n v="12"/>
    <n v="18"/>
    <n v="0"/>
    <n v="1"/>
    <n v="2"/>
    <n v="1"/>
    <n v="0"/>
    <s v="BB"/>
    <s v="PRT"/>
    <s v="Online TA"/>
    <x v="0"/>
    <n v="0"/>
    <n v="0"/>
    <n v="0"/>
    <s v="A"/>
    <s v="D"/>
    <n v="0"/>
    <s v="No Deposit"/>
    <n v="9"/>
    <m/>
    <n v="0"/>
    <x v="1"/>
    <x v="1"/>
    <n v="0"/>
    <n v="2"/>
    <x v="1"/>
    <d v="2016-03-19T00:00:00"/>
  </r>
  <r>
    <x v="1"/>
    <x v="1"/>
    <n v="0"/>
    <n v="2016"/>
    <x v="1"/>
    <n v="44"/>
    <n v="28"/>
    <n v="0"/>
    <n v="1"/>
    <n v="2"/>
    <n v="0"/>
    <n v="0"/>
    <s v="BB"/>
    <s v="ESP"/>
    <s v="Direct"/>
    <x v="2"/>
    <n v="0"/>
    <n v="0"/>
    <n v="0"/>
    <s v="D"/>
    <s v="D"/>
    <n v="0"/>
    <s v="No Deposit"/>
    <m/>
    <m/>
    <n v="0"/>
    <x v="0"/>
    <x v="48"/>
    <n v="0"/>
    <n v="0"/>
    <x v="1"/>
    <d v="2016-10-29T00:00:00"/>
  </r>
  <r>
    <x v="1"/>
    <x v="1"/>
    <n v="132"/>
    <n v="2016"/>
    <x v="0"/>
    <n v="30"/>
    <n v="18"/>
    <n v="1"/>
    <n v="3"/>
    <n v="2"/>
    <n v="2"/>
    <n v="0"/>
    <s v="BB"/>
    <s v="PRT"/>
    <s v="Online TA"/>
    <x v="0"/>
    <n v="0"/>
    <n v="0"/>
    <n v="0"/>
    <s v="C"/>
    <s v="C"/>
    <n v="1"/>
    <s v="No Deposit"/>
    <n v="196"/>
    <m/>
    <n v="0"/>
    <x v="0"/>
    <x v="328"/>
    <n v="0"/>
    <n v="0"/>
    <x v="1"/>
    <d v="2016-07-22T00:00:00"/>
  </r>
  <r>
    <x v="0"/>
    <x v="0"/>
    <n v="188"/>
    <n v="2016"/>
    <x v="10"/>
    <n v="25"/>
    <n v="15"/>
    <n v="0"/>
    <n v="2"/>
    <n v="1"/>
    <n v="0"/>
    <n v="0"/>
    <s v="BB"/>
    <s v="PRT"/>
    <s v="Offline TA/TO"/>
    <x v="0"/>
    <n v="0"/>
    <n v="0"/>
    <n v="0"/>
    <s v="A"/>
    <s v="A"/>
    <n v="0"/>
    <s v="Non Refund"/>
    <n v="119"/>
    <m/>
    <n v="39"/>
    <x v="0"/>
    <x v="58"/>
    <n v="0"/>
    <n v="0"/>
    <x v="0"/>
    <d v="2016-01-18T00:00:00"/>
  </r>
  <r>
    <x v="0"/>
    <x v="1"/>
    <n v="57"/>
    <n v="2016"/>
    <x v="9"/>
    <n v="7"/>
    <n v="7"/>
    <n v="2"/>
    <n v="2"/>
    <n v="2"/>
    <n v="0"/>
    <n v="0"/>
    <s v="BB"/>
    <s v="BEL"/>
    <s v="Direct"/>
    <x v="2"/>
    <n v="0"/>
    <n v="0"/>
    <n v="0"/>
    <s v="B"/>
    <s v="B"/>
    <n v="0"/>
    <s v="No Deposit"/>
    <m/>
    <m/>
    <n v="0"/>
    <x v="0"/>
    <x v="9"/>
    <n v="0"/>
    <n v="1"/>
    <x v="1"/>
    <d v="2016-02-11T00:00:00"/>
  </r>
  <r>
    <x v="0"/>
    <x v="0"/>
    <n v="107"/>
    <n v="2016"/>
    <x v="11"/>
    <n v="16"/>
    <n v="14"/>
    <n v="0"/>
    <n v="3"/>
    <n v="2"/>
    <n v="0"/>
    <n v="0"/>
    <s v="BB"/>
    <s v="IRL"/>
    <s v="Online TA"/>
    <x v="0"/>
    <n v="0"/>
    <n v="0"/>
    <n v="0"/>
    <s v="D"/>
    <s v="D"/>
    <n v="0"/>
    <s v="No Deposit"/>
    <n v="9"/>
    <m/>
    <n v="0"/>
    <x v="0"/>
    <x v="329"/>
    <n v="0"/>
    <n v="1"/>
    <x v="0"/>
    <d v="2016-03-08T00:00:00"/>
  </r>
  <r>
    <x v="0"/>
    <x v="1"/>
    <n v="74"/>
    <n v="2016"/>
    <x v="6"/>
    <n v="13"/>
    <n v="20"/>
    <n v="2"/>
    <n v="2"/>
    <n v="2"/>
    <n v="0"/>
    <n v="0"/>
    <s v="BB"/>
    <s v="ITA"/>
    <s v="Online TA"/>
    <x v="0"/>
    <n v="0"/>
    <n v="0"/>
    <n v="0"/>
    <s v="A"/>
    <s v="A"/>
    <n v="0"/>
    <s v="No Deposit"/>
    <n v="9"/>
    <m/>
    <n v="0"/>
    <x v="0"/>
    <x v="330"/>
    <n v="0"/>
    <n v="1"/>
    <x v="1"/>
    <d v="2016-03-24T00:00:00"/>
  </r>
  <r>
    <x v="0"/>
    <x v="0"/>
    <n v="277"/>
    <n v="2016"/>
    <x v="5"/>
    <n v="46"/>
    <n v="7"/>
    <n v="1"/>
    <n v="2"/>
    <n v="2"/>
    <n v="0"/>
    <n v="0"/>
    <s v="BB"/>
    <s v="PRT"/>
    <s v="Groups"/>
    <x v="0"/>
    <n v="0"/>
    <n v="0"/>
    <n v="0"/>
    <s v="A"/>
    <s v="A"/>
    <n v="0"/>
    <s v="Non Refund"/>
    <m/>
    <m/>
    <n v="0"/>
    <x v="0"/>
    <x v="25"/>
    <n v="0"/>
    <n v="0"/>
    <x v="0"/>
    <d v="2016-04-04T00:00:00"/>
  </r>
  <r>
    <x v="0"/>
    <x v="1"/>
    <n v="2"/>
    <n v="2016"/>
    <x v="4"/>
    <n v="33"/>
    <n v="13"/>
    <n v="0"/>
    <n v="1"/>
    <n v="2"/>
    <n v="1"/>
    <n v="0"/>
    <s v="BB"/>
    <s v="PRT"/>
    <s v="Direct"/>
    <x v="2"/>
    <n v="0"/>
    <n v="0"/>
    <n v="0"/>
    <s v="D"/>
    <s v="D"/>
    <n v="0"/>
    <s v="No Deposit"/>
    <n v="14"/>
    <m/>
    <n v="0"/>
    <x v="0"/>
    <x v="331"/>
    <n v="0"/>
    <n v="2"/>
    <x v="1"/>
    <d v="2016-08-14T00:00:00"/>
  </r>
  <r>
    <x v="1"/>
    <x v="1"/>
    <n v="152"/>
    <n v="2016"/>
    <x v="2"/>
    <n v="40"/>
    <n v="26"/>
    <n v="2"/>
    <n v="5"/>
    <n v="1"/>
    <n v="0"/>
    <n v="0"/>
    <s v="HB"/>
    <s v="GBR"/>
    <s v="Groups"/>
    <x v="0"/>
    <n v="0"/>
    <n v="0"/>
    <n v="0"/>
    <s v="A"/>
    <s v="A"/>
    <n v="0"/>
    <s v="No Deposit"/>
    <n v="253"/>
    <m/>
    <n v="0"/>
    <x v="1"/>
    <x v="332"/>
    <n v="0"/>
    <n v="0"/>
    <x v="1"/>
    <d v="2016-10-03T00:00:00"/>
  </r>
  <r>
    <x v="0"/>
    <x v="1"/>
    <n v="44"/>
    <n v="2016"/>
    <x v="10"/>
    <n v="26"/>
    <n v="19"/>
    <n v="1"/>
    <n v="0"/>
    <n v="2"/>
    <n v="0"/>
    <n v="0"/>
    <s v="BB"/>
    <s v="PRT"/>
    <s v="Online TA"/>
    <x v="0"/>
    <n v="0"/>
    <n v="0"/>
    <n v="0"/>
    <s v="A"/>
    <s v="C"/>
    <n v="0"/>
    <s v="No Deposit"/>
    <n v="7"/>
    <m/>
    <n v="0"/>
    <x v="0"/>
    <x v="333"/>
    <n v="0"/>
    <n v="1"/>
    <x v="1"/>
    <d v="2016-06-20T00:00:00"/>
  </r>
  <r>
    <x v="1"/>
    <x v="1"/>
    <n v="178"/>
    <n v="2016"/>
    <x v="0"/>
    <n v="29"/>
    <n v="11"/>
    <n v="1"/>
    <n v="3"/>
    <n v="2"/>
    <n v="0"/>
    <n v="0"/>
    <s v="BB"/>
    <s v="PRT"/>
    <s v="Direct"/>
    <x v="2"/>
    <n v="0"/>
    <n v="0"/>
    <n v="0"/>
    <s v="A"/>
    <s v="A"/>
    <n v="0"/>
    <s v="No Deposit"/>
    <n v="250"/>
    <m/>
    <n v="0"/>
    <x v="0"/>
    <x v="334"/>
    <n v="1"/>
    <n v="0"/>
    <x v="1"/>
    <d v="2016-07-15T00:00:00"/>
  </r>
  <r>
    <x v="0"/>
    <x v="0"/>
    <n v="71"/>
    <n v="2016"/>
    <x v="10"/>
    <n v="25"/>
    <n v="14"/>
    <n v="0"/>
    <n v="3"/>
    <n v="1"/>
    <n v="0"/>
    <n v="0"/>
    <s v="BB"/>
    <s v="PRT"/>
    <s v="Offline TA/TO"/>
    <x v="0"/>
    <n v="0"/>
    <n v="0"/>
    <n v="0"/>
    <s v="A"/>
    <s v="A"/>
    <n v="0"/>
    <s v="Non Refund"/>
    <n v="236"/>
    <m/>
    <n v="0"/>
    <x v="0"/>
    <x v="169"/>
    <n v="0"/>
    <n v="0"/>
    <x v="0"/>
    <d v="2016-04-27T00:00:00"/>
  </r>
  <r>
    <x v="0"/>
    <x v="1"/>
    <n v="13"/>
    <n v="2016"/>
    <x v="10"/>
    <n v="26"/>
    <n v="20"/>
    <n v="1"/>
    <n v="3"/>
    <n v="2"/>
    <n v="0"/>
    <n v="0"/>
    <s v="BB"/>
    <s v="HRV"/>
    <s v="Online TA"/>
    <x v="0"/>
    <n v="0"/>
    <n v="0"/>
    <n v="0"/>
    <s v="A"/>
    <s v="A"/>
    <n v="0"/>
    <s v="No Deposit"/>
    <n v="9"/>
    <m/>
    <n v="0"/>
    <x v="0"/>
    <x v="335"/>
    <n v="0"/>
    <n v="1"/>
    <x v="1"/>
    <d v="2016-06-24T00:00:00"/>
  </r>
  <r>
    <x v="1"/>
    <x v="1"/>
    <n v="1"/>
    <n v="2016"/>
    <x v="7"/>
    <n v="19"/>
    <n v="2"/>
    <n v="1"/>
    <n v="0"/>
    <n v="2"/>
    <n v="0"/>
    <n v="0"/>
    <s v="HB"/>
    <s v="PRT"/>
    <s v="Online TA"/>
    <x v="0"/>
    <n v="0"/>
    <n v="0"/>
    <n v="0"/>
    <s v="D"/>
    <s v="D"/>
    <n v="0"/>
    <s v="No Deposit"/>
    <n v="240"/>
    <m/>
    <n v="0"/>
    <x v="0"/>
    <x v="13"/>
    <n v="0"/>
    <n v="0"/>
    <x v="1"/>
    <d v="2016-05-03T00:00:00"/>
  </r>
  <r>
    <x v="0"/>
    <x v="1"/>
    <n v="130"/>
    <n v="2016"/>
    <x v="2"/>
    <n v="40"/>
    <n v="29"/>
    <n v="0"/>
    <n v="3"/>
    <n v="2"/>
    <n v="0"/>
    <n v="0"/>
    <s v="BB"/>
    <s v="NLD"/>
    <s v="Online TA"/>
    <x v="0"/>
    <n v="0"/>
    <n v="0"/>
    <n v="0"/>
    <s v="D"/>
    <s v="D"/>
    <n v="1"/>
    <s v="No Deposit"/>
    <n v="9"/>
    <m/>
    <n v="0"/>
    <x v="0"/>
    <x v="336"/>
    <n v="0"/>
    <n v="2"/>
    <x v="1"/>
    <d v="2016-10-02T00:00:00"/>
  </r>
  <r>
    <x v="0"/>
    <x v="0"/>
    <n v="184"/>
    <n v="2016"/>
    <x v="1"/>
    <n v="42"/>
    <n v="12"/>
    <n v="0"/>
    <n v="1"/>
    <n v="2"/>
    <n v="0"/>
    <n v="0"/>
    <s v="SC"/>
    <s v="FRA"/>
    <s v="Online TA"/>
    <x v="0"/>
    <n v="0"/>
    <n v="0"/>
    <n v="0"/>
    <s v="A"/>
    <s v="B"/>
    <n v="1"/>
    <s v="No Deposit"/>
    <n v="9"/>
    <m/>
    <n v="0"/>
    <x v="0"/>
    <x v="337"/>
    <n v="0"/>
    <n v="0"/>
    <x v="0"/>
    <d v="2016-10-07T00:00:00"/>
  </r>
  <r>
    <x v="0"/>
    <x v="0"/>
    <n v="19"/>
    <n v="2016"/>
    <x v="3"/>
    <n v="53"/>
    <n v="30"/>
    <n v="0"/>
    <n v="1"/>
    <n v="2"/>
    <n v="0"/>
    <n v="0"/>
    <s v="BB"/>
    <s v="GBR"/>
    <s v="Online TA"/>
    <x v="0"/>
    <n v="0"/>
    <n v="0"/>
    <n v="0"/>
    <s v="D"/>
    <s v="D"/>
    <n v="0"/>
    <s v="No Deposit"/>
    <n v="9"/>
    <m/>
    <n v="0"/>
    <x v="0"/>
    <x v="338"/>
    <n v="0"/>
    <n v="0"/>
    <x v="0"/>
    <d v="2016-12-15T00:00:00"/>
  </r>
  <r>
    <x v="0"/>
    <x v="1"/>
    <n v="70"/>
    <n v="2017"/>
    <x v="11"/>
    <n v="16"/>
    <n v="16"/>
    <n v="2"/>
    <n v="2"/>
    <n v="2"/>
    <n v="0"/>
    <n v="0"/>
    <s v="SC"/>
    <s v="GBR"/>
    <s v="Online TA"/>
    <x v="0"/>
    <n v="0"/>
    <n v="0"/>
    <n v="0"/>
    <s v="A"/>
    <s v="A"/>
    <n v="0"/>
    <s v="No Deposit"/>
    <n v="9"/>
    <m/>
    <n v="0"/>
    <x v="0"/>
    <x v="63"/>
    <n v="0"/>
    <n v="0"/>
    <x v="1"/>
    <d v="2017-04-20T00:00:00"/>
  </r>
  <r>
    <x v="0"/>
    <x v="1"/>
    <n v="170"/>
    <n v="2017"/>
    <x v="11"/>
    <n v="17"/>
    <n v="27"/>
    <n v="0"/>
    <n v="3"/>
    <n v="2"/>
    <n v="0"/>
    <n v="0"/>
    <s v="BB"/>
    <s v="DEU"/>
    <s v="Online TA"/>
    <x v="0"/>
    <n v="0"/>
    <n v="0"/>
    <n v="0"/>
    <s v="D"/>
    <s v="D"/>
    <n v="0"/>
    <s v="No Deposit"/>
    <n v="9"/>
    <m/>
    <n v="0"/>
    <x v="0"/>
    <x v="254"/>
    <n v="0"/>
    <n v="0"/>
    <x v="1"/>
    <d v="2017-04-30T00:00:00"/>
  </r>
  <r>
    <x v="0"/>
    <x v="0"/>
    <n v="88"/>
    <n v="2017"/>
    <x v="9"/>
    <n v="7"/>
    <n v="17"/>
    <n v="0"/>
    <n v="2"/>
    <n v="2"/>
    <n v="0"/>
    <n v="0"/>
    <s v="SC"/>
    <s v="DEU"/>
    <s v="Online TA"/>
    <x v="0"/>
    <n v="0"/>
    <n v="0"/>
    <n v="0"/>
    <s v="A"/>
    <s v="A"/>
    <n v="0"/>
    <s v="No Deposit"/>
    <n v="9"/>
    <m/>
    <n v="0"/>
    <x v="0"/>
    <x v="210"/>
    <n v="0"/>
    <n v="0"/>
    <x v="0"/>
    <d v="2016-11-25T00:00:00"/>
  </r>
  <r>
    <x v="1"/>
    <x v="1"/>
    <n v="23"/>
    <n v="2017"/>
    <x v="11"/>
    <n v="16"/>
    <n v="20"/>
    <n v="0"/>
    <n v="2"/>
    <n v="2"/>
    <n v="0"/>
    <n v="0"/>
    <s v="BB"/>
    <s v="GBR"/>
    <s v="Groups"/>
    <x v="2"/>
    <n v="0"/>
    <n v="0"/>
    <n v="0"/>
    <s v="A"/>
    <s v="A"/>
    <n v="0"/>
    <s v="No Deposit"/>
    <m/>
    <m/>
    <n v="0"/>
    <x v="1"/>
    <x v="188"/>
    <n v="1"/>
    <n v="0"/>
    <x v="1"/>
    <d v="2017-04-22T00:00:00"/>
  </r>
  <r>
    <x v="0"/>
    <x v="1"/>
    <n v="160"/>
    <n v="2017"/>
    <x v="0"/>
    <n v="28"/>
    <n v="15"/>
    <n v="2"/>
    <n v="5"/>
    <n v="2"/>
    <n v="0"/>
    <n v="0"/>
    <s v="BB"/>
    <s v="FRA"/>
    <s v="Online TA"/>
    <x v="0"/>
    <n v="0"/>
    <n v="0"/>
    <n v="0"/>
    <s v="A"/>
    <s v="A"/>
    <n v="0"/>
    <s v="No Deposit"/>
    <n v="7"/>
    <m/>
    <n v="0"/>
    <x v="0"/>
    <x v="339"/>
    <n v="0"/>
    <n v="1"/>
    <x v="1"/>
    <d v="2017-07-22T00:00:00"/>
  </r>
  <r>
    <x v="1"/>
    <x v="1"/>
    <n v="85"/>
    <n v="2017"/>
    <x v="11"/>
    <n v="16"/>
    <n v="19"/>
    <n v="1"/>
    <n v="4"/>
    <n v="2"/>
    <n v="0"/>
    <n v="0"/>
    <s v="BB"/>
    <s v="USA"/>
    <s v="Direct"/>
    <x v="2"/>
    <n v="0"/>
    <n v="0"/>
    <n v="0"/>
    <s v="E"/>
    <s v="E"/>
    <n v="2"/>
    <s v="No Deposit"/>
    <m/>
    <m/>
    <n v="0"/>
    <x v="1"/>
    <x v="104"/>
    <n v="0"/>
    <n v="1"/>
    <x v="1"/>
    <d v="2017-04-24T00:00:00"/>
  </r>
  <r>
    <x v="0"/>
    <x v="1"/>
    <n v="278"/>
    <n v="2017"/>
    <x v="0"/>
    <n v="30"/>
    <n v="26"/>
    <n v="0"/>
    <n v="4"/>
    <n v="3"/>
    <n v="0"/>
    <n v="0"/>
    <s v="BB"/>
    <s v="DEU"/>
    <s v="Online TA"/>
    <x v="0"/>
    <n v="0"/>
    <n v="0"/>
    <n v="0"/>
    <s v="D"/>
    <s v="D"/>
    <n v="0"/>
    <s v="No Deposit"/>
    <n v="9"/>
    <m/>
    <n v="0"/>
    <x v="0"/>
    <x v="340"/>
    <n v="0"/>
    <n v="2"/>
    <x v="1"/>
    <d v="2017-07-30T00:00:00"/>
  </r>
  <r>
    <x v="0"/>
    <x v="0"/>
    <n v="26"/>
    <n v="2017"/>
    <x v="7"/>
    <n v="21"/>
    <n v="22"/>
    <n v="1"/>
    <n v="1"/>
    <n v="2"/>
    <n v="0"/>
    <n v="0"/>
    <s v="BB"/>
    <s v="PRT"/>
    <s v="Offline TA/TO"/>
    <x v="0"/>
    <n v="0"/>
    <n v="0"/>
    <n v="0"/>
    <s v="A"/>
    <s v="A"/>
    <n v="0"/>
    <s v="Non Refund"/>
    <n v="3"/>
    <m/>
    <n v="0"/>
    <x v="0"/>
    <x v="213"/>
    <n v="0"/>
    <n v="0"/>
    <x v="0"/>
    <d v="2017-04-26T00:00:00"/>
  </r>
  <r>
    <x v="0"/>
    <x v="1"/>
    <n v="42"/>
    <n v="2017"/>
    <x v="11"/>
    <n v="16"/>
    <n v="21"/>
    <n v="1"/>
    <n v="2"/>
    <n v="2"/>
    <n v="0"/>
    <n v="0"/>
    <s v="BB"/>
    <s v="BRA"/>
    <s v="Online TA"/>
    <x v="0"/>
    <n v="0"/>
    <n v="0"/>
    <n v="0"/>
    <s v="D"/>
    <s v="D"/>
    <n v="0"/>
    <s v="No Deposit"/>
    <n v="9"/>
    <m/>
    <n v="0"/>
    <x v="0"/>
    <x v="341"/>
    <n v="0"/>
    <n v="2"/>
    <x v="1"/>
    <d v="2017-04-24T00:00:00"/>
  </r>
  <r>
    <x v="0"/>
    <x v="0"/>
    <n v="155"/>
    <n v="2017"/>
    <x v="0"/>
    <n v="29"/>
    <n v="17"/>
    <n v="1"/>
    <n v="1"/>
    <n v="2"/>
    <n v="0"/>
    <n v="0"/>
    <s v="SC"/>
    <s v="USA"/>
    <s v="Online TA"/>
    <x v="0"/>
    <n v="0"/>
    <n v="0"/>
    <n v="0"/>
    <s v="A"/>
    <s v="A"/>
    <n v="0"/>
    <s v="No Deposit"/>
    <n v="9"/>
    <m/>
    <n v="0"/>
    <x v="0"/>
    <x v="277"/>
    <n v="0"/>
    <n v="1"/>
    <x v="0"/>
    <d v="2017-03-08T00:00:00"/>
  </r>
  <r>
    <x v="0"/>
    <x v="0"/>
    <n v="21"/>
    <n v="2017"/>
    <x v="8"/>
    <n v="1"/>
    <n v="2"/>
    <n v="1"/>
    <n v="3"/>
    <n v="2"/>
    <n v="0"/>
    <n v="0"/>
    <s v="BB"/>
    <s v="KOR"/>
    <s v="Online TA"/>
    <x v="0"/>
    <n v="0"/>
    <n v="0"/>
    <n v="0"/>
    <s v="A"/>
    <s v="A"/>
    <n v="0"/>
    <s v="No Deposit"/>
    <n v="9"/>
    <m/>
    <n v="0"/>
    <x v="0"/>
    <x v="108"/>
    <n v="0"/>
    <n v="2"/>
    <x v="0"/>
    <d v="2016-12-16T00:00:00"/>
  </r>
  <r>
    <x v="0"/>
    <x v="0"/>
    <n v="15"/>
    <n v="2017"/>
    <x v="9"/>
    <n v="7"/>
    <n v="17"/>
    <n v="0"/>
    <n v="2"/>
    <n v="2"/>
    <n v="0"/>
    <n v="0"/>
    <s v="BB"/>
    <s v="PRT"/>
    <s v="Offline TA/TO"/>
    <x v="0"/>
    <n v="0"/>
    <n v="0"/>
    <n v="0"/>
    <s v="A"/>
    <s v="A"/>
    <n v="0"/>
    <s v="Non Refund"/>
    <n v="19"/>
    <m/>
    <n v="0"/>
    <x v="0"/>
    <x v="119"/>
    <n v="0"/>
    <n v="0"/>
    <x v="0"/>
    <d v="2017-02-02T00:00:00"/>
  </r>
  <r>
    <x v="0"/>
    <x v="1"/>
    <n v="22"/>
    <n v="2017"/>
    <x v="6"/>
    <n v="11"/>
    <n v="16"/>
    <n v="2"/>
    <n v="5"/>
    <n v="2"/>
    <n v="0"/>
    <n v="0"/>
    <s v="BB"/>
    <s v="GBR"/>
    <s v="Offline TA/TO"/>
    <x v="0"/>
    <n v="0"/>
    <n v="0"/>
    <n v="0"/>
    <s v="A"/>
    <s v="A"/>
    <n v="0"/>
    <s v="No Deposit"/>
    <n v="85"/>
    <m/>
    <n v="0"/>
    <x v="0"/>
    <x v="48"/>
    <n v="0"/>
    <n v="1"/>
    <x v="1"/>
    <d v="2017-03-23T00:00:00"/>
  </r>
  <r>
    <x v="1"/>
    <x v="0"/>
    <n v="80"/>
    <n v="2017"/>
    <x v="4"/>
    <n v="34"/>
    <n v="26"/>
    <n v="2"/>
    <n v="2"/>
    <n v="2"/>
    <n v="0"/>
    <n v="0"/>
    <s v="BB"/>
    <s v="PRT"/>
    <s v="Offline TA/TO"/>
    <x v="0"/>
    <n v="0"/>
    <n v="0"/>
    <n v="0"/>
    <s v="D"/>
    <s v="D"/>
    <n v="0"/>
    <s v="No Deposit"/>
    <n v="40"/>
    <m/>
    <n v="0"/>
    <x v="2"/>
    <x v="246"/>
    <n v="0"/>
    <n v="1"/>
    <x v="0"/>
    <d v="2017-07-15T00:00:00"/>
  </r>
  <r>
    <x v="0"/>
    <x v="0"/>
    <n v="157"/>
    <n v="2017"/>
    <x v="7"/>
    <n v="18"/>
    <n v="1"/>
    <n v="1"/>
    <n v="3"/>
    <n v="2"/>
    <n v="0"/>
    <n v="0"/>
    <s v="BB"/>
    <s v="PRT"/>
    <s v="Groups"/>
    <x v="0"/>
    <n v="0"/>
    <n v="0"/>
    <n v="0"/>
    <s v="A"/>
    <s v="A"/>
    <n v="0"/>
    <s v="Non Refund"/>
    <n v="3"/>
    <m/>
    <n v="0"/>
    <x v="0"/>
    <x v="58"/>
    <n v="0"/>
    <n v="0"/>
    <x v="0"/>
    <d v="2016-11-25T00:00:00"/>
  </r>
  <r>
    <x v="0"/>
    <x v="1"/>
    <n v="1"/>
    <n v="2017"/>
    <x v="7"/>
    <n v="19"/>
    <n v="9"/>
    <n v="0"/>
    <n v="1"/>
    <n v="1"/>
    <n v="0"/>
    <n v="0"/>
    <s v="SC"/>
    <s v="ESP"/>
    <s v="Online TA"/>
    <x v="0"/>
    <n v="0"/>
    <n v="0"/>
    <n v="0"/>
    <s v="A"/>
    <s v="A"/>
    <n v="0"/>
    <s v="No Deposit"/>
    <n v="10"/>
    <m/>
    <n v="0"/>
    <x v="0"/>
    <x v="119"/>
    <n v="0"/>
    <n v="0"/>
    <x v="1"/>
    <d v="2017-05-10T00:00:00"/>
  </r>
  <r>
    <x v="0"/>
    <x v="1"/>
    <n v="127"/>
    <n v="2017"/>
    <x v="0"/>
    <n v="30"/>
    <n v="25"/>
    <n v="0"/>
    <n v="3"/>
    <n v="2"/>
    <n v="0"/>
    <n v="0"/>
    <s v="BB"/>
    <s v="AUT"/>
    <s v="Offline TA/TO"/>
    <x v="0"/>
    <n v="0"/>
    <n v="0"/>
    <n v="0"/>
    <s v="D"/>
    <s v="D"/>
    <n v="0"/>
    <s v="No Deposit"/>
    <n v="16"/>
    <m/>
    <n v="0"/>
    <x v="0"/>
    <x v="337"/>
    <n v="0"/>
    <n v="0"/>
    <x v="1"/>
    <d v="2017-07-28T00:00:00"/>
  </r>
  <r>
    <x v="1"/>
    <x v="1"/>
    <n v="0"/>
    <n v="2017"/>
    <x v="8"/>
    <n v="3"/>
    <n v="17"/>
    <n v="0"/>
    <n v="1"/>
    <n v="1"/>
    <n v="0"/>
    <n v="0"/>
    <s v="BB"/>
    <s v="ESP"/>
    <s v="Direct"/>
    <x v="2"/>
    <n v="1"/>
    <n v="0"/>
    <n v="1"/>
    <s v="A"/>
    <s v="A"/>
    <n v="0"/>
    <s v="No Deposit"/>
    <m/>
    <m/>
    <n v="0"/>
    <x v="0"/>
    <x v="342"/>
    <n v="0"/>
    <n v="0"/>
    <x v="1"/>
    <d v="2017-01-18T00:00:00"/>
  </r>
  <r>
    <x v="0"/>
    <x v="1"/>
    <n v="272"/>
    <n v="2017"/>
    <x v="0"/>
    <n v="28"/>
    <n v="12"/>
    <n v="0"/>
    <n v="3"/>
    <n v="2"/>
    <n v="2"/>
    <n v="0"/>
    <s v="BB"/>
    <s v="AUT"/>
    <s v="Online TA"/>
    <x v="0"/>
    <n v="0"/>
    <n v="0"/>
    <n v="0"/>
    <s v="F"/>
    <s v="F"/>
    <n v="3"/>
    <s v="No Deposit"/>
    <n v="9"/>
    <m/>
    <n v="0"/>
    <x v="1"/>
    <x v="343"/>
    <n v="0"/>
    <n v="2"/>
    <x v="1"/>
    <d v="2017-07-15T00:00:00"/>
  </r>
  <r>
    <x v="1"/>
    <x v="0"/>
    <n v="289"/>
    <n v="2017"/>
    <x v="0"/>
    <n v="30"/>
    <n v="25"/>
    <n v="0"/>
    <n v="4"/>
    <n v="2"/>
    <n v="1"/>
    <n v="0"/>
    <s v="BB"/>
    <s v="AUS"/>
    <s v="Online TA"/>
    <x v="0"/>
    <n v="0"/>
    <n v="0"/>
    <n v="0"/>
    <s v="E"/>
    <s v="E"/>
    <n v="0"/>
    <s v="No Deposit"/>
    <n v="240"/>
    <m/>
    <n v="0"/>
    <x v="0"/>
    <x v="344"/>
    <n v="0"/>
    <n v="0"/>
    <x v="0"/>
    <d v="2017-04-19T00:00:00"/>
  </r>
  <r>
    <x v="1"/>
    <x v="0"/>
    <n v="46"/>
    <n v="2017"/>
    <x v="4"/>
    <n v="32"/>
    <n v="12"/>
    <n v="2"/>
    <n v="5"/>
    <n v="2"/>
    <n v="0"/>
    <n v="0"/>
    <s v="BB"/>
    <s v="PRT"/>
    <s v="Offline TA/TO"/>
    <x v="0"/>
    <n v="0"/>
    <n v="0"/>
    <n v="0"/>
    <s v="A"/>
    <s v="A"/>
    <n v="0"/>
    <s v="No Deposit"/>
    <n v="261"/>
    <m/>
    <n v="0"/>
    <x v="0"/>
    <x v="345"/>
    <n v="0"/>
    <n v="0"/>
    <x v="0"/>
    <d v="2017-07-12T00:00:00"/>
  </r>
  <r>
    <x v="0"/>
    <x v="0"/>
    <n v="332"/>
    <n v="2017"/>
    <x v="11"/>
    <n v="16"/>
    <n v="22"/>
    <n v="1"/>
    <n v="1"/>
    <n v="2"/>
    <n v="1"/>
    <n v="0"/>
    <s v="BB"/>
    <s v="BEL"/>
    <s v="Online TA"/>
    <x v="0"/>
    <n v="0"/>
    <n v="0"/>
    <n v="0"/>
    <s v="A"/>
    <s v="A"/>
    <n v="0"/>
    <s v="No Deposit"/>
    <n v="9"/>
    <m/>
    <n v="0"/>
    <x v="0"/>
    <x v="346"/>
    <n v="0"/>
    <n v="0"/>
    <x v="0"/>
    <d v="2016-06-07T00:00:00"/>
  </r>
  <r>
    <x v="0"/>
    <x v="1"/>
    <n v="28"/>
    <n v="2017"/>
    <x v="9"/>
    <n v="7"/>
    <n v="13"/>
    <n v="1"/>
    <n v="2"/>
    <n v="2"/>
    <n v="0"/>
    <n v="0"/>
    <s v="BB"/>
    <s v="FRA"/>
    <s v="Offline TA/TO"/>
    <x v="0"/>
    <n v="0"/>
    <n v="0"/>
    <n v="0"/>
    <s v="A"/>
    <s v="D"/>
    <n v="0"/>
    <s v="No Deposit"/>
    <n v="28"/>
    <m/>
    <n v="0"/>
    <x v="0"/>
    <x v="45"/>
    <n v="0"/>
    <n v="0"/>
    <x v="1"/>
    <d v="2017-02-16T00:00:00"/>
  </r>
  <r>
    <x v="0"/>
    <x v="1"/>
    <n v="76"/>
    <n v="2017"/>
    <x v="0"/>
    <n v="29"/>
    <n v="16"/>
    <n v="2"/>
    <n v="3"/>
    <n v="2"/>
    <n v="0"/>
    <n v="0"/>
    <s v="BB"/>
    <s v="DEU"/>
    <s v="Direct"/>
    <x v="2"/>
    <n v="0"/>
    <n v="0"/>
    <n v="0"/>
    <s v="A"/>
    <s v="A"/>
    <n v="0"/>
    <s v="No Deposit"/>
    <n v="14"/>
    <m/>
    <n v="0"/>
    <x v="0"/>
    <x v="63"/>
    <n v="0"/>
    <n v="0"/>
    <x v="1"/>
    <d v="2017-07-21T00:00:00"/>
  </r>
  <r>
    <x v="0"/>
    <x v="1"/>
    <n v="172"/>
    <n v="2017"/>
    <x v="11"/>
    <n v="15"/>
    <n v="13"/>
    <n v="0"/>
    <n v="3"/>
    <n v="2"/>
    <n v="1"/>
    <n v="0"/>
    <s v="BB"/>
    <s v="ESP"/>
    <s v="Online TA"/>
    <x v="0"/>
    <n v="0"/>
    <n v="0"/>
    <n v="0"/>
    <s v="A"/>
    <s v="A"/>
    <n v="0"/>
    <s v="No Deposit"/>
    <n v="9"/>
    <m/>
    <n v="0"/>
    <x v="0"/>
    <x v="20"/>
    <n v="0"/>
    <n v="2"/>
    <x v="1"/>
    <d v="2017-04-16T00:00:00"/>
  </r>
  <r>
    <x v="1"/>
    <x v="1"/>
    <n v="4"/>
    <n v="2017"/>
    <x v="10"/>
    <n v="23"/>
    <n v="6"/>
    <n v="0"/>
    <n v="3"/>
    <n v="1"/>
    <n v="0"/>
    <n v="0"/>
    <s v="BB"/>
    <s v="PRT"/>
    <s v="Offline TA/TO"/>
    <x v="0"/>
    <n v="1"/>
    <n v="0"/>
    <n v="3"/>
    <s v="A"/>
    <s v="A"/>
    <n v="0"/>
    <s v="No Deposit"/>
    <n v="146"/>
    <m/>
    <n v="0"/>
    <x v="0"/>
    <x v="63"/>
    <n v="0"/>
    <n v="2"/>
    <x v="1"/>
    <d v="2017-06-09T00:00:00"/>
  </r>
  <r>
    <x v="0"/>
    <x v="1"/>
    <n v="175"/>
    <n v="2017"/>
    <x v="4"/>
    <n v="35"/>
    <n v="31"/>
    <n v="1"/>
    <n v="3"/>
    <n v="2"/>
    <n v="0"/>
    <n v="0"/>
    <s v="BB"/>
    <s v="NLD"/>
    <s v="Offline TA/TO"/>
    <x v="0"/>
    <n v="0"/>
    <n v="0"/>
    <n v="0"/>
    <s v="A"/>
    <s v="A"/>
    <n v="1"/>
    <s v="No Deposit"/>
    <n v="42"/>
    <m/>
    <n v="0"/>
    <x v="0"/>
    <x v="347"/>
    <n v="0"/>
    <n v="2"/>
    <x v="1"/>
    <d v="2017-09-04T00:00:00"/>
  </r>
  <r>
    <x v="0"/>
    <x v="1"/>
    <n v="297"/>
    <n v="2017"/>
    <x v="0"/>
    <n v="29"/>
    <n v="21"/>
    <n v="2"/>
    <n v="2"/>
    <n v="2"/>
    <n v="1"/>
    <n v="0"/>
    <s v="BB"/>
    <s v="DEU"/>
    <s v="Direct"/>
    <x v="2"/>
    <n v="0"/>
    <n v="0"/>
    <n v="0"/>
    <s v="A"/>
    <s v="A"/>
    <n v="1"/>
    <s v="No Deposit"/>
    <n v="14"/>
    <m/>
    <n v="0"/>
    <x v="0"/>
    <x v="348"/>
    <n v="0"/>
    <n v="0"/>
    <x v="1"/>
    <d v="2017-07-25T00:00:00"/>
  </r>
  <r>
    <x v="0"/>
    <x v="1"/>
    <n v="131"/>
    <n v="2017"/>
    <x v="10"/>
    <n v="23"/>
    <n v="8"/>
    <n v="0"/>
    <n v="3"/>
    <n v="2"/>
    <n v="0"/>
    <n v="0"/>
    <s v="BB"/>
    <s v="USA"/>
    <s v="Online TA"/>
    <x v="0"/>
    <n v="0"/>
    <n v="0"/>
    <n v="0"/>
    <s v="A"/>
    <s v="A"/>
    <n v="0"/>
    <s v="No Deposit"/>
    <n v="9"/>
    <m/>
    <n v="0"/>
    <x v="0"/>
    <x v="349"/>
    <n v="0"/>
    <n v="1"/>
    <x v="1"/>
    <d v="2017-06-11T00:00:00"/>
  </r>
  <r>
    <x v="0"/>
    <x v="0"/>
    <n v="313"/>
    <n v="2017"/>
    <x v="11"/>
    <n v="17"/>
    <n v="29"/>
    <n v="2"/>
    <n v="1"/>
    <n v="2"/>
    <n v="0"/>
    <n v="0"/>
    <s v="BB"/>
    <s v="PRT"/>
    <s v="Offline TA/TO"/>
    <x v="0"/>
    <n v="0"/>
    <n v="0"/>
    <n v="0"/>
    <s v="A"/>
    <s v="A"/>
    <n v="0"/>
    <s v="Non Refund"/>
    <n v="6"/>
    <m/>
    <n v="0"/>
    <x v="0"/>
    <x v="13"/>
    <n v="0"/>
    <n v="0"/>
    <x v="0"/>
    <d v="2017-02-23T00:00:00"/>
  </r>
  <r>
    <x v="0"/>
    <x v="0"/>
    <n v="56"/>
    <n v="2017"/>
    <x v="6"/>
    <n v="12"/>
    <n v="21"/>
    <n v="0"/>
    <n v="3"/>
    <n v="2"/>
    <n v="0"/>
    <n v="0"/>
    <s v="BB"/>
    <s v="PRT"/>
    <s v="Offline TA/TO"/>
    <x v="0"/>
    <n v="0"/>
    <n v="0"/>
    <n v="0"/>
    <s v="A"/>
    <s v="A"/>
    <n v="0"/>
    <s v="Non Refund"/>
    <n v="86"/>
    <m/>
    <n v="0"/>
    <x v="0"/>
    <x v="89"/>
    <n v="0"/>
    <n v="0"/>
    <x v="0"/>
    <d v="2017-01-24T00:00:00"/>
  </r>
  <r>
    <x v="1"/>
    <x v="1"/>
    <n v="94"/>
    <n v="2017"/>
    <x v="9"/>
    <n v="7"/>
    <n v="13"/>
    <n v="1"/>
    <n v="3"/>
    <n v="3"/>
    <n v="0"/>
    <n v="0"/>
    <s v="HB"/>
    <s v="JAM"/>
    <s v="Groups"/>
    <x v="0"/>
    <n v="0"/>
    <n v="0"/>
    <n v="0"/>
    <s v="A"/>
    <s v="A"/>
    <n v="1"/>
    <s v="No Deposit"/>
    <n v="152"/>
    <m/>
    <n v="0"/>
    <x v="1"/>
    <x v="155"/>
    <n v="0"/>
    <n v="0"/>
    <x v="1"/>
    <d v="2017-02-17T00:00:00"/>
  </r>
  <r>
    <x v="0"/>
    <x v="0"/>
    <n v="191"/>
    <n v="2017"/>
    <x v="11"/>
    <n v="14"/>
    <n v="6"/>
    <n v="2"/>
    <n v="3"/>
    <n v="2"/>
    <n v="0"/>
    <n v="0"/>
    <s v="BB"/>
    <s v="PRT"/>
    <s v="Online TA"/>
    <x v="0"/>
    <n v="0"/>
    <n v="0"/>
    <n v="0"/>
    <s v="A"/>
    <s v="A"/>
    <n v="0"/>
    <s v="No Deposit"/>
    <n v="83"/>
    <m/>
    <n v="0"/>
    <x v="0"/>
    <x v="225"/>
    <n v="0"/>
    <n v="0"/>
    <x v="0"/>
    <d v="2016-09-28T00:00:00"/>
  </r>
  <r>
    <x v="1"/>
    <x v="1"/>
    <n v="210"/>
    <n v="2017"/>
    <x v="4"/>
    <n v="33"/>
    <n v="19"/>
    <n v="2"/>
    <n v="5"/>
    <n v="3"/>
    <n v="0"/>
    <n v="0"/>
    <s v="HB"/>
    <s v="PRT"/>
    <s v="Offline TA/TO"/>
    <x v="0"/>
    <n v="0"/>
    <n v="0"/>
    <n v="0"/>
    <s v="A"/>
    <s v="A"/>
    <n v="0"/>
    <s v="No Deposit"/>
    <n v="261"/>
    <m/>
    <n v="0"/>
    <x v="0"/>
    <x v="350"/>
    <n v="0"/>
    <n v="0"/>
    <x v="1"/>
    <d v="2017-08-26T00:00:00"/>
  </r>
  <r>
    <x v="0"/>
    <x v="1"/>
    <n v="448"/>
    <n v="2017"/>
    <x v="10"/>
    <n v="24"/>
    <n v="17"/>
    <n v="2"/>
    <n v="1"/>
    <n v="2"/>
    <n v="0"/>
    <n v="0"/>
    <s v="BB"/>
    <s v="GBR"/>
    <s v="Groups"/>
    <x v="0"/>
    <n v="0"/>
    <n v="0"/>
    <n v="0"/>
    <s v="A"/>
    <s v="A"/>
    <n v="0"/>
    <s v="No Deposit"/>
    <n v="229"/>
    <m/>
    <n v="0"/>
    <x v="1"/>
    <x v="351"/>
    <n v="0"/>
    <n v="1"/>
    <x v="1"/>
    <d v="2017-06-20T00:00:00"/>
  </r>
  <r>
    <x v="0"/>
    <x v="0"/>
    <n v="135"/>
    <n v="2017"/>
    <x v="11"/>
    <n v="16"/>
    <n v="21"/>
    <n v="1"/>
    <n v="2"/>
    <n v="2"/>
    <n v="0"/>
    <n v="0"/>
    <s v="BB"/>
    <s v="PRT"/>
    <s v="Groups"/>
    <x v="0"/>
    <n v="0"/>
    <n v="0"/>
    <n v="0"/>
    <s v="A"/>
    <s v="A"/>
    <n v="0"/>
    <s v="Non Refund"/>
    <n v="3"/>
    <m/>
    <n v="0"/>
    <x v="0"/>
    <x v="13"/>
    <n v="0"/>
    <n v="0"/>
    <x v="0"/>
    <d v="2016-12-07T00:00:00"/>
  </r>
  <r>
    <x v="0"/>
    <x v="1"/>
    <n v="1"/>
    <n v="2017"/>
    <x v="9"/>
    <n v="5"/>
    <n v="3"/>
    <n v="1"/>
    <n v="2"/>
    <n v="2"/>
    <n v="0"/>
    <n v="0"/>
    <s v="BB"/>
    <s v="ESP"/>
    <s v="Online TA"/>
    <x v="0"/>
    <n v="0"/>
    <n v="0"/>
    <n v="0"/>
    <s v="A"/>
    <s v="A"/>
    <n v="0"/>
    <s v="No Deposit"/>
    <n v="9"/>
    <m/>
    <n v="0"/>
    <x v="0"/>
    <x v="352"/>
    <n v="0"/>
    <n v="1"/>
    <x v="1"/>
    <d v="2017-02-06T00:00:00"/>
  </r>
  <r>
    <x v="0"/>
    <x v="0"/>
    <n v="316"/>
    <n v="2017"/>
    <x v="7"/>
    <n v="19"/>
    <n v="10"/>
    <n v="0"/>
    <n v="2"/>
    <n v="2"/>
    <n v="0"/>
    <n v="0"/>
    <s v="BB"/>
    <s v="PRT"/>
    <s v="Online TA"/>
    <x v="0"/>
    <n v="0"/>
    <n v="0"/>
    <n v="0"/>
    <s v="D"/>
    <s v="D"/>
    <n v="0"/>
    <s v="No Deposit"/>
    <n v="9"/>
    <m/>
    <n v="0"/>
    <x v="0"/>
    <x v="353"/>
    <n v="0"/>
    <n v="1"/>
    <x v="0"/>
    <d v="2017-01-09T00:00:00"/>
  </r>
  <r>
    <x v="1"/>
    <x v="1"/>
    <n v="242"/>
    <n v="2017"/>
    <x v="7"/>
    <n v="18"/>
    <n v="1"/>
    <n v="4"/>
    <n v="10"/>
    <n v="2"/>
    <n v="0"/>
    <n v="0"/>
    <s v="HB"/>
    <s v="DEU"/>
    <s v="Offline TA/TO"/>
    <x v="0"/>
    <n v="0"/>
    <n v="0"/>
    <n v="0"/>
    <s v="E"/>
    <s v="E"/>
    <n v="0"/>
    <s v="No Deposit"/>
    <n v="75"/>
    <m/>
    <n v="0"/>
    <x v="0"/>
    <x v="354"/>
    <n v="0"/>
    <n v="1"/>
    <x v="1"/>
    <d v="2017-05-15T00:00:00"/>
  </r>
  <r>
    <x v="0"/>
    <x v="0"/>
    <n v="357"/>
    <n v="2017"/>
    <x v="7"/>
    <n v="21"/>
    <n v="24"/>
    <n v="0"/>
    <n v="2"/>
    <n v="2"/>
    <n v="0"/>
    <n v="0"/>
    <s v="BB"/>
    <s v="GBR"/>
    <s v="Online TA"/>
    <x v="0"/>
    <n v="0"/>
    <n v="0"/>
    <n v="0"/>
    <s v="A"/>
    <s v="A"/>
    <n v="0"/>
    <s v="No Deposit"/>
    <n v="9"/>
    <m/>
    <n v="0"/>
    <x v="0"/>
    <x v="355"/>
    <n v="0"/>
    <n v="1"/>
    <x v="0"/>
    <d v="2017-05-10T00:00:00"/>
  </r>
  <r>
    <x v="0"/>
    <x v="0"/>
    <n v="118"/>
    <n v="2017"/>
    <x v="10"/>
    <n v="23"/>
    <n v="10"/>
    <n v="0"/>
    <n v="1"/>
    <n v="2"/>
    <n v="0"/>
    <n v="0"/>
    <s v="BB"/>
    <s v="SWE"/>
    <s v="Online TA"/>
    <x v="0"/>
    <n v="0"/>
    <n v="0"/>
    <n v="0"/>
    <s v="A"/>
    <s v="A"/>
    <n v="0"/>
    <s v="No Deposit"/>
    <n v="9"/>
    <m/>
    <n v="0"/>
    <x v="0"/>
    <x v="306"/>
    <n v="0"/>
    <n v="0"/>
    <x v="0"/>
    <d v="2017-04-26T00:00:00"/>
  </r>
  <r>
    <x v="1"/>
    <x v="1"/>
    <n v="170"/>
    <n v="2017"/>
    <x v="0"/>
    <n v="29"/>
    <n v="16"/>
    <n v="5"/>
    <n v="10"/>
    <n v="2"/>
    <n v="0"/>
    <n v="0"/>
    <s v="HB"/>
    <s v="FRA"/>
    <s v="Offline TA/TO"/>
    <x v="0"/>
    <n v="0"/>
    <n v="0"/>
    <n v="0"/>
    <s v="E"/>
    <s v="E"/>
    <n v="0"/>
    <s v="No Deposit"/>
    <n v="6"/>
    <m/>
    <n v="0"/>
    <x v="0"/>
    <x v="356"/>
    <n v="0"/>
    <n v="0"/>
    <x v="1"/>
    <d v="2017-07-31T00:00:00"/>
  </r>
  <r>
    <x v="0"/>
    <x v="0"/>
    <n v="87"/>
    <n v="2017"/>
    <x v="11"/>
    <n v="15"/>
    <n v="15"/>
    <n v="2"/>
    <n v="2"/>
    <n v="2"/>
    <n v="0"/>
    <n v="0"/>
    <s v="BB"/>
    <s v="PRT"/>
    <s v="Groups"/>
    <x v="0"/>
    <n v="0"/>
    <n v="0"/>
    <n v="0"/>
    <s v="A"/>
    <s v="A"/>
    <n v="0"/>
    <s v="Non Refund"/>
    <n v="1"/>
    <m/>
    <n v="0"/>
    <x v="0"/>
    <x v="119"/>
    <n v="0"/>
    <n v="0"/>
    <x v="0"/>
    <d v="2017-01-18T00:00:00"/>
  </r>
  <r>
    <x v="0"/>
    <x v="0"/>
    <n v="37"/>
    <n v="2017"/>
    <x v="6"/>
    <n v="11"/>
    <n v="15"/>
    <n v="0"/>
    <n v="2"/>
    <n v="2"/>
    <n v="0"/>
    <n v="0"/>
    <s v="BB"/>
    <s v="PRT"/>
    <s v="Groups"/>
    <x v="0"/>
    <n v="0"/>
    <n v="0"/>
    <n v="0"/>
    <s v="A"/>
    <s v="A"/>
    <n v="0"/>
    <s v="Non Refund"/>
    <n v="378"/>
    <m/>
    <n v="0"/>
    <x v="0"/>
    <x v="199"/>
    <n v="0"/>
    <n v="0"/>
    <x v="0"/>
    <d v="2017-02-06T00:00:00"/>
  </r>
  <r>
    <x v="0"/>
    <x v="1"/>
    <n v="110"/>
    <n v="2017"/>
    <x v="11"/>
    <n v="15"/>
    <n v="10"/>
    <n v="1"/>
    <n v="2"/>
    <n v="2"/>
    <n v="0"/>
    <n v="0"/>
    <s v="SC"/>
    <s v="IRL"/>
    <s v="Online TA"/>
    <x v="0"/>
    <n v="0"/>
    <n v="0"/>
    <n v="0"/>
    <s v="A"/>
    <s v="A"/>
    <n v="0"/>
    <s v="No Deposit"/>
    <n v="9"/>
    <m/>
    <n v="0"/>
    <x v="0"/>
    <x v="188"/>
    <n v="0"/>
    <n v="1"/>
    <x v="1"/>
    <d v="2017-04-13T00:00:00"/>
  </r>
  <r>
    <x v="1"/>
    <x v="1"/>
    <n v="143"/>
    <n v="2017"/>
    <x v="6"/>
    <n v="10"/>
    <n v="5"/>
    <n v="2"/>
    <n v="5"/>
    <n v="2"/>
    <n v="0"/>
    <n v="0"/>
    <s v="HB"/>
    <s v="DEU"/>
    <s v="Offline TA/TO"/>
    <x v="0"/>
    <n v="0"/>
    <n v="0"/>
    <n v="0"/>
    <s v="D"/>
    <s v="E"/>
    <n v="0"/>
    <s v="No Deposit"/>
    <n v="177"/>
    <m/>
    <n v="0"/>
    <x v="0"/>
    <x v="357"/>
    <n v="0"/>
    <n v="0"/>
    <x v="1"/>
    <d v="2017-03-12T00:00:00"/>
  </r>
  <r>
    <x v="0"/>
    <x v="1"/>
    <n v="100"/>
    <n v="2017"/>
    <x v="4"/>
    <n v="31"/>
    <n v="1"/>
    <n v="2"/>
    <n v="5"/>
    <n v="2"/>
    <n v="0"/>
    <n v="0"/>
    <s v="SC"/>
    <s v="NOR"/>
    <s v="Online TA"/>
    <x v="0"/>
    <n v="0"/>
    <n v="0"/>
    <n v="0"/>
    <s v="A"/>
    <s v="A"/>
    <n v="0"/>
    <s v="No Deposit"/>
    <n v="9"/>
    <m/>
    <n v="0"/>
    <x v="1"/>
    <x v="358"/>
    <n v="0"/>
    <n v="0"/>
    <x v="1"/>
    <d v="2017-08-08T00:00:00"/>
  </r>
  <r>
    <x v="0"/>
    <x v="0"/>
    <n v="215"/>
    <n v="2017"/>
    <x v="11"/>
    <n v="15"/>
    <n v="14"/>
    <n v="2"/>
    <n v="2"/>
    <n v="2"/>
    <n v="0"/>
    <n v="0"/>
    <s v="SC"/>
    <s v="CN"/>
    <s v="Online TA"/>
    <x v="0"/>
    <n v="0"/>
    <n v="0"/>
    <n v="0"/>
    <s v="A"/>
    <s v="A"/>
    <n v="0"/>
    <s v="No Deposit"/>
    <n v="9"/>
    <m/>
    <n v="0"/>
    <x v="0"/>
    <x v="199"/>
    <n v="0"/>
    <n v="1"/>
    <x v="0"/>
    <d v="2016-10-31T00:00:00"/>
  </r>
  <r>
    <x v="0"/>
    <x v="1"/>
    <n v="158"/>
    <n v="2017"/>
    <x v="6"/>
    <n v="13"/>
    <n v="27"/>
    <n v="1"/>
    <n v="1"/>
    <n v="2"/>
    <n v="0"/>
    <n v="0"/>
    <s v="BB"/>
    <s v="ISR"/>
    <s v="Groups"/>
    <x v="0"/>
    <n v="0"/>
    <n v="0"/>
    <n v="0"/>
    <s v="A"/>
    <s v="D"/>
    <n v="0"/>
    <s v="No Deposit"/>
    <n v="37"/>
    <m/>
    <n v="0"/>
    <x v="1"/>
    <x v="119"/>
    <n v="0"/>
    <n v="1"/>
    <x v="1"/>
    <d v="2017-03-29T00:00:00"/>
  </r>
  <r>
    <x v="1"/>
    <x v="1"/>
    <n v="0"/>
    <n v="2017"/>
    <x v="9"/>
    <n v="7"/>
    <n v="17"/>
    <n v="1"/>
    <n v="2"/>
    <n v="2"/>
    <n v="0"/>
    <n v="0"/>
    <s v="BB"/>
    <s v="DEU"/>
    <s v="Direct"/>
    <x v="2"/>
    <n v="0"/>
    <n v="0"/>
    <n v="0"/>
    <s v="E"/>
    <s v="E"/>
    <n v="0"/>
    <s v="No Deposit"/>
    <m/>
    <m/>
    <n v="0"/>
    <x v="0"/>
    <x v="259"/>
    <n v="0"/>
    <n v="0"/>
    <x v="1"/>
    <d v="2017-02-20T00:00:00"/>
  </r>
  <r>
    <x v="0"/>
    <x v="1"/>
    <n v="133"/>
    <n v="2017"/>
    <x v="0"/>
    <n v="27"/>
    <n v="7"/>
    <n v="1"/>
    <n v="2"/>
    <n v="2"/>
    <n v="0"/>
    <n v="0"/>
    <s v="BB"/>
    <s v="DEU"/>
    <s v="Online TA"/>
    <x v="0"/>
    <n v="0"/>
    <n v="0"/>
    <n v="0"/>
    <s v="A"/>
    <s v="A"/>
    <n v="0"/>
    <s v="No Deposit"/>
    <n v="9"/>
    <m/>
    <n v="0"/>
    <x v="0"/>
    <x v="321"/>
    <n v="0"/>
    <n v="2"/>
    <x v="1"/>
    <d v="2017-07-10T00:00:00"/>
  </r>
  <r>
    <x v="0"/>
    <x v="0"/>
    <n v="80"/>
    <n v="2017"/>
    <x v="8"/>
    <n v="3"/>
    <n v="20"/>
    <n v="0"/>
    <n v="2"/>
    <n v="2"/>
    <n v="0"/>
    <n v="0"/>
    <s v="BB"/>
    <s v="ESP"/>
    <s v="Online TA"/>
    <x v="0"/>
    <n v="0"/>
    <n v="0"/>
    <n v="0"/>
    <s v="A"/>
    <s v="A"/>
    <n v="0"/>
    <s v="No Deposit"/>
    <n v="9"/>
    <m/>
    <n v="0"/>
    <x v="0"/>
    <x v="359"/>
    <n v="0"/>
    <n v="0"/>
    <x v="0"/>
    <d v="2017-01-04T00:00:00"/>
  </r>
  <r>
    <x v="1"/>
    <x v="1"/>
    <n v="10"/>
    <n v="2017"/>
    <x v="9"/>
    <n v="7"/>
    <n v="12"/>
    <n v="1"/>
    <n v="0"/>
    <n v="2"/>
    <n v="0"/>
    <n v="0"/>
    <s v="BB"/>
    <s v="PRT"/>
    <s v="Online TA"/>
    <x v="0"/>
    <n v="0"/>
    <n v="0"/>
    <n v="0"/>
    <s v="A"/>
    <s v="A"/>
    <n v="0"/>
    <s v="No Deposit"/>
    <n v="240"/>
    <m/>
    <n v="0"/>
    <x v="0"/>
    <x v="21"/>
    <n v="0"/>
    <n v="1"/>
    <x v="1"/>
    <d v="2017-02-13T00:00:00"/>
  </r>
  <r>
    <x v="0"/>
    <x v="0"/>
    <n v="185"/>
    <n v="2017"/>
    <x v="7"/>
    <n v="19"/>
    <n v="12"/>
    <n v="2"/>
    <n v="3"/>
    <n v="2"/>
    <n v="0"/>
    <n v="0"/>
    <s v="SC"/>
    <s v="AUT"/>
    <s v="Online TA"/>
    <x v="0"/>
    <n v="0"/>
    <n v="0"/>
    <n v="0"/>
    <s v="A"/>
    <s v="A"/>
    <n v="0"/>
    <s v="No Deposit"/>
    <n v="9"/>
    <m/>
    <n v="0"/>
    <x v="0"/>
    <x v="186"/>
    <n v="0"/>
    <n v="0"/>
    <x v="0"/>
    <d v="2016-11-08T00:00:00"/>
  </r>
  <r>
    <x v="0"/>
    <x v="0"/>
    <n v="229"/>
    <n v="2017"/>
    <x v="0"/>
    <n v="28"/>
    <n v="12"/>
    <n v="1"/>
    <n v="4"/>
    <n v="2"/>
    <n v="0"/>
    <n v="0"/>
    <s v="BB"/>
    <s v="PRT"/>
    <s v="Groups"/>
    <x v="0"/>
    <n v="0"/>
    <n v="0"/>
    <n v="0"/>
    <s v="A"/>
    <s v="A"/>
    <n v="0"/>
    <s v="Non Refund"/>
    <m/>
    <m/>
    <n v="0"/>
    <x v="0"/>
    <x v="199"/>
    <n v="0"/>
    <n v="0"/>
    <x v="0"/>
    <d v="2016-11-25T00:00:00"/>
  </r>
  <r>
    <x v="1"/>
    <x v="1"/>
    <n v="149"/>
    <n v="2017"/>
    <x v="0"/>
    <n v="30"/>
    <n v="26"/>
    <n v="0"/>
    <n v="4"/>
    <n v="2"/>
    <n v="2"/>
    <n v="0"/>
    <s v="BB"/>
    <s v="CHE"/>
    <s v="Direct"/>
    <x v="2"/>
    <n v="0"/>
    <n v="0"/>
    <n v="0"/>
    <s v="C"/>
    <s v="C"/>
    <n v="0"/>
    <s v="No Deposit"/>
    <n v="250"/>
    <m/>
    <n v="0"/>
    <x v="0"/>
    <x v="360"/>
    <n v="0"/>
    <n v="0"/>
    <x v="1"/>
    <d v="2017-07-30T00:00:00"/>
  </r>
  <r>
    <x v="0"/>
    <x v="1"/>
    <n v="91"/>
    <n v="2017"/>
    <x v="11"/>
    <n v="14"/>
    <n v="2"/>
    <n v="2"/>
    <n v="2"/>
    <n v="2"/>
    <n v="0"/>
    <n v="0"/>
    <s v="BB"/>
    <s v="DEU"/>
    <s v="Online TA"/>
    <x v="0"/>
    <n v="0"/>
    <n v="0"/>
    <n v="0"/>
    <s v="A"/>
    <s v="A"/>
    <n v="2"/>
    <s v="No Deposit"/>
    <n v="9"/>
    <m/>
    <n v="0"/>
    <x v="0"/>
    <x v="352"/>
    <n v="0"/>
    <n v="4"/>
    <x v="1"/>
    <d v="2017-04-06T00:00:00"/>
  </r>
  <r>
    <x v="0"/>
    <x v="1"/>
    <n v="71"/>
    <n v="2017"/>
    <x v="0"/>
    <n v="27"/>
    <n v="7"/>
    <n v="1"/>
    <n v="2"/>
    <n v="2"/>
    <n v="0"/>
    <n v="0"/>
    <s v="BB"/>
    <s v="NOR"/>
    <s v="Online TA"/>
    <x v="0"/>
    <n v="0"/>
    <n v="0"/>
    <n v="0"/>
    <s v="D"/>
    <s v="D"/>
    <n v="0"/>
    <s v="No Deposit"/>
    <n v="9"/>
    <m/>
    <n v="0"/>
    <x v="0"/>
    <x v="144"/>
    <n v="0"/>
    <n v="1"/>
    <x v="1"/>
    <d v="2017-07-10T00:00:00"/>
  </r>
  <r>
    <x v="1"/>
    <x v="1"/>
    <n v="7"/>
    <n v="2017"/>
    <x v="6"/>
    <n v="9"/>
    <n v="2"/>
    <n v="1"/>
    <n v="3"/>
    <n v="1"/>
    <n v="0"/>
    <n v="0"/>
    <s v="BB"/>
    <s v="GBR"/>
    <s v="Groups"/>
    <x v="1"/>
    <n v="0"/>
    <n v="0"/>
    <n v="0"/>
    <s v="A"/>
    <s v="A"/>
    <n v="1"/>
    <s v="No Deposit"/>
    <m/>
    <n v="223"/>
    <n v="0"/>
    <x v="1"/>
    <x v="361"/>
    <n v="0"/>
    <n v="0"/>
    <x v="1"/>
    <d v="2017-03-06T00:00:00"/>
  </r>
  <r>
    <x v="0"/>
    <x v="0"/>
    <n v="169"/>
    <n v="2017"/>
    <x v="10"/>
    <n v="23"/>
    <n v="8"/>
    <n v="0"/>
    <n v="3"/>
    <n v="2"/>
    <n v="0"/>
    <n v="0"/>
    <s v="BB"/>
    <s v="PRT"/>
    <s v="Offline TA/TO"/>
    <x v="0"/>
    <n v="0"/>
    <n v="0"/>
    <n v="0"/>
    <s v="A"/>
    <s v="A"/>
    <n v="0"/>
    <s v="Non Refund"/>
    <n v="19"/>
    <m/>
    <n v="0"/>
    <x v="0"/>
    <x v="34"/>
    <n v="0"/>
    <n v="0"/>
    <x v="0"/>
    <d v="2016-12-21T00:00:00"/>
  </r>
  <r>
    <x v="0"/>
    <x v="1"/>
    <n v="0"/>
    <n v="2017"/>
    <x v="0"/>
    <n v="27"/>
    <n v="2"/>
    <n v="1"/>
    <n v="0"/>
    <n v="2"/>
    <n v="0"/>
    <n v="0"/>
    <s v="SC"/>
    <s v="PRT"/>
    <s v="Direct"/>
    <x v="2"/>
    <n v="0"/>
    <n v="0"/>
    <n v="0"/>
    <s v="B"/>
    <s v="B"/>
    <n v="1"/>
    <s v="No Deposit"/>
    <m/>
    <m/>
    <n v="0"/>
    <x v="0"/>
    <x v="54"/>
    <n v="0"/>
    <n v="0"/>
    <x v="1"/>
    <d v="2017-07-03T00:00:00"/>
  </r>
  <r>
    <x v="0"/>
    <x v="1"/>
    <n v="73"/>
    <n v="2017"/>
    <x v="0"/>
    <n v="30"/>
    <n v="24"/>
    <n v="1"/>
    <n v="3"/>
    <n v="2"/>
    <n v="0"/>
    <n v="0"/>
    <s v="BB"/>
    <s v="NLD"/>
    <s v="Online TA"/>
    <x v="0"/>
    <n v="0"/>
    <n v="0"/>
    <n v="0"/>
    <s v="A"/>
    <s v="A"/>
    <n v="0"/>
    <s v="No Deposit"/>
    <n v="159"/>
    <m/>
    <n v="0"/>
    <x v="0"/>
    <x v="362"/>
    <n v="0"/>
    <n v="0"/>
    <x v="1"/>
    <d v="2017-07-28T00:00:00"/>
  </r>
  <r>
    <x v="1"/>
    <x v="1"/>
    <n v="0"/>
    <n v="2017"/>
    <x v="7"/>
    <n v="18"/>
    <n v="5"/>
    <n v="0"/>
    <n v="2"/>
    <n v="2"/>
    <n v="0"/>
    <n v="0"/>
    <s v="BB"/>
    <s v="PRT"/>
    <s v="Online TA"/>
    <x v="0"/>
    <n v="0"/>
    <n v="0"/>
    <n v="0"/>
    <s v="A"/>
    <s v="A"/>
    <n v="0"/>
    <s v="No Deposit"/>
    <n v="240"/>
    <m/>
    <n v="0"/>
    <x v="0"/>
    <x v="2"/>
    <n v="0"/>
    <n v="0"/>
    <x v="1"/>
    <d v="2017-05-07T00:00:00"/>
  </r>
  <r>
    <x v="0"/>
    <x v="1"/>
    <n v="158"/>
    <n v="2017"/>
    <x v="6"/>
    <n v="13"/>
    <n v="27"/>
    <n v="1"/>
    <n v="1"/>
    <n v="2"/>
    <n v="0"/>
    <n v="0"/>
    <s v="BB"/>
    <s v="ISR"/>
    <s v="Groups"/>
    <x v="0"/>
    <n v="0"/>
    <n v="0"/>
    <n v="0"/>
    <s v="A"/>
    <s v="A"/>
    <n v="0"/>
    <s v="No Deposit"/>
    <n v="37"/>
    <m/>
    <n v="0"/>
    <x v="1"/>
    <x v="119"/>
    <n v="0"/>
    <n v="0"/>
    <x v="1"/>
    <d v="2017-03-29T00:00:00"/>
  </r>
  <r>
    <x v="1"/>
    <x v="0"/>
    <n v="43"/>
    <n v="2017"/>
    <x v="8"/>
    <n v="4"/>
    <n v="27"/>
    <n v="1"/>
    <n v="2"/>
    <n v="2"/>
    <n v="0"/>
    <n v="0"/>
    <s v="BB"/>
    <s v="GBR"/>
    <s v="Online TA"/>
    <x v="0"/>
    <n v="0"/>
    <n v="0"/>
    <n v="0"/>
    <s v="A"/>
    <s v="A"/>
    <n v="0"/>
    <s v="No Deposit"/>
    <n v="240"/>
    <m/>
    <n v="0"/>
    <x v="1"/>
    <x v="21"/>
    <n v="0"/>
    <n v="0"/>
    <x v="0"/>
    <d v="2017-01-05T00:00:00"/>
  </r>
  <r>
    <x v="1"/>
    <x v="0"/>
    <n v="21"/>
    <n v="2017"/>
    <x v="0"/>
    <n v="29"/>
    <n v="17"/>
    <n v="1"/>
    <n v="3"/>
    <n v="2"/>
    <n v="0"/>
    <n v="0"/>
    <s v="BB"/>
    <s v="MAR"/>
    <s v="Online TA"/>
    <x v="0"/>
    <n v="0"/>
    <n v="0"/>
    <n v="0"/>
    <s v="E"/>
    <s v="E"/>
    <n v="0"/>
    <s v="No Deposit"/>
    <n v="240"/>
    <m/>
    <n v="0"/>
    <x v="0"/>
    <x v="363"/>
    <n v="0"/>
    <n v="1"/>
    <x v="0"/>
    <d v="2017-06-29T00:00:00"/>
  </r>
  <r>
    <x v="0"/>
    <x v="1"/>
    <n v="18"/>
    <n v="2017"/>
    <x v="9"/>
    <n v="7"/>
    <n v="17"/>
    <n v="0"/>
    <n v="2"/>
    <n v="2"/>
    <n v="0"/>
    <n v="0"/>
    <s v="BB"/>
    <s v="ESP"/>
    <s v="Direct"/>
    <x v="2"/>
    <n v="0"/>
    <n v="0"/>
    <n v="0"/>
    <s v="D"/>
    <s v="D"/>
    <n v="0"/>
    <s v="No Deposit"/>
    <n v="14"/>
    <m/>
    <n v="0"/>
    <x v="0"/>
    <x v="364"/>
    <n v="0"/>
    <n v="0"/>
    <x v="1"/>
    <d v="2017-02-19T00:00:00"/>
  </r>
  <r>
    <x v="0"/>
    <x v="1"/>
    <n v="99"/>
    <n v="2017"/>
    <x v="7"/>
    <n v="22"/>
    <n v="30"/>
    <n v="0"/>
    <n v="4"/>
    <n v="2"/>
    <n v="0"/>
    <n v="0"/>
    <s v="HB"/>
    <s v="BEL"/>
    <s v="Online TA"/>
    <x v="0"/>
    <n v="0"/>
    <n v="0"/>
    <n v="0"/>
    <s v="A"/>
    <s v="A"/>
    <n v="1"/>
    <s v="No Deposit"/>
    <n v="9"/>
    <m/>
    <n v="0"/>
    <x v="0"/>
    <x v="218"/>
    <n v="0"/>
    <n v="2"/>
    <x v="1"/>
    <d v="2017-06-03T00:00:00"/>
  </r>
  <r>
    <x v="1"/>
    <x v="0"/>
    <n v="320"/>
    <n v="2017"/>
    <x v="0"/>
    <n v="27"/>
    <n v="4"/>
    <n v="0"/>
    <n v="3"/>
    <n v="2"/>
    <n v="0"/>
    <n v="0"/>
    <s v="BB"/>
    <s v="FRA"/>
    <s v="Online TA"/>
    <x v="0"/>
    <n v="0"/>
    <n v="0"/>
    <n v="0"/>
    <s v="A"/>
    <s v="A"/>
    <n v="0"/>
    <s v="No Deposit"/>
    <n v="240"/>
    <m/>
    <n v="0"/>
    <x v="0"/>
    <x v="365"/>
    <n v="0"/>
    <n v="0"/>
    <x v="0"/>
    <d v="2016-08-18T00:00:00"/>
  </r>
  <r>
    <x v="0"/>
    <x v="0"/>
    <n v="408"/>
    <n v="2017"/>
    <x v="7"/>
    <n v="22"/>
    <n v="30"/>
    <n v="0"/>
    <n v="1"/>
    <n v="2"/>
    <n v="0"/>
    <n v="0"/>
    <s v="BB"/>
    <s v="PRT"/>
    <s v="Groups"/>
    <x v="0"/>
    <n v="0"/>
    <n v="0"/>
    <n v="0"/>
    <s v="A"/>
    <s v="A"/>
    <n v="0"/>
    <s v="Non Refund"/>
    <n v="229"/>
    <m/>
    <n v="0"/>
    <x v="0"/>
    <x v="13"/>
    <n v="0"/>
    <n v="0"/>
    <x v="0"/>
    <d v="2017-05-05T00:00:00"/>
  </r>
  <r>
    <x v="0"/>
    <x v="0"/>
    <n v="27"/>
    <n v="2017"/>
    <x v="9"/>
    <n v="8"/>
    <n v="23"/>
    <n v="0"/>
    <n v="3"/>
    <n v="2"/>
    <n v="0"/>
    <n v="0"/>
    <s v="BB"/>
    <s v="ITA"/>
    <s v="Online TA"/>
    <x v="0"/>
    <n v="0"/>
    <n v="0"/>
    <n v="0"/>
    <s v="D"/>
    <s v="D"/>
    <n v="0"/>
    <s v="No Deposit"/>
    <n v="9"/>
    <m/>
    <n v="0"/>
    <x v="0"/>
    <x v="153"/>
    <n v="0"/>
    <n v="0"/>
    <x v="0"/>
    <d v="2017-01-29T00:00:00"/>
  </r>
  <r>
    <x v="0"/>
    <x v="0"/>
    <n v="129"/>
    <n v="2017"/>
    <x v="10"/>
    <n v="22"/>
    <n v="2"/>
    <n v="1"/>
    <n v="2"/>
    <n v="2"/>
    <n v="0"/>
    <n v="0"/>
    <s v="BB"/>
    <s v="PRT"/>
    <s v="Groups"/>
    <x v="0"/>
    <n v="0"/>
    <n v="0"/>
    <n v="0"/>
    <s v="A"/>
    <s v="A"/>
    <n v="0"/>
    <s v="Non Refund"/>
    <n v="154"/>
    <m/>
    <n v="0"/>
    <x v="0"/>
    <x v="58"/>
    <n v="0"/>
    <n v="0"/>
    <x v="0"/>
    <d v="2017-01-24T00:00:00"/>
  </r>
  <r>
    <x v="1"/>
    <x v="1"/>
    <n v="43"/>
    <n v="2017"/>
    <x v="10"/>
    <n v="24"/>
    <n v="11"/>
    <n v="2"/>
    <n v="5"/>
    <n v="2"/>
    <n v="0"/>
    <n v="0"/>
    <s v="BB"/>
    <s v="FRA"/>
    <s v="Online TA"/>
    <x v="0"/>
    <n v="0"/>
    <n v="0"/>
    <n v="0"/>
    <s v="A"/>
    <s v="A"/>
    <n v="0"/>
    <s v="No Deposit"/>
    <n v="240"/>
    <m/>
    <n v="0"/>
    <x v="0"/>
    <x v="5"/>
    <n v="0"/>
    <n v="1"/>
    <x v="1"/>
    <d v="2017-06-18T00:00:00"/>
  </r>
  <r>
    <x v="0"/>
    <x v="1"/>
    <n v="1"/>
    <n v="2017"/>
    <x v="4"/>
    <n v="35"/>
    <n v="27"/>
    <n v="1"/>
    <n v="0"/>
    <n v="1"/>
    <n v="0"/>
    <n v="0"/>
    <s v="SC"/>
    <s v="ESP"/>
    <s v="Online TA"/>
    <x v="0"/>
    <n v="0"/>
    <n v="0"/>
    <n v="0"/>
    <s v="A"/>
    <s v="A"/>
    <n v="1"/>
    <s v="No Deposit"/>
    <n v="9"/>
    <m/>
    <n v="0"/>
    <x v="0"/>
    <x v="366"/>
    <n v="0"/>
    <n v="0"/>
    <x v="1"/>
    <d v="2017-08-28T00:00:00"/>
  </r>
  <r>
    <x v="0"/>
    <x v="0"/>
    <n v="88"/>
    <n v="2017"/>
    <x v="10"/>
    <n v="24"/>
    <n v="17"/>
    <n v="0"/>
    <n v="1"/>
    <n v="2"/>
    <n v="1"/>
    <n v="0"/>
    <s v="HB"/>
    <s v="ESP"/>
    <s v="Online TA"/>
    <x v="0"/>
    <n v="0"/>
    <n v="0"/>
    <n v="0"/>
    <s v="A"/>
    <s v="A"/>
    <n v="0"/>
    <s v="No Deposit"/>
    <n v="9"/>
    <m/>
    <n v="0"/>
    <x v="0"/>
    <x v="367"/>
    <n v="0"/>
    <n v="0"/>
    <x v="0"/>
    <d v="2017-03-28T00:00:00"/>
  </r>
  <r>
    <x v="0"/>
    <x v="1"/>
    <n v="111"/>
    <n v="2017"/>
    <x v="7"/>
    <n v="20"/>
    <n v="14"/>
    <n v="2"/>
    <n v="1"/>
    <n v="2"/>
    <n v="0"/>
    <n v="0"/>
    <s v="BB"/>
    <s v="AUT"/>
    <s v="Online TA"/>
    <x v="0"/>
    <n v="0"/>
    <n v="0"/>
    <n v="0"/>
    <s v="D"/>
    <s v="D"/>
    <n v="0"/>
    <s v="No Deposit"/>
    <n v="83"/>
    <m/>
    <n v="0"/>
    <x v="0"/>
    <x v="368"/>
    <n v="0"/>
    <n v="0"/>
    <x v="1"/>
    <d v="2017-05-17T00:00:00"/>
  </r>
  <r>
    <x v="1"/>
    <x v="0"/>
    <n v="190"/>
    <n v="2017"/>
    <x v="0"/>
    <n v="29"/>
    <n v="17"/>
    <n v="2"/>
    <n v="5"/>
    <n v="3"/>
    <n v="0"/>
    <n v="0"/>
    <s v="Undefined"/>
    <s v="CHE"/>
    <s v="Direct"/>
    <x v="2"/>
    <n v="0"/>
    <n v="0"/>
    <n v="0"/>
    <s v="D"/>
    <s v="D"/>
    <n v="3"/>
    <s v="No Deposit"/>
    <n v="250"/>
    <m/>
    <n v="0"/>
    <x v="0"/>
    <x v="369"/>
    <n v="0"/>
    <n v="0"/>
    <x v="0"/>
    <d v="2017-07-03T00:00:00"/>
  </r>
  <r>
    <x v="0"/>
    <x v="0"/>
    <n v="46"/>
    <n v="2017"/>
    <x v="6"/>
    <n v="10"/>
    <n v="6"/>
    <n v="2"/>
    <n v="5"/>
    <n v="2"/>
    <n v="0"/>
    <n v="0"/>
    <s v="BB"/>
    <s v="PRT"/>
    <s v="Online TA"/>
    <x v="0"/>
    <n v="0"/>
    <n v="0"/>
    <n v="0"/>
    <s v="D"/>
    <s v="D"/>
    <n v="2"/>
    <s v="No Deposit"/>
    <n v="8"/>
    <m/>
    <n v="0"/>
    <x v="0"/>
    <x v="370"/>
    <n v="0"/>
    <n v="0"/>
    <x v="0"/>
    <d v="2017-01-29T00:00:00"/>
  </r>
  <r>
    <x v="0"/>
    <x v="1"/>
    <n v="9"/>
    <n v="2017"/>
    <x v="9"/>
    <n v="6"/>
    <n v="8"/>
    <n v="0"/>
    <n v="4"/>
    <n v="2"/>
    <n v="0"/>
    <n v="0"/>
    <s v="BB"/>
    <s v="FRA"/>
    <s v="Direct"/>
    <x v="2"/>
    <n v="0"/>
    <n v="0"/>
    <n v="0"/>
    <s v="B"/>
    <s v="A"/>
    <n v="1"/>
    <s v="No Deposit"/>
    <n v="14"/>
    <m/>
    <n v="0"/>
    <x v="0"/>
    <x v="371"/>
    <n v="0"/>
    <n v="0"/>
    <x v="1"/>
    <d v="2017-02-12T00:00:00"/>
  </r>
  <r>
    <x v="0"/>
    <x v="0"/>
    <n v="594"/>
    <n v="2017"/>
    <x v="9"/>
    <n v="8"/>
    <n v="23"/>
    <n v="0"/>
    <n v="2"/>
    <n v="2"/>
    <n v="0"/>
    <n v="0"/>
    <s v="BB"/>
    <s v="PRT"/>
    <s v="Groups"/>
    <x v="0"/>
    <n v="0"/>
    <n v="0"/>
    <n v="0"/>
    <s v="A"/>
    <s v="A"/>
    <n v="0"/>
    <s v="Non Refund"/>
    <n v="1"/>
    <m/>
    <n v="0"/>
    <x v="0"/>
    <x v="6"/>
    <n v="0"/>
    <n v="0"/>
    <x v="0"/>
    <d v="2015-10-21T00:00:00"/>
  </r>
  <r>
    <x v="0"/>
    <x v="1"/>
    <n v="4"/>
    <n v="2017"/>
    <x v="11"/>
    <n v="15"/>
    <n v="12"/>
    <n v="0"/>
    <n v="3"/>
    <n v="2"/>
    <n v="0"/>
    <n v="0"/>
    <s v="SC"/>
    <s v="CZE"/>
    <s v="Online TA"/>
    <x v="0"/>
    <n v="0"/>
    <n v="0"/>
    <n v="0"/>
    <s v="A"/>
    <s v="A"/>
    <n v="0"/>
    <s v="No Deposit"/>
    <n v="9"/>
    <m/>
    <n v="0"/>
    <x v="0"/>
    <x v="341"/>
    <n v="0"/>
    <n v="2"/>
    <x v="1"/>
    <d v="2017-04-15T00:00:00"/>
  </r>
  <r>
    <x v="0"/>
    <x v="0"/>
    <n v="84"/>
    <n v="2017"/>
    <x v="7"/>
    <n v="19"/>
    <n v="12"/>
    <n v="0"/>
    <n v="2"/>
    <n v="3"/>
    <n v="0"/>
    <n v="0"/>
    <s v="BB"/>
    <s v="ITA"/>
    <s v="Online TA"/>
    <x v="0"/>
    <n v="0"/>
    <n v="0"/>
    <n v="0"/>
    <s v="D"/>
    <s v="D"/>
    <n v="0"/>
    <s v="No Deposit"/>
    <n v="9"/>
    <m/>
    <n v="0"/>
    <x v="0"/>
    <x v="372"/>
    <n v="0"/>
    <n v="0"/>
    <x v="0"/>
    <d v="2017-04-24T00:00:00"/>
  </r>
  <r>
    <x v="1"/>
    <x v="1"/>
    <n v="0"/>
    <n v="2017"/>
    <x v="9"/>
    <n v="8"/>
    <n v="22"/>
    <n v="0"/>
    <n v="1"/>
    <n v="2"/>
    <n v="0"/>
    <n v="0"/>
    <s v="BB"/>
    <s v="FIN"/>
    <s v="Direct"/>
    <x v="2"/>
    <n v="0"/>
    <n v="0"/>
    <n v="0"/>
    <s v="E"/>
    <s v="E"/>
    <n v="0"/>
    <s v="No Deposit"/>
    <m/>
    <m/>
    <n v="0"/>
    <x v="0"/>
    <x v="2"/>
    <n v="0"/>
    <n v="0"/>
    <x v="1"/>
    <d v="2017-02-23T00:00:00"/>
  </r>
  <r>
    <x v="0"/>
    <x v="1"/>
    <n v="8"/>
    <n v="2017"/>
    <x v="11"/>
    <n v="15"/>
    <n v="13"/>
    <n v="1"/>
    <n v="3"/>
    <n v="2"/>
    <n v="0"/>
    <n v="0"/>
    <s v="SC"/>
    <s v="ESP"/>
    <s v="Online TA"/>
    <x v="0"/>
    <n v="0"/>
    <n v="0"/>
    <n v="0"/>
    <s v="A"/>
    <s v="A"/>
    <n v="0"/>
    <s v="No Deposit"/>
    <n v="9"/>
    <m/>
    <n v="0"/>
    <x v="0"/>
    <x v="373"/>
    <n v="0"/>
    <n v="1"/>
    <x v="1"/>
    <d v="2017-04-17T00:00:00"/>
  </r>
  <r>
    <x v="0"/>
    <x v="0"/>
    <n v="184"/>
    <n v="2017"/>
    <x v="7"/>
    <n v="22"/>
    <n v="28"/>
    <n v="2"/>
    <n v="3"/>
    <n v="2"/>
    <n v="0"/>
    <n v="0"/>
    <s v="BB"/>
    <s v="PRT"/>
    <s v="Groups"/>
    <x v="0"/>
    <n v="0"/>
    <n v="0"/>
    <n v="0"/>
    <s v="A"/>
    <s v="A"/>
    <n v="0"/>
    <s v="Non Refund"/>
    <n v="19"/>
    <m/>
    <n v="0"/>
    <x v="0"/>
    <x v="58"/>
    <n v="0"/>
    <n v="0"/>
    <x v="0"/>
    <d v="2016-11-25T00:00:00"/>
  </r>
  <r>
    <x v="0"/>
    <x v="1"/>
    <n v="36"/>
    <n v="2017"/>
    <x v="6"/>
    <n v="11"/>
    <n v="14"/>
    <n v="0"/>
    <n v="4"/>
    <n v="2"/>
    <n v="0"/>
    <n v="0"/>
    <s v="BB"/>
    <s v="FRA"/>
    <s v="Online TA"/>
    <x v="0"/>
    <n v="0"/>
    <n v="0"/>
    <n v="0"/>
    <s v="D"/>
    <s v="D"/>
    <n v="0"/>
    <s v="No Deposit"/>
    <n v="9"/>
    <m/>
    <n v="0"/>
    <x v="0"/>
    <x v="175"/>
    <n v="0"/>
    <n v="0"/>
    <x v="1"/>
    <d v="2017-03-18T00:00:00"/>
  </r>
  <r>
    <x v="0"/>
    <x v="0"/>
    <n v="135"/>
    <n v="2017"/>
    <x v="10"/>
    <n v="26"/>
    <n v="30"/>
    <n v="0"/>
    <n v="1"/>
    <n v="2"/>
    <n v="0"/>
    <n v="0"/>
    <s v="BB"/>
    <s v="PRT"/>
    <s v="Groups"/>
    <x v="0"/>
    <n v="0"/>
    <n v="0"/>
    <n v="0"/>
    <s v="A"/>
    <s v="A"/>
    <n v="0"/>
    <s v="Non Refund"/>
    <n v="30"/>
    <m/>
    <n v="0"/>
    <x v="0"/>
    <x v="58"/>
    <n v="0"/>
    <n v="0"/>
    <x v="0"/>
    <d v="2017-02-15T00:00:00"/>
  </r>
  <r>
    <x v="0"/>
    <x v="1"/>
    <n v="25"/>
    <n v="2017"/>
    <x v="8"/>
    <n v="1"/>
    <n v="6"/>
    <n v="0"/>
    <n v="2"/>
    <n v="2"/>
    <n v="0"/>
    <n v="0"/>
    <s v="BB"/>
    <s v="GBR"/>
    <s v="Direct"/>
    <x v="2"/>
    <n v="0"/>
    <n v="0"/>
    <n v="0"/>
    <s v="G"/>
    <s v="G"/>
    <n v="0"/>
    <s v="No Deposit"/>
    <n v="14"/>
    <m/>
    <n v="0"/>
    <x v="0"/>
    <x v="374"/>
    <n v="0"/>
    <n v="0"/>
    <x v="1"/>
    <d v="2017-01-08T00:00:00"/>
  </r>
  <r>
    <x v="0"/>
    <x v="1"/>
    <n v="248"/>
    <n v="2017"/>
    <x v="11"/>
    <n v="15"/>
    <n v="9"/>
    <n v="2"/>
    <n v="0"/>
    <n v="2"/>
    <n v="0"/>
    <n v="0"/>
    <s v="BB"/>
    <s v="DEU"/>
    <s v="Groups"/>
    <x v="0"/>
    <n v="0"/>
    <n v="0"/>
    <n v="0"/>
    <s v="A"/>
    <s v="A"/>
    <n v="0"/>
    <s v="No Deposit"/>
    <n v="58"/>
    <m/>
    <n v="0"/>
    <x v="1"/>
    <x v="2"/>
    <n v="0"/>
    <n v="1"/>
    <x v="1"/>
    <d v="2017-04-11T00:00:00"/>
  </r>
  <r>
    <x v="0"/>
    <x v="1"/>
    <n v="0"/>
    <n v="2017"/>
    <x v="6"/>
    <n v="12"/>
    <n v="24"/>
    <n v="0"/>
    <n v="0"/>
    <n v="0"/>
    <n v="0"/>
    <n v="0"/>
    <s v="BB"/>
    <s v="PRT"/>
    <s v="Online TA"/>
    <x v="0"/>
    <n v="1"/>
    <n v="0"/>
    <n v="0"/>
    <s v="A"/>
    <s v="G"/>
    <n v="0"/>
    <s v="No Deposit"/>
    <n v="86"/>
    <m/>
    <n v="0"/>
    <x v="0"/>
    <x v="7"/>
    <n v="0"/>
    <n v="0"/>
    <x v="1"/>
    <d v="2017-03-24T00:00:00"/>
  </r>
  <r>
    <x v="0"/>
    <x v="1"/>
    <n v="61"/>
    <n v="2017"/>
    <x v="8"/>
    <n v="2"/>
    <n v="8"/>
    <n v="2"/>
    <n v="3"/>
    <n v="2"/>
    <n v="0"/>
    <n v="0"/>
    <s v="BB"/>
    <s v="DEU"/>
    <s v="Offline TA/TO"/>
    <x v="0"/>
    <n v="0"/>
    <n v="0"/>
    <n v="0"/>
    <s v="A"/>
    <s v="A"/>
    <n v="0"/>
    <s v="No Deposit"/>
    <n v="27"/>
    <m/>
    <n v="0"/>
    <x v="0"/>
    <x v="162"/>
    <n v="0"/>
    <n v="0"/>
    <x v="1"/>
    <d v="2017-01-13T00:00:00"/>
  </r>
  <r>
    <x v="0"/>
    <x v="0"/>
    <n v="96"/>
    <n v="2017"/>
    <x v="11"/>
    <n v="17"/>
    <n v="26"/>
    <n v="0"/>
    <n v="2"/>
    <n v="2"/>
    <n v="0"/>
    <n v="0"/>
    <s v="BB"/>
    <s v="PRT"/>
    <s v="Groups"/>
    <x v="0"/>
    <n v="0"/>
    <n v="0"/>
    <n v="0"/>
    <s v="A"/>
    <s v="A"/>
    <n v="0"/>
    <s v="Non Refund"/>
    <n v="29"/>
    <m/>
    <n v="0"/>
    <x v="0"/>
    <x v="58"/>
    <n v="0"/>
    <n v="0"/>
    <x v="0"/>
    <d v="2017-01-20T00:00:00"/>
  </r>
  <r>
    <x v="0"/>
    <x v="1"/>
    <n v="19"/>
    <n v="2017"/>
    <x v="7"/>
    <n v="19"/>
    <n v="12"/>
    <n v="2"/>
    <n v="5"/>
    <n v="2"/>
    <n v="0"/>
    <n v="0"/>
    <s v="BB"/>
    <s v="DEU"/>
    <s v="Online TA"/>
    <x v="0"/>
    <n v="0"/>
    <n v="0"/>
    <n v="0"/>
    <s v="D"/>
    <s v="D"/>
    <n v="0"/>
    <s v="No Deposit"/>
    <n v="9"/>
    <m/>
    <n v="0"/>
    <x v="0"/>
    <x v="375"/>
    <n v="0"/>
    <n v="1"/>
    <x v="1"/>
    <d v="2017-05-19T00:00:00"/>
  </r>
  <r>
    <x v="0"/>
    <x v="1"/>
    <n v="1"/>
    <n v="2017"/>
    <x v="9"/>
    <n v="9"/>
    <n v="26"/>
    <n v="2"/>
    <n v="0"/>
    <n v="2"/>
    <n v="1"/>
    <n v="0"/>
    <s v="BB"/>
    <s v="ESP"/>
    <s v="Direct"/>
    <x v="2"/>
    <n v="0"/>
    <n v="0"/>
    <n v="0"/>
    <s v="A"/>
    <s v="A"/>
    <n v="1"/>
    <s v="No Deposit"/>
    <n v="14"/>
    <m/>
    <n v="0"/>
    <x v="0"/>
    <x v="50"/>
    <n v="0"/>
    <n v="1"/>
    <x v="1"/>
    <d v="2017-02-28T00:00:00"/>
  </r>
  <r>
    <x v="0"/>
    <x v="0"/>
    <n v="59"/>
    <n v="2017"/>
    <x v="8"/>
    <n v="4"/>
    <n v="23"/>
    <n v="1"/>
    <n v="1"/>
    <n v="2"/>
    <n v="0"/>
    <n v="0"/>
    <s v="BB"/>
    <s v="PRT"/>
    <s v="Groups"/>
    <x v="0"/>
    <n v="0"/>
    <n v="0"/>
    <n v="0"/>
    <s v="A"/>
    <s v="A"/>
    <n v="0"/>
    <s v="Non Refund"/>
    <n v="326"/>
    <m/>
    <n v="0"/>
    <x v="0"/>
    <x v="2"/>
    <n v="0"/>
    <n v="0"/>
    <x v="0"/>
    <d v="2016-11-25T00:00:00"/>
  </r>
  <r>
    <x v="1"/>
    <x v="1"/>
    <n v="50"/>
    <n v="2017"/>
    <x v="9"/>
    <n v="8"/>
    <n v="25"/>
    <n v="2"/>
    <n v="1"/>
    <n v="2"/>
    <n v="0"/>
    <n v="1"/>
    <s v="BB"/>
    <s v="PRT"/>
    <s v="Direct"/>
    <x v="2"/>
    <n v="0"/>
    <n v="0"/>
    <n v="0"/>
    <s v="A"/>
    <s v="A"/>
    <n v="2"/>
    <s v="No Deposit"/>
    <n v="250"/>
    <m/>
    <n v="0"/>
    <x v="0"/>
    <x v="376"/>
    <n v="0"/>
    <n v="1"/>
    <x v="1"/>
    <d v="2017-02-28T00:00:00"/>
  </r>
  <r>
    <x v="0"/>
    <x v="1"/>
    <n v="25"/>
    <n v="2017"/>
    <x v="4"/>
    <n v="33"/>
    <n v="14"/>
    <n v="1"/>
    <n v="2"/>
    <n v="2"/>
    <n v="0"/>
    <n v="0"/>
    <s v="SC"/>
    <s v="FRA"/>
    <s v="Online TA"/>
    <x v="0"/>
    <n v="0"/>
    <n v="0"/>
    <n v="0"/>
    <s v="A"/>
    <s v="A"/>
    <n v="0"/>
    <s v="No Deposit"/>
    <n v="9"/>
    <m/>
    <n v="0"/>
    <x v="0"/>
    <x v="55"/>
    <n v="0"/>
    <n v="1"/>
    <x v="1"/>
    <d v="2017-08-17T00:00:00"/>
  </r>
  <r>
    <x v="0"/>
    <x v="0"/>
    <n v="153"/>
    <n v="2017"/>
    <x v="0"/>
    <n v="28"/>
    <n v="9"/>
    <n v="1"/>
    <n v="0"/>
    <n v="2"/>
    <n v="0"/>
    <n v="0"/>
    <s v="SC"/>
    <s v="USA"/>
    <s v="Online TA"/>
    <x v="0"/>
    <n v="0"/>
    <n v="0"/>
    <n v="0"/>
    <s v="A"/>
    <s v="A"/>
    <n v="0"/>
    <s v="No Deposit"/>
    <n v="9"/>
    <m/>
    <n v="0"/>
    <x v="0"/>
    <x v="277"/>
    <n v="0"/>
    <n v="0"/>
    <x v="0"/>
    <d v="2017-05-17T00:00:00"/>
  </r>
  <r>
    <x v="0"/>
    <x v="1"/>
    <n v="104"/>
    <n v="2017"/>
    <x v="6"/>
    <n v="12"/>
    <n v="19"/>
    <n v="2"/>
    <n v="5"/>
    <n v="1"/>
    <n v="0"/>
    <n v="0"/>
    <s v="BB"/>
    <s v="FRA"/>
    <s v="Offline TA/TO"/>
    <x v="0"/>
    <n v="0"/>
    <n v="0"/>
    <n v="0"/>
    <s v="A"/>
    <s v="A"/>
    <n v="1"/>
    <s v="No Deposit"/>
    <n v="20"/>
    <m/>
    <n v="0"/>
    <x v="1"/>
    <x v="9"/>
    <n v="0"/>
    <n v="0"/>
    <x v="1"/>
    <d v="2017-03-26T00:00:00"/>
  </r>
  <r>
    <x v="0"/>
    <x v="1"/>
    <n v="69"/>
    <n v="2017"/>
    <x v="11"/>
    <n v="14"/>
    <n v="7"/>
    <n v="0"/>
    <n v="2"/>
    <n v="3"/>
    <n v="0"/>
    <n v="0"/>
    <s v="BB"/>
    <s v="CHE"/>
    <s v="Online TA"/>
    <x v="0"/>
    <n v="0"/>
    <n v="0"/>
    <n v="0"/>
    <s v="D"/>
    <s v="D"/>
    <n v="0"/>
    <s v="No Deposit"/>
    <n v="9"/>
    <m/>
    <n v="0"/>
    <x v="0"/>
    <x v="303"/>
    <n v="0"/>
    <n v="1"/>
    <x v="1"/>
    <d v="2017-04-09T00:00:00"/>
  </r>
  <r>
    <x v="0"/>
    <x v="1"/>
    <n v="3"/>
    <n v="2017"/>
    <x v="8"/>
    <n v="4"/>
    <n v="24"/>
    <n v="0"/>
    <n v="1"/>
    <n v="1"/>
    <n v="0"/>
    <n v="0"/>
    <s v="SC"/>
    <s v="PRT"/>
    <s v="Online TA"/>
    <x v="0"/>
    <n v="0"/>
    <n v="0"/>
    <n v="0"/>
    <s v="A"/>
    <s v="A"/>
    <n v="0"/>
    <s v="No Deposit"/>
    <n v="9"/>
    <m/>
    <n v="0"/>
    <x v="0"/>
    <x v="155"/>
    <n v="0"/>
    <n v="0"/>
    <x v="1"/>
    <d v="2017-01-25T00:00:00"/>
  </r>
  <r>
    <x v="1"/>
    <x v="0"/>
    <n v="2"/>
    <n v="2017"/>
    <x v="9"/>
    <n v="9"/>
    <n v="27"/>
    <n v="1"/>
    <n v="0"/>
    <n v="2"/>
    <n v="0"/>
    <n v="0"/>
    <s v="HB"/>
    <s v="ESP"/>
    <s v="Online TA"/>
    <x v="0"/>
    <n v="0"/>
    <n v="0"/>
    <n v="0"/>
    <s v="A"/>
    <s v="A"/>
    <n v="0"/>
    <s v="No Deposit"/>
    <n v="240"/>
    <m/>
    <n v="0"/>
    <x v="0"/>
    <x v="32"/>
    <n v="0"/>
    <n v="1"/>
    <x v="0"/>
    <d v="2017-02-26T00:00:00"/>
  </r>
  <r>
    <x v="0"/>
    <x v="1"/>
    <n v="178"/>
    <n v="2017"/>
    <x v="0"/>
    <n v="28"/>
    <n v="13"/>
    <n v="2"/>
    <n v="5"/>
    <n v="2"/>
    <n v="2"/>
    <n v="0"/>
    <s v="HB"/>
    <s v="DNK"/>
    <s v="Direct"/>
    <x v="2"/>
    <n v="0"/>
    <n v="0"/>
    <n v="0"/>
    <s v="E"/>
    <s v="E"/>
    <n v="1"/>
    <s v="No Deposit"/>
    <n v="14"/>
    <m/>
    <n v="0"/>
    <x v="0"/>
    <x v="377"/>
    <n v="0"/>
    <n v="3"/>
    <x v="1"/>
    <d v="2017-07-20T00:00:00"/>
  </r>
  <r>
    <x v="0"/>
    <x v="0"/>
    <n v="82"/>
    <n v="2017"/>
    <x v="6"/>
    <n v="10"/>
    <n v="5"/>
    <n v="2"/>
    <n v="4"/>
    <n v="2"/>
    <n v="0"/>
    <n v="0"/>
    <s v="BB"/>
    <s v="USA"/>
    <s v="Online TA"/>
    <x v="0"/>
    <n v="0"/>
    <n v="0"/>
    <n v="0"/>
    <s v="A"/>
    <s v="A"/>
    <n v="0"/>
    <s v="No Deposit"/>
    <n v="9"/>
    <m/>
    <n v="0"/>
    <x v="0"/>
    <x v="378"/>
    <n v="0"/>
    <n v="0"/>
    <x v="0"/>
    <d v="2017-02-24T00:00:00"/>
  </r>
  <r>
    <x v="0"/>
    <x v="0"/>
    <n v="197"/>
    <n v="2017"/>
    <x v="6"/>
    <n v="11"/>
    <n v="16"/>
    <n v="0"/>
    <n v="3"/>
    <n v="2"/>
    <n v="0"/>
    <n v="0"/>
    <s v="SC"/>
    <s v="GBR"/>
    <s v="Online TA"/>
    <x v="0"/>
    <n v="0"/>
    <n v="0"/>
    <n v="0"/>
    <s v="A"/>
    <s v="A"/>
    <n v="0"/>
    <s v="No Deposit"/>
    <n v="9"/>
    <m/>
    <n v="0"/>
    <x v="0"/>
    <x v="210"/>
    <n v="0"/>
    <n v="2"/>
    <x v="0"/>
    <d v="2016-09-25T00:00:00"/>
  </r>
  <r>
    <x v="1"/>
    <x v="0"/>
    <n v="86"/>
    <n v="2017"/>
    <x v="6"/>
    <n v="10"/>
    <n v="9"/>
    <n v="0"/>
    <n v="3"/>
    <n v="2"/>
    <n v="0"/>
    <n v="0"/>
    <s v="Undefined"/>
    <s v="PRT"/>
    <s v="Groups"/>
    <x v="0"/>
    <n v="0"/>
    <n v="0"/>
    <n v="0"/>
    <s v="A"/>
    <s v="A"/>
    <n v="0"/>
    <s v="Non Refund"/>
    <n v="67"/>
    <m/>
    <n v="0"/>
    <x v="0"/>
    <x v="125"/>
    <n v="0"/>
    <n v="0"/>
    <x v="0"/>
    <d v="2016-12-13T00:00:00"/>
  </r>
  <r>
    <x v="0"/>
    <x v="0"/>
    <n v="280"/>
    <n v="2017"/>
    <x v="4"/>
    <n v="33"/>
    <n v="16"/>
    <n v="2"/>
    <n v="4"/>
    <n v="2"/>
    <n v="0"/>
    <n v="0"/>
    <s v="BB"/>
    <s v="ITA"/>
    <s v="Online TA"/>
    <x v="0"/>
    <n v="0"/>
    <n v="0"/>
    <n v="0"/>
    <s v="A"/>
    <s v="A"/>
    <n v="0"/>
    <s v="No Deposit"/>
    <n v="9"/>
    <m/>
    <n v="0"/>
    <x v="0"/>
    <x v="379"/>
    <n v="0"/>
    <n v="0"/>
    <x v="0"/>
    <d v="2016-11-09T00:00:00"/>
  </r>
  <r>
    <x v="0"/>
    <x v="0"/>
    <n v="78"/>
    <n v="2017"/>
    <x v="11"/>
    <n v="17"/>
    <n v="29"/>
    <n v="2"/>
    <n v="1"/>
    <n v="2"/>
    <n v="0"/>
    <n v="0"/>
    <s v="BB"/>
    <s v="PRT"/>
    <s v="Groups"/>
    <x v="0"/>
    <n v="0"/>
    <n v="0"/>
    <n v="0"/>
    <s v="A"/>
    <s v="A"/>
    <n v="0"/>
    <s v="Non Refund"/>
    <n v="6"/>
    <m/>
    <n v="0"/>
    <x v="0"/>
    <x v="13"/>
    <n v="0"/>
    <n v="0"/>
    <x v="0"/>
    <d v="2017-02-10T00:00:00"/>
  </r>
  <r>
    <x v="1"/>
    <x v="1"/>
    <n v="19"/>
    <n v="2017"/>
    <x v="4"/>
    <n v="35"/>
    <n v="31"/>
    <n v="0"/>
    <n v="3"/>
    <n v="2"/>
    <n v="0"/>
    <n v="0"/>
    <s v="HB"/>
    <s v="ESP"/>
    <s v="Online TA"/>
    <x v="0"/>
    <n v="0"/>
    <n v="0"/>
    <n v="0"/>
    <s v="A"/>
    <s v="A"/>
    <n v="0"/>
    <s v="No Deposit"/>
    <n v="15"/>
    <m/>
    <n v="0"/>
    <x v="0"/>
    <x v="340"/>
    <n v="0"/>
    <n v="0"/>
    <x v="1"/>
    <d v="2017-09-03T00:00:00"/>
  </r>
  <r>
    <x v="1"/>
    <x v="0"/>
    <n v="238"/>
    <n v="2017"/>
    <x v="9"/>
    <n v="6"/>
    <n v="10"/>
    <n v="0"/>
    <n v="2"/>
    <n v="2"/>
    <n v="0"/>
    <n v="0"/>
    <s v="HB"/>
    <s v="PRT"/>
    <s v="Groups"/>
    <x v="0"/>
    <n v="0"/>
    <n v="0"/>
    <n v="0"/>
    <s v="A"/>
    <s v="A"/>
    <n v="0"/>
    <s v="Non Refund"/>
    <n v="155"/>
    <m/>
    <n v="0"/>
    <x v="0"/>
    <x v="167"/>
    <n v="0"/>
    <n v="0"/>
    <x v="0"/>
    <d v="2016-12-15T00:00:00"/>
  </r>
  <r>
    <x v="0"/>
    <x v="0"/>
    <n v="39"/>
    <n v="2017"/>
    <x v="0"/>
    <n v="28"/>
    <n v="15"/>
    <n v="0"/>
    <n v="1"/>
    <n v="1"/>
    <n v="0"/>
    <n v="0"/>
    <s v="SC"/>
    <s v="GBR"/>
    <s v="Online TA"/>
    <x v="0"/>
    <n v="0"/>
    <n v="0"/>
    <n v="0"/>
    <s v="A"/>
    <s v="A"/>
    <n v="0"/>
    <s v="No Deposit"/>
    <n v="9"/>
    <m/>
    <n v="0"/>
    <x v="0"/>
    <x v="5"/>
    <n v="0"/>
    <n v="0"/>
    <x v="0"/>
    <d v="2017-07-11T00:00:00"/>
  </r>
  <r>
    <x v="0"/>
    <x v="1"/>
    <n v="49"/>
    <n v="2017"/>
    <x v="11"/>
    <n v="16"/>
    <n v="16"/>
    <n v="2"/>
    <n v="0"/>
    <n v="2"/>
    <n v="0"/>
    <n v="0"/>
    <s v="SC"/>
    <s v="PRY"/>
    <s v="Online TA"/>
    <x v="0"/>
    <n v="0"/>
    <n v="0"/>
    <n v="0"/>
    <s v="A"/>
    <s v="A"/>
    <n v="0"/>
    <s v="No Deposit"/>
    <n v="9"/>
    <m/>
    <n v="0"/>
    <x v="0"/>
    <x v="63"/>
    <n v="0"/>
    <n v="0"/>
    <x v="1"/>
    <d v="2017-04-18T00:00:00"/>
  </r>
  <r>
    <x v="1"/>
    <x v="1"/>
    <n v="0"/>
    <n v="2017"/>
    <x v="11"/>
    <n v="14"/>
    <n v="8"/>
    <n v="0"/>
    <n v="1"/>
    <n v="2"/>
    <n v="0"/>
    <n v="0"/>
    <s v="BB"/>
    <s v="PRT"/>
    <s v="Direct"/>
    <x v="2"/>
    <n v="0"/>
    <n v="0"/>
    <n v="0"/>
    <s v="A"/>
    <s v="E"/>
    <n v="0"/>
    <s v="No Deposit"/>
    <m/>
    <m/>
    <n v="0"/>
    <x v="0"/>
    <x v="199"/>
    <n v="0"/>
    <n v="0"/>
    <x v="1"/>
    <d v="2017-04-09T00:00:00"/>
  </r>
  <r>
    <x v="1"/>
    <x v="1"/>
    <n v="27"/>
    <n v="2017"/>
    <x v="6"/>
    <n v="11"/>
    <n v="16"/>
    <n v="0"/>
    <n v="1"/>
    <n v="2"/>
    <n v="0"/>
    <n v="0"/>
    <s v="BB"/>
    <s v="FRA"/>
    <s v="Online TA"/>
    <x v="0"/>
    <n v="0"/>
    <n v="0"/>
    <n v="0"/>
    <s v="D"/>
    <s v="D"/>
    <n v="0"/>
    <s v="No Deposit"/>
    <m/>
    <m/>
    <n v="0"/>
    <x v="0"/>
    <x v="48"/>
    <n v="0"/>
    <n v="1"/>
    <x v="1"/>
    <d v="2017-03-17T00:00:00"/>
  </r>
  <r>
    <x v="0"/>
    <x v="0"/>
    <n v="38"/>
    <n v="2017"/>
    <x v="8"/>
    <n v="2"/>
    <n v="14"/>
    <n v="0"/>
    <n v="1"/>
    <n v="1"/>
    <n v="0"/>
    <n v="0"/>
    <s v="BB"/>
    <s v="PRT"/>
    <s v="Corporate"/>
    <x v="1"/>
    <n v="0"/>
    <n v="0"/>
    <n v="0"/>
    <s v="A"/>
    <s v="A"/>
    <n v="0"/>
    <s v="Non Refund"/>
    <m/>
    <n v="67"/>
    <n v="0"/>
    <x v="0"/>
    <x v="45"/>
    <n v="0"/>
    <n v="0"/>
    <x v="0"/>
    <d v="2016-12-07T00:00:00"/>
  </r>
  <r>
    <x v="0"/>
    <x v="0"/>
    <n v="61"/>
    <n v="2017"/>
    <x v="7"/>
    <n v="20"/>
    <n v="17"/>
    <n v="0"/>
    <n v="4"/>
    <n v="2"/>
    <n v="0"/>
    <n v="0"/>
    <s v="BB"/>
    <s v="DEU"/>
    <s v="Online TA"/>
    <x v="0"/>
    <n v="0"/>
    <n v="0"/>
    <n v="0"/>
    <s v="A"/>
    <s v="A"/>
    <n v="0"/>
    <s v="No Deposit"/>
    <n v="9"/>
    <m/>
    <n v="0"/>
    <x v="0"/>
    <x v="303"/>
    <n v="0"/>
    <n v="1"/>
    <x v="0"/>
    <d v="2017-03-26T00:00:00"/>
  </r>
  <r>
    <x v="1"/>
    <x v="1"/>
    <n v="154"/>
    <n v="2017"/>
    <x v="4"/>
    <n v="34"/>
    <n v="21"/>
    <n v="2"/>
    <n v="5"/>
    <n v="2"/>
    <n v="0"/>
    <n v="0"/>
    <s v="HB"/>
    <s v="GBR"/>
    <s v="Offline TA/TO"/>
    <x v="0"/>
    <n v="0"/>
    <n v="0"/>
    <n v="0"/>
    <s v="A"/>
    <s v="A"/>
    <n v="1"/>
    <s v="No Deposit"/>
    <n v="40"/>
    <m/>
    <n v="0"/>
    <x v="2"/>
    <x v="380"/>
    <n v="0"/>
    <n v="1"/>
    <x v="1"/>
    <d v="2017-08-28T00:00:00"/>
  </r>
  <r>
    <x v="0"/>
    <x v="1"/>
    <n v="183"/>
    <n v="2017"/>
    <x v="8"/>
    <n v="1"/>
    <n v="1"/>
    <n v="2"/>
    <n v="4"/>
    <n v="2"/>
    <n v="2"/>
    <n v="0"/>
    <s v="BB"/>
    <s v="RUS"/>
    <s v="Online TA"/>
    <x v="0"/>
    <n v="0"/>
    <n v="0"/>
    <n v="0"/>
    <s v="F"/>
    <s v="F"/>
    <n v="0"/>
    <s v="No Deposit"/>
    <n v="9"/>
    <m/>
    <n v="0"/>
    <x v="0"/>
    <x v="381"/>
    <n v="1"/>
    <n v="1"/>
    <x v="1"/>
    <d v="2017-01-07T00:00:00"/>
  </r>
  <r>
    <x v="0"/>
    <x v="1"/>
    <n v="105"/>
    <n v="2017"/>
    <x v="4"/>
    <n v="33"/>
    <n v="13"/>
    <n v="2"/>
    <n v="3"/>
    <n v="2"/>
    <n v="0"/>
    <n v="0"/>
    <s v="SC"/>
    <s v="AUT"/>
    <s v="Online TA"/>
    <x v="0"/>
    <n v="0"/>
    <n v="0"/>
    <n v="0"/>
    <s v="A"/>
    <s v="A"/>
    <n v="0"/>
    <s v="No Deposit"/>
    <n v="7"/>
    <m/>
    <n v="0"/>
    <x v="0"/>
    <x v="119"/>
    <n v="0"/>
    <n v="1"/>
    <x v="1"/>
    <d v="2017-08-18T00:00:00"/>
  </r>
  <r>
    <x v="0"/>
    <x v="0"/>
    <n v="194"/>
    <n v="2017"/>
    <x v="11"/>
    <n v="16"/>
    <n v="21"/>
    <n v="2"/>
    <n v="3"/>
    <n v="2"/>
    <n v="0"/>
    <n v="0"/>
    <s v="BB"/>
    <s v="FRA"/>
    <s v="Online TA"/>
    <x v="0"/>
    <n v="0"/>
    <n v="0"/>
    <n v="0"/>
    <s v="A"/>
    <s v="A"/>
    <n v="0"/>
    <s v="No Deposit"/>
    <n v="9"/>
    <m/>
    <n v="0"/>
    <x v="0"/>
    <x v="352"/>
    <n v="0"/>
    <n v="2"/>
    <x v="0"/>
    <d v="2017-04-21T00:00:00"/>
  </r>
  <r>
    <x v="1"/>
    <x v="1"/>
    <n v="82"/>
    <n v="2017"/>
    <x v="0"/>
    <n v="30"/>
    <n v="23"/>
    <n v="3"/>
    <n v="5"/>
    <n v="2"/>
    <n v="0"/>
    <n v="0"/>
    <s v="HB"/>
    <s v="GBR"/>
    <s v="Direct"/>
    <x v="2"/>
    <n v="0"/>
    <n v="0"/>
    <n v="0"/>
    <s v="F"/>
    <s v="F"/>
    <n v="1"/>
    <s v="No Deposit"/>
    <n v="250"/>
    <m/>
    <n v="0"/>
    <x v="0"/>
    <x v="382"/>
    <n v="0"/>
    <n v="2"/>
    <x v="1"/>
    <d v="2017-07-31T00:00:00"/>
  </r>
  <r>
    <x v="0"/>
    <x v="1"/>
    <n v="22"/>
    <n v="2017"/>
    <x v="11"/>
    <n v="16"/>
    <n v="21"/>
    <n v="2"/>
    <n v="2"/>
    <n v="2"/>
    <n v="0"/>
    <n v="0"/>
    <s v="SC"/>
    <s v="ITA"/>
    <s v="Online TA"/>
    <x v="0"/>
    <n v="0"/>
    <n v="0"/>
    <n v="0"/>
    <s v="A"/>
    <s v="A"/>
    <n v="0"/>
    <s v="No Deposit"/>
    <n v="9"/>
    <m/>
    <n v="0"/>
    <x v="0"/>
    <x v="42"/>
    <n v="0"/>
    <n v="1"/>
    <x v="1"/>
    <d v="2017-04-25T00:00:00"/>
  </r>
  <r>
    <x v="0"/>
    <x v="1"/>
    <n v="0"/>
    <n v="2017"/>
    <x v="7"/>
    <n v="20"/>
    <n v="19"/>
    <n v="0"/>
    <n v="1"/>
    <n v="3"/>
    <n v="0"/>
    <n v="1"/>
    <s v="BB"/>
    <s v="AGO"/>
    <s v="Direct"/>
    <x v="2"/>
    <n v="0"/>
    <n v="0"/>
    <n v="0"/>
    <s v="F"/>
    <s v="F"/>
    <n v="1"/>
    <s v="No Deposit"/>
    <m/>
    <m/>
    <n v="0"/>
    <x v="0"/>
    <x v="383"/>
    <n v="0"/>
    <n v="0"/>
    <x v="1"/>
    <d v="2017-05-20T00:00:00"/>
  </r>
  <r>
    <x v="1"/>
    <x v="0"/>
    <n v="237"/>
    <n v="2017"/>
    <x v="7"/>
    <n v="18"/>
    <n v="3"/>
    <n v="0"/>
    <n v="1"/>
    <n v="2"/>
    <n v="0"/>
    <n v="0"/>
    <s v="HB"/>
    <s v="RUS"/>
    <s v="Online TA"/>
    <x v="0"/>
    <n v="0"/>
    <n v="0"/>
    <n v="0"/>
    <s v="E"/>
    <s v="E"/>
    <n v="2"/>
    <s v="No Deposit"/>
    <n v="240"/>
    <m/>
    <n v="0"/>
    <x v="1"/>
    <x v="355"/>
    <n v="0"/>
    <n v="0"/>
    <x v="0"/>
    <d v="2016-12-29T00:00:00"/>
  </r>
  <r>
    <x v="0"/>
    <x v="0"/>
    <n v="52"/>
    <n v="2017"/>
    <x v="8"/>
    <n v="1"/>
    <n v="6"/>
    <n v="2"/>
    <n v="2"/>
    <n v="2"/>
    <n v="0"/>
    <n v="0"/>
    <s v="BB"/>
    <s v="ITA"/>
    <s v="Online TA"/>
    <x v="0"/>
    <n v="1"/>
    <n v="1"/>
    <n v="1"/>
    <s v="A"/>
    <s v="A"/>
    <n v="0"/>
    <s v="No Deposit"/>
    <n v="9"/>
    <m/>
    <n v="0"/>
    <x v="0"/>
    <x v="225"/>
    <n v="0"/>
    <n v="2"/>
    <x v="0"/>
    <d v="2016-12-22T00:00:00"/>
  </r>
  <r>
    <x v="0"/>
    <x v="0"/>
    <n v="47"/>
    <n v="2017"/>
    <x v="0"/>
    <n v="27"/>
    <n v="3"/>
    <n v="1"/>
    <n v="3"/>
    <n v="3"/>
    <n v="0"/>
    <n v="0"/>
    <s v="BB"/>
    <s v="IRL"/>
    <s v="Online TA"/>
    <x v="0"/>
    <n v="0"/>
    <n v="0"/>
    <n v="0"/>
    <s v="E"/>
    <s v="E"/>
    <n v="0"/>
    <s v="No Deposit"/>
    <n v="9"/>
    <m/>
    <n v="0"/>
    <x v="0"/>
    <x v="384"/>
    <n v="0"/>
    <n v="1"/>
    <x v="0"/>
    <d v="2017-05-17T00:00:00"/>
  </r>
  <r>
    <x v="1"/>
    <x v="1"/>
    <n v="2"/>
    <n v="2017"/>
    <x v="9"/>
    <n v="8"/>
    <n v="23"/>
    <n v="0"/>
    <n v="2"/>
    <n v="1"/>
    <n v="0"/>
    <n v="0"/>
    <s v="Undefined"/>
    <s v="ESP"/>
    <s v="Groups"/>
    <x v="0"/>
    <n v="0"/>
    <n v="0"/>
    <n v="0"/>
    <s v="A"/>
    <s v="A"/>
    <n v="1"/>
    <s v="No Deposit"/>
    <n v="68"/>
    <m/>
    <n v="0"/>
    <x v="1"/>
    <x v="7"/>
    <n v="0"/>
    <n v="0"/>
    <x v="1"/>
    <d v="2017-02-25T00:00:00"/>
  </r>
  <r>
    <x v="0"/>
    <x v="1"/>
    <n v="99"/>
    <n v="2017"/>
    <x v="10"/>
    <n v="23"/>
    <n v="9"/>
    <n v="0"/>
    <n v="1"/>
    <n v="1"/>
    <n v="0"/>
    <n v="0"/>
    <s v="HB"/>
    <s v="BRA"/>
    <s v="Online TA"/>
    <x v="0"/>
    <n v="0"/>
    <n v="0"/>
    <n v="0"/>
    <s v="D"/>
    <s v="D"/>
    <n v="0"/>
    <s v="No Deposit"/>
    <n v="7"/>
    <m/>
    <n v="0"/>
    <x v="0"/>
    <x v="385"/>
    <n v="0"/>
    <n v="0"/>
    <x v="1"/>
    <d v="2017-06-10T00:00:00"/>
  </r>
  <r>
    <x v="0"/>
    <x v="1"/>
    <n v="246"/>
    <n v="2017"/>
    <x v="0"/>
    <n v="28"/>
    <n v="10"/>
    <n v="1"/>
    <n v="0"/>
    <n v="2"/>
    <n v="0"/>
    <n v="0"/>
    <s v="BB"/>
    <s v="DEU"/>
    <s v="Online TA"/>
    <x v="0"/>
    <n v="0"/>
    <n v="0"/>
    <n v="0"/>
    <s v="A"/>
    <s v="A"/>
    <n v="0"/>
    <s v="No Deposit"/>
    <n v="9"/>
    <m/>
    <n v="0"/>
    <x v="0"/>
    <x v="321"/>
    <n v="0"/>
    <n v="1"/>
    <x v="1"/>
    <d v="2017-07-11T00:00:00"/>
  </r>
  <r>
    <x v="0"/>
    <x v="0"/>
    <n v="97"/>
    <n v="2017"/>
    <x v="0"/>
    <n v="28"/>
    <n v="11"/>
    <n v="0"/>
    <n v="3"/>
    <n v="2"/>
    <n v="0"/>
    <n v="0"/>
    <s v="BB"/>
    <s v="AUS"/>
    <s v="Online TA"/>
    <x v="0"/>
    <n v="0"/>
    <n v="0"/>
    <n v="0"/>
    <s v="D"/>
    <s v="D"/>
    <n v="0"/>
    <s v="No Deposit"/>
    <n v="9"/>
    <m/>
    <n v="0"/>
    <x v="0"/>
    <x v="144"/>
    <n v="0"/>
    <n v="2"/>
    <x v="0"/>
    <d v="2017-04-06T00:00:00"/>
  </r>
  <r>
    <x v="1"/>
    <x v="0"/>
    <n v="250"/>
    <n v="2017"/>
    <x v="10"/>
    <n v="26"/>
    <n v="26"/>
    <n v="1"/>
    <n v="4"/>
    <n v="2"/>
    <n v="1"/>
    <n v="0"/>
    <s v="BB"/>
    <s v="ESP"/>
    <s v="Direct"/>
    <x v="2"/>
    <n v="0"/>
    <n v="0"/>
    <n v="0"/>
    <s v="A"/>
    <s v="A"/>
    <n v="2"/>
    <s v="No Deposit"/>
    <n v="250"/>
    <m/>
    <n v="0"/>
    <x v="0"/>
    <x v="386"/>
    <n v="0"/>
    <n v="0"/>
    <x v="0"/>
    <d v="2017-05-29T00:00:00"/>
  </r>
  <r>
    <x v="0"/>
    <x v="1"/>
    <n v="127"/>
    <n v="2017"/>
    <x v="4"/>
    <n v="33"/>
    <n v="16"/>
    <n v="2"/>
    <n v="5"/>
    <n v="2"/>
    <n v="0"/>
    <n v="0"/>
    <s v="BB"/>
    <s v="CN"/>
    <s v="Offline TA/TO"/>
    <x v="0"/>
    <n v="0"/>
    <n v="0"/>
    <n v="0"/>
    <s v="A"/>
    <s v="A"/>
    <n v="0"/>
    <s v="No Deposit"/>
    <n v="262"/>
    <m/>
    <n v="0"/>
    <x v="0"/>
    <x v="366"/>
    <n v="0"/>
    <n v="1"/>
    <x v="1"/>
    <d v="2017-08-23T00:00:00"/>
  </r>
  <r>
    <x v="1"/>
    <x v="1"/>
    <n v="74"/>
    <n v="2017"/>
    <x v="6"/>
    <n v="13"/>
    <n v="30"/>
    <n v="2"/>
    <n v="5"/>
    <n v="2"/>
    <n v="2"/>
    <n v="0"/>
    <s v="BB"/>
    <s v="PRT"/>
    <s v="Online TA"/>
    <x v="0"/>
    <n v="0"/>
    <n v="0"/>
    <n v="0"/>
    <s v="G"/>
    <s v="G"/>
    <n v="0"/>
    <s v="No Deposit"/>
    <n v="240"/>
    <m/>
    <n v="0"/>
    <x v="0"/>
    <x v="387"/>
    <n v="0"/>
    <n v="1"/>
    <x v="1"/>
    <d v="2017-04-06T00:00:00"/>
  </r>
  <r>
    <x v="1"/>
    <x v="1"/>
    <n v="21"/>
    <n v="2017"/>
    <x v="7"/>
    <n v="22"/>
    <n v="28"/>
    <n v="2"/>
    <n v="1"/>
    <n v="2"/>
    <n v="0"/>
    <n v="0"/>
    <s v="BB"/>
    <s v="PRT"/>
    <s v="Online TA"/>
    <x v="0"/>
    <n v="0"/>
    <n v="0"/>
    <n v="0"/>
    <s v="D"/>
    <s v="D"/>
    <n v="0"/>
    <s v="No Deposit"/>
    <n v="240"/>
    <m/>
    <n v="0"/>
    <x v="0"/>
    <x v="388"/>
    <n v="0"/>
    <n v="3"/>
    <x v="1"/>
    <d v="2017-05-31T00:00:00"/>
  </r>
  <r>
    <x v="1"/>
    <x v="1"/>
    <n v="0"/>
    <n v="2017"/>
    <x v="8"/>
    <n v="2"/>
    <n v="9"/>
    <n v="1"/>
    <n v="0"/>
    <n v="2"/>
    <n v="0"/>
    <n v="0"/>
    <s v="BB"/>
    <s v="USA"/>
    <s v="Online TA"/>
    <x v="0"/>
    <n v="1"/>
    <n v="0"/>
    <n v="0"/>
    <s v="A"/>
    <s v="A"/>
    <n v="0"/>
    <s v="No Deposit"/>
    <n v="306"/>
    <m/>
    <n v="0"/>
    <x v="0"/>
    <x v="389"/>
    <n v="0"/>
    <n v="0"/>
    <x v="1"/>
    <d v="2017-01-10T00:00:00"/>
  </r>
  <r>
    <x v="1"/>
    <x v="0"/>
    <n v="57"/>
    <n v="2017"/>
    <x v="6"/>
    <n v="10"/>
    <n v="11"/>
    <n v="2"/>
    <n v="5"/>
    <n v="1"/>
    <n v="0"/>
    <n v="0"/>
    <s v="HB"/>
    <s v="PRT"/>
    <s v="Groups"/>
    <x v="0"/>
    <n v="0"/>
    <n v="0"/>
    <n v="0"/>
    <s v="D"/>
    <s v="D"/>
    <n v="0"/>
    <s v="No Deposit"/>
    <n v="298"/>
    <m/>
    <n v="0"/>
    <x v="1"/>
    <x v="390"/>
    <n v="0"/>
    <n v="0"/>
    <x v="0"/>
    <d v="2017-01-26T00:00:00"/>
  </r>
  <r>
    <x v="0"/>
    <x v="1"/>
    <n v="95"/>
    <n v="2017"/>
    <x v="6"/>
    <n v="12"/>
    <n v="25"/>
    <n v="2"/>
    <n v="3"/>
    <n v="2"/>
    <n v="0"/>
    <n v="0"/>
    <s v="BB"/>
    <s v="DEU"/>
    <s v="Offline TA/TO"/>
    <x v="0"/>
    <n v="0"/>
    <n v="0"/>
    <n v="0"/>
    <s v="A"/>
    <s v="A"/>
    <n v="0"/>
    <s v="No Deposit"/>
    <n v="27"/>
    <m/>
    <n v="0"/>
    <x v="0"/>
    <x v="162"/>
    <n v="0"/>
    <n v="0"/>
    <x v="1"/>
    <d v="2017-03-30T00:00:00"/>
  </r>
  <r>
    <x v="1"/>
    <x v="0"/>
    <n v="2"/>
    <n v="2017"/>
    <x v="9"/>
    <n v="8"/>
    <n v="22"/>
    <n v="0"/>
    <n v="4"/>
    <n v="1"/>
    <n v="0"/>
    <n v="0"/>
    <s v="BB"/>
    <s v="PRT"/>
    <s v="Groups"/>
    <x v="2"/>
    <n v="0"/>
    <n v="0"/>
    <n v="0"/>
    <s v="A"/>
    <s v="A"/>
    <n v="0"/>
    <s v="No Deposit"/>
    <m/>
    <m/>
    <n v="0"/>
    <x v="1"/>
    <x v="91"/>
    <n v="0"/>
    <n v="0"/>
    <x v="0"/>
    <d v="2017-02-20T00:00:00"/>
  </r>
  <r>
    <x v="0"/>
    <x v="1"/>
    <n v="23"/>
    <n v="2017"/>
    <x v="4"/>
    <n v="31"/>
    <n v="3"/>
    <n v="1"/>
    <n v="3"/>
    <n v="2"/>
    <n v="0"/>
    <n v="0"/>
    <s v="SC"/>
    <s v="RUS"/>
    <s v="Online TA"/>
    <x v="0"/>
    <n v="0"/>
    <n v="0"/>
    <n v="0"/>
    <s v="A"/>
    <s v="A"/>
    <n v="1"/>
    <s v="No Deposit"/>
    <n v="9"/>
    <m/>
    <n v="0"/>
    <x v="0"/>
    <x v="230"/>
    <n v="0"/>
    <n v="1"/>
    <x v="1"/>
    <d v="2017-08-07T00:00:00"/>
  </r>
  <r>
    <x v="1"/>
    <x v="1"/>
    <n v="23"/>
    <n v="2017"/>
    <x v="11"/>
    <n v="16"/>
    <n v="20"/>
    <n v="0"/>
    <n v="3"/>
    <n v="2"/>
    <n v="0"/>
    <n v="0"/>
    <s v="BB"/>
    <s v="GBR"/>
    <s v="Groups"/>
    <x v="2"/>
    <n v="0"/>
    <n v="0"/>
    <n v="0"/>
    <s v="A"/>
    <s v="D"/>
    <n v="0"/>
    <s v="No Deposit"/>
    <m/>
    <m/>
    <n v="0"/>
    <x v="1"/>
    <x v="188"/>
    <n v="0"/>
    <n v="0"/>
    <x v="1"/>
    <d v="2017-04-23T00:00:00"/>
  </r>
  <r>
    <x v="0"/>
    <x v="1"/>
    <n v="168"/>
    <n v="2017"/>
    <x v="7"/>
    <n v="20"/>
    <n v="14"/>
    <n v="2"/>
    <n v="1"/>
    <n v="2"/>
    <n v="0"/>
    <n v="0"/>
    <s v="SC"/>
    <s v="GBR"/>
    <s v="Online TA"/>
    <x v="0"/>
    <n v="0"/>
    <n v="0"/>
    <n v="0"/>
    <s v="A"/>
    <s v="A"/>
    <n v="0"/>
    <s v="No Deposit"/>
    <n v="9"/>
    <m/>
    <n v="0"/>
    <x v="0"/>
    <x v="63"/>
    <n v="0"/>
    <n v="0"/>
    <x v="1"/>
    <d v="2017-05-17T00:00:00"/>
  </r>
  <r>
    <x v="1"/>
    <x v="1"/>
    <n v="0"/>
    <n v="2017"/>
    <x v="0"/>
    <n v="28"/>
    <n v="15"/>
    <n v="0"/>
    <n v="1"/>
    <n v="2"/>
    <n v="0"/>
    <n v="0"/>
    <s v="BB"/>
    <s v="GBR"/>
    <s v="Direct"/>
    <x v="2"/>
    <n v="0"/>
    <n v="0"/>
    <n v="0"/>
    <s v="A"/>
    <s v="E"/>
    <n v="1"/>
    <s v="No Deposit"/>
    <m/>
    <m/>
    <n v="0"/>
    <x v="1"/>
    <x v="391"/>
    <n v="0"/>
    <n v="0"/>
    <x v="1"/>
    <d v="2017-07-16T00:00:00"/>
  </r>
  <r>
    <x v="0"/>
    <x v="1"/>
    <n v="6"/>
    <n v="2017"/>
    <x v="0"/>
    <n v="28"/>
    <n v="14"/>
    <n v="0"/>
    <n v="2"/>
    <n v="2"/>
    <n v="0"/>
    <n v="0"/>
    <s v="BB"/>
    <s v="CHN"/>
    <s v="Online TA"/>
    <x v="0"/>
    <n v="0"/>
    <n v="0"/>
    <n v="0"/>
    <s v="E"/>
    <s v="E"/>
    <n v="0"/>
    <s v="No Deposit"/>
    <n v="9"/>
    <m/>
    <n v="0"/>
    <x v="0"/>
    <x v="392"/>
    <n v="0"/>
    <n v="2"/>
    <x v="1"/>
    <d v="2017-07-16T00:00:00"/>
  </r>
  <r>
    <x v="1"/>
    <x v="1"/>
    <n v="5"/>
    <n v="2017"/>
    <x v="7"/>
    <n v="20"/>
    <n v="15"/>
    <n v="1"/>
    <n v="0"/>
    <n v="1"/>
    <n v="0"/>
    <n v="0"/>
    <s v="BB"/>
    <s v="GBR"/>
    <s v="Complementary"/>
    <x v="0"/>
    <n v="1"/>
    <n v="0"/>
    <n v="3"/>
    <s v="E"/>
    <s v="E"/>
    <n v="0"/>
    <s v="No Deposit"/>
    <n v="40"/>
    <m/>
    <n v="0"/>
    <x v="0"/>
    <x v="7"/>
    <n v="1"/>
    <n v="2"/>
    <x v="1"/>
    <d v="2017-05-16T00:00:00"/>
  </r>
  <r>
    <x v="1"/>
    <x v="1"/>
    <n v="156"/>
    <n v="2017"/>
    <x v="7"/>
    <n v="19"/>
    <n v="8"/>
    <n v="2"/>
    <n v="5"/>
    <n v="2"/>
    <n v="0"/>
    <n v="0"/>
    <s v="HB"/>
    <s v="IRL"/>
    <s v="Groups"/>
    <x v="0"/>
    <n v="0"/>
    <n v="0"/>
    <n v="0"/>
    <s v="A"/>
    <s v="A"/>
    <n v="2"/>
    <s v="No Deposit"/>
    <n v="434"/>
    <m/>
    <n v="0"/>
    <x v="1"/>
    <x v="2"/>
    <n v="0"/>
    <n v="1"/>
    <x v="1"/>
    <d v="2017-05-15T00:00:00"/>
  </r>
  <r>
    <x v="1"/>
    <x v="1"/>
    <n v="229"/>
    <n v="2017"/>
    <x v="6"/>
    <n v="13"/>
    <n v="27"/>
    <n v="2"/>
    <n v="5"/>
    <n v="2"/>
    <n v="0"/>
    <n v="0"/>
    <s v="BB"/>
    <s v="IRL"/>
    <s v="Online TA"/>
    <x v="0"/>
    <n v="0"/>
    <n v="0"/>
    <n v="0"/>
    <s v="A"/>
    <s v="D"/>
    <n v="1"/>
    <s v="No Deposit"/>
    <n v="240"/>
    <m/>
    <n v="0"/>
    <x v="0"/>
    <x v="393"/>
    <n v="0"/>
    <n v="2"/>
    <x v="1"/>
    <d v="2017-04-03T00:00:00"/>
  </r>
  <r>
    <x v="1"/>
    <x v="0"/>
    <n v="134"/>
    <n v="2017"/>
    <x v="11"/>
    <n v="15"/>
    <n v="13"/>
    <n v="0"/>
    <n v="3"/>
    <n v="2"/>
    <n v="0"/>
    <n v="0"/>
    <s v="HB"/>
    <s v="PRT"/>
    <s v="Offline TA/TO"/>
    <x v="0"/>
    <n v="0"/>
    <n v="0"/>
    <n v="0"/>
    <s v="D"/>
    <s v="D"/>
    <n v="1"/>
    <s v="No Deposit"/>
    <n v="3"/>
    <m/>
    <n v="0"/>
    <x v="1"/>
    <x v="394"/>
    <n v="0"/>
    <n v="1"/>
    <x v="0"/>
    <d v="2017-03-10T00:00:00"/>
  </r>
  <r>
    <x v="1"/>
    <x v="1"/>
    <n v="33"/>
    <n v="2017"/>
    <x v="10"/>
    <n v="23"/>
    <n v="10"/>
    <n v="0"/>
    <n v="1"/>
    <n v="2"/>
    <n v="0"/>
    <n v="0"/>
    <s v="BB"/>
    <s v="PRT"/>
    <s v="Direct"/>
    <x v="2"/>
    <n v="0"/>
    <n v="0"/>
    <n v="0"/>
    <s v="A"/>
    <s v="A"/>
    <n v="0"/>
    <s v="No Deposit"/>
    <m/>
    <m/>
    <n v="0"/>
    <x v="0"/>
    <x v="153"/>
    <n v="1"/>
    <n v="2"/>
    <x v="1"/>
    <d v="2017-06-11T00:00:00"/>
  </r>
  <r>
    <x v="0"/>
    <x v="0"/>
    <n v="115"/>
    <n v="2017"/>
    <x v="7"/>
    <n v="20"/>
    <n v="18"/>
    <n v="0"/>
    <n v="3"/>
    <n v="2"/>
    <n v="0"/>
    <n v="0"/>
    <s v="BB"/>
    <s v="PRT"/>
    <s v="Offline TA/TO"/>
    <x v="0"/>
    <n v="0"/>
    <n v="0"/>
    <n v="0"/>
    <s v="A"/>
    <s v="A"/>
    <n v="0"/>
    <s v="Non Refund"/>
    <n v="170"/>
    <m/>
    <n v="0"/>
    <x v="0"/>
    <x v="395"/>
    <n v="0"/>
    <n v="0"/>
    <x v="0"/>
    <d v="2017-01-23T00:00:00"/>
  </r>
  <r>
    <x v="1"/>
    <x v="1"/>
    <n v="22"/>
    <n v="2017"/>
    <x v="4"/>
    <n v="34"/>
    <n v="25"/>
    <n v="1"/>
    <n v="2"/>
    <n v="2"/>
    <n v="2"/>
    <n v="0"/>
    <s v="HB"/>
    <s v="ESP"/>
    <s v="Online TA"/>
    <x v="0"/>
    <n v="0"/>
    <n v="0"/>
    <n v="0"/>
    <s v="C"/>
    <s v="C"/>
    <n v="1"/>
    <s v="No Deposit"/>
    <n v="240"/>
    <m/>
    <n v="0"/>
    <x v="1"/>
    <x v="396"/>
    <n v="0"/>
    <n v="2"/>
    <x v="1"/>
    <d v="2017-08-28T00:00:00"/>
  </r>
  <r>
    <x v="0"/>
    <x v="0"/>
    <n v="462"/>
    <n v="2017"/>
    <x v="0"/>
    <n v="26"/>
    <n v="1"/>
    <n v="2"/>
    <n v="1"/>
    <n v="2"/>
    <n v="0"/>
    <n v="0"/>
    <s v="BB"/>
    <s v="PRT"/>
    <s v="Groups"/>
    <x v="0"/>
    <n v="0"/>
    <n v="0"/>
    <n v="0"/>
    <s v="A"/>
    <s v="A"/>
    <n v="0"/>
    <s v="No Deposit"/>
    <n v="229"/>
    <m/>
    <n v="0"/>
    <x v="1"/>
    <x v="351"/>
    <n v="0"/>
    <n v="1"/>
    <x v="0"/>
    <d v="2017-06-21T00:00:00"/>
  </r>
  <r>
    <x v="0"/>
    <x v="1"/>
    <n v="79"/>
    <n v="2017"/>
    <x v="11"/>
    <n v="17"/>
    <n v="24"/>
    <n v="1"/>
    <n v="3"/>
    <n v="2"/>
    <n v="0"/>
    <n v="0"/>
    <s v="BB"/>
    <s v="FRA"/>
    <s v="Online TA"/>
    <x v="0"/>
    <n v="0"/>
    <n v="0"/>
    <n v="0"/>
    <s v="D"/>
    <s v="D"/>
    <n v="0"/>
    <s v="No Deposit"/>
    <n v="9"/>
    <m/>
    <n v="0"/>
    <x v="0"/>
    <x v="397"/>
    <n v="0"/>
    <n v="1"/>
    <x v="1"/>
    <d v="2017-04-28T00:00:00"/>
  </r>
  <r>
    <x v="0"/>
    <x v="0"/>
    <n v="177"/>
    <n v="2017"/>
    <x v="0"/>
    <n v="27"/>
    <n v="3"/>
    <n v="1"/>
    <n v="1"/>
    <n v="2"/>
    <n v="0"/>
    <n v="0"/>
    <s v="SC"/>
    <s v="IRL"/>
    <s v="Online TA"/>
    <x v="0"/>
    <n v="0"/>
    <n v="0"/>
    <n v="0"/>
    <s v="A"/>
    <s v="A"/>
    <n v="0"/>
    <s v="No Deposit"/>
    <n v="9"/>
    <m/>
    <n v="0"/>
    <x v="0"/>
    <x v="277"/>
    <n v="0"/>
    <n v="0"/>
    <x v="0"/>
    <d v="2017-03-22T00:00:00"/>
  </r>
  <r>
    <x v="0"/>
    <x v="1"/>
    <n v="20"/>
    <n v="2017"/>
    <x v="7"/>
    <n v="21"/>
    <n v="24"/>
    <n v="0"/>
    <n v="1"/>
    <n v="2"/>
    <n v="0"/>
    <n v="0"/>
    <s v="BB"/>
    <s v="ESP"/>
    <s v="Groups"/>
    <x v="0"/>
    <n v="0"/>
    <n v="0"/>
    <n v="0"/>
    <s v="A"/>
    <s v="A"/>
    <n v="0"/>
    <s v="No Deposit"/>
    <n v="87"/>
    <m/>
    <n v="0"/>
    <x v="1"/>
    <x v="169"/>
    <n v="0"/>
    <n v="0"/>
    <x v="1"/>
    <d v="2017-05-25T00:00:00"/>
  </r>
  <r>
    <x v="1"/>
    <x v="0"/>
    <n v="19"/>
    <n v="2017"/>
    <x v="8"/>
    <n v="3"/>
    <n v="15"/>
    <n v="2"/>
    <n v="2"/>
    <n v="3"/>
    <n v="1"/>
    <n v="0"/>
    <s v="BB"/>
    <s v="IRL"/>
    <s v="Online TA"/>
    <x v="0"/>
    <n v="0"/>
    <n v="0"/>
    <n v="0"/>
    <s v="H"/>
    <s v="H"/>
    <n v="0"/>
    <s v="No Deposit"/>
    <n v="240"/>
    <m/>
    <n v="0"/>
    <x v="0"/>
    <x v="398"/>
    <n v="0"/>
    <n v="1"/>
    <x v="0"/>
    <d v="2016-12-27T00:00:00"/>
  </r>
  <r>
    <x v="1"/>
    <x v="1"/>
    <n v="2"/>
    <n v="2017"/>
    <x v="9"/>
    <n v="6"/>
    <n v="10"/>
    <n v="0"/>
    <n v="2"/>
    <n v="2"/>
    <n v="0"/>
    <n v="0"/>
    <s v="BB"/>
    <s v="ESP"/>
    <s v="Online TA"/>
    <x v="0"/>
    <n v="0"/>
    <n v="0"/>
    <n v="0"/>
    <s v="A"/>
    <s v="A"/>
    <n v="0"/>
    <s v="No Deposit"/>
    <n v="240"/>
    <m/>
    <n v="0"/>
    <x v="0"/>
    <x v="21"/>
    <n v="0"/>
    <n v="2"/>
    <x v="1"/>
    <d v="2017-02-12T00:00:00"/>
  </r>
  <r>
    <x v="1"/>
    <x v="1"/>
    <n v="40"/>
    <n v="2017"/>
    <x v="8"/>
    <n v="3"/>
    <n v="16"/>
    <n v="1"/>
    <n v="2"/>
    <n v="1"/>
    <n v="0"/>
    <n v="0"/>
    <s v="Undefined"/>
    <s v="PRT"/>
    <s v="Groups"/>
    <x v="2"/>
    <n v="0"/>
    <n v="0"/>
    <n v="0"/>
    <s v="A"/>
    <s v="A"/>
    <n v="0"/>
    <s v="No Deposit"/>
    <m/>
    <m/>
    <n v="0"/>
    <x v="1"/>
    <x v="238"/>
    <n v="0"/>
    <n v="0"/>
    <x v="1"/>
    <d v="2017-01-19T00:00:00"/>
  </r>
  <r>
    <x v="0"/>
    <x v="0"/>
    <n v="37"/>
    <n v="2017"/>
    <x v="6"/>
    <n v="11"/>
    <n v="15"/>
    <n v="0"/>
    <n v="2"/>
    <n v="2"/>
    <n v="0"/>
    <n v="0"/>
    <s v="BB"/>
    <s v="PRT"/>
    <s v="Groups"/>
    <x v="0"/>
    <n v="0"/>
    <n v="0"/>
    <n v="0"/>
    <s v="A"/>
    <s v="A"/>
    <n v="0"/>
    <s v="Non Refund"/>
    <n v="378"/>
    <m/>
    <n v="0"/>
    <x v="0"/>
    <x v="199"/>
    <n v="0"/>
    <n v="0"/>
    <x v="0"/>
    <d v="2017-02-06T00:00:00"/>
  </r>
  <r>
    <x v="0"/>
    <x v="0"/>
    <n v="262"/>
    <n v="2017"/>
    <x v="7"/>
    <n v="21"/>
    <n v="24"/>
    <n v="0"/>
    <n v="4"/>
    <n v="3"/>
    <n v="0"/>
    <n v="0"/>
    <s v="BB"/>
    <s v="CHE"/>
    <s v="Online TA"/>
    <x v="0"/>
    <n v="0"/>
    <n v="0"/>
    <n v="0"/>
    <s v="D"/>
    <s v="D"/>
    <n v="0"/>
    <s v="No Deposit"/>
    <n v="9"/>
    <m/>
    <n v="0"/>
    <x v="0"/>
    <x v="399"/>
    <n v="0"/>
    <n v="2"/>
    <x v="0"/>
    <d v="2016-09-22T00:00:00"/>
  </r>
  <r>
    <x v="0"/>
    <x v="1"/>
    <n v="68"/>
    <n v="2017"/>
    <x v="0"/>
    <n v="28"/>
    <n v="10"/>
    <n v="1"/>
    <n v="0"/>
    <n v="2"/>
    <n v="0"/>
    <n v="0"/>
    <s v="SC"/>
    <s v="GBR"/>
    <s v="Online TA"/>
    <x v="0"/>
    <n v="0"/>
    <n v="0"/>
    <n v="0"/>
    <s v="A"/>
    <s v="D"/>
    <n v="0"/>
    <s v="No Deposit"/>
    <n v="9"/>
    <m/>
    <n v="0"/>
    <x v="0"/>
    <x v="25"/>
    <n v="0"/>
    <n v="1"/>
    <x v="1"/>
    <d v="2017-07-11T00:00:00"/>
  </r>
  <r>
    <x v="0"/>
    <x v="1"/>
    <n v="50"/>
    <n v="2017"/>
    <x v="6"/>
    <n v="12"/>
    <n v="21"/>
    <n v="0"/>
    <n v="4"/>
    <n v="2"/>
    <n v="0"/>
    <n v="0"/>
    <s v="SC"/>
    <s v="FRA"/>
    <s v="Online TA"/>
    <x v="0"/>
    <n v="0"/>
    <n v="0"/>
    <n v="0"/>
    <s v="A"/>
    <s v="A"/>
    <n v="0"/>
    <s v="No Deposit"/>
    <n v="7"/>
    <m/>
    <n v="0"/>
    <x v="0"/>
    <x v="400"/>
    <n v="0"/>
    <n v="0"/>
    <x v="1"/>
    <d v="2017-03-25T00:00:00"/>
  </r>
  <r>
    <x v="1"/>
    <x v="0"/>
    <n v="22"/>
    <n v="2017"/>
    <x v="10"/>
    <n v="26"/>
    <n v="29"/>
    <n v="0"/>
    <n v="1"/>
    <n v="1"/>
    <n v="0"/>
    <n v="0"/>
    <s v="BB"/>
    <s v="PRT"/>
    <s v="Direct"/>
    <x v="2"/>
    <n v="0"/>
    <n v="0"/>
    <n v="0"/>
    <s v="A"/>
    <s v="A"/>
    <n v="0"/>
    <s v="No Deposit"/>
    <m/>
    <m/>
    <n v="0"/>
    <x v="0"/>
    <x v="4"/>
    <n v="0"/>
    <n v="0"/>
    <x v="0"/>
    <d v="2017-06-28T00:00:00"/>
  </r>
  <r>
    <x v="0"/>
    <x v="0"/>
    <n v="42"/>
    <n v="2017"/>
    <x v="11"/>
    <n v="16"/>
    <n v="16"/>
    <n v="2"/>
    <n v="2"/>
    <n v="2"/>
    <n v="0"/>
    <n v="0"/>
    <s v="BB"/>
    <s v="GBR"/>
    <s v="Online TA"/>
    <x v="0"/>
    <n v="0"/>
    <n v="0"/>
    <n v="0"/>
    <s v="D"/>
    <s v="D"/>
    <n v="0"/>
    <s v="No Deposit"/>
    <n v="9"/>
    <m/>
    <n v="0"/>
    <x v="0"/>
    <x v="401"/>
    <n v="0"/>
    <n v="0"/>
    <x v="0"/>
    <d v="2017-03-05T00:00:00"/>
  </r>
  <r>
    <x v="1"/>
    <x v="1"/>
    <n v="5"/>
    <n v="2017"/>
    <x v="8"/>
    <n v="3"/>
    <n v="19"/>
    <n v="0"/>
    <n v="3"/>
    <n v="1"/>
    <n v="0"/>
    <n v="0"/>
    <s v="BB"/>
    <s v="GBR"/>
    <s v="Online TA"/>
    <x v="0"/>
    <n v="0"/>
    <n v="0"/>
    <n v="0"/>
    <s v="A"/>
    <s v="A"/>
    <n v="0"/>
    <s v="No Deposit"/>
    <n v="240"/>
    <m/>
    <n v="0"/>
    <x v="0"/>
    <x v="312"/>
    <n v="0"/>
    <n v="3"/>
    <x v="1"/>
    <d v="2017-01-22T00:00:00"/>
  </r>
  <r>
    <x v="0"/>
    <x v="1"/>
    <n v="177"/>
    <n v="2017"/>
    <x v="4"/>
    <n v="33"/>
    <n v="16"/>
    <n v="0"/>
    <n v="4"/>
    <n v="2"/>
    <n v="0"/>
    <n v="0"/>
    <s v="BB"/>
    <s v="FRA"/>
    <s v="Online TA"/>
    <x v="0"/>
    <n v="0"/>
    <n v="0"/>
    <n v="0"/>
    <s v="D"/>
    <s v="D"/>
    <n v="0"/>
    <s v="No Deposit"/>
    <n v="354"/>
    <m/>
    <n v="0"/>
    <x v="0"/>
    <x v="402"/>
    <n v="0"/>
    <n v="0"/>
    <x v="1"/>
    <d v="2017-08-20T00:00:00"/>
  </r>
  <r>
    <x v="0"/>
    <x v="1"/>
    <n v="30"/>
    <n v="2017"/>
    <x v="10"/>
    <n v="23"/>
    <n v="4"/>
    <n v="2"/>
    <n v="1"/>
    <n v="2"/>
    <n v="0"/>
    <n v="0"/>
    <s v="SC"/>
    <s v="GBR"/>
    <s v="Online TA"/>
    <x v="0"/>
    <n v="0"/>
    <n v="0"/>
    <n v="0"/>
    <s v="A"/>
    <s v="A"/>
    <n v="0"/>
    <s v="No Deposit"/>
    <n v="9"/>
    <m/>
    <n v="0"/>
    <x v="0"/>
    <x v="403"/>
    <n v="0"/>
    <n v="1"/>
    <x v="1"/>
    <d v="2017-06-07T00:00:00"/>
  </r>
  <r>
    <x v="0"/>
    <x v="1"/>
    <n v="0"/>
    <n v="2017"/>
    <x v="8"/>
    <n v="4"/>
    <n v="25"/>
    <n v="0"/>
    <n v="2"/>
    <n v="1"/>
    <n v="0"/>
    <n v="0"/>
    <s v="BB"/>
    <s v="PRT"/>
    <s v="Groups"/>
    <x v="0"/>
    <n v="0"/>
    <n v="0"/>
    <n v="0"/>
    <s v="A"/>
    <s v="A"/>
    <n v="0"/>
    <s v="No Deposit"/>
    <m/>
    <n v="365"/>
    <n v="0"/>
    <x v="1"/>
    <x v="89"/>
    <n v="0"/>
    <n v="0"/>
    <x v="1"/>
    <d v="2017-01-27T00:00:00"/>
  </r>
  <r>
    <x v="0"/>
    <x v="1"/>
    <n v="111"/>
    <n v="2017"/>
    <x v="4"/>
    <n v="33"/>
    <n v="14"/>
    <n v="1"/>
    <n v="2"/>
    <n v="3"/>
    <n v="0"/>
    <n v="0"/>
    <s v="BB"/>
    <s v="ITA"/>
    <s v="Online TA"/>
    <x v="0"/>
    <n v="0"/>
    <n v="0"/>
    <n v="0"/>
    <s v="E"/>
    <s v="E"/>
    <n v="0"/>
    <s v="No Deposit"/>
    <n v="9"/>
    <m/>
    <n v="0"/>
    <x v="0"/>
    <x v="404"/>
    <n v="0"/>
    <n v="2"/>
    <x v="1"/>
    <d v="2017-08-17T00:00:00"/>
  </r>
  <r>
    <x v="1"/>
    <x v="1"/>
    <n v="152"/>
    <n v="2017"/>
    <x v="10"/>
    <n v="26"/>
    <n v="28"/>
    <n v="1"/>
    <n v="4"/>
    <n v="2"/>
    <n v="0"/>
    <n v="0"/>
    <s v="HB"/>
    <s v="PRT"/>
    <s v="Online TA"/>
    <x v="0"/>
    <n v="0"/>
    <n v="0"/>
    <n v="0"/>
    <s v="A"/>
    <s v="A"/>
    <n v="0"/>
    <s v="No Deposit"/>
    <n v="196"/>
    <m/>
    <n v="0"/>
    <x v="0"/>
    <x v="405"/>
    <n v="0"/>
    <n v="0"/>
    <x v="1"/>
    <d v="2017-07-03T00:00:00"/>
  </r>
  <r>
    <x v="0"/>
    <x v="1"/>
    <n v="42"/>
    <n v="2017"/>
    <x v="10"/>
    <n v="26"/>
    <n v="30"/>
    <n v="2"/>
    <n v="2"/>
    <n v="2"/>
    <n v="2"/>
    <n v="0"/>
    <s v="BB"/>
    <s v="SWE"/>
    <s v="Direct"/>
    <x v="2"/>
    <n v="0"/>
    <n v="0"/>
    <n v="0"/>
    <s v="E"/>
    <s v="E"/>
    <n v="0"/>
    <s v="No Deposit"/>
    <n v="14"/>
    <m/>
    <n v="0"/>
    <x v="0"/>
    <x v="406"/>
    <n v="0"/>
    <n v="0"/>
    <x v="1"/>
    <d v="2017-07-04T00:00:00"/>
  </r>
  <r>
    <x v="0"/>
    <x v="1"/>
    <n v="9"/>
    <n v="2017"/>
    <x v="9"/>
    <n v="7"/>
    <n v="12"/>
    <n v="2"/>
    <n v="1"/>
    <n v="2"/>
    <n v="0"/>
    <n v="0"/>
    <s v="BB"/>
    <s v="BRA"/>
    <s v="Online TA"/>
    <x v="0"/>
    <n v="0"/>
    <n v="0"/>
    <n v="0"/>
    <s v="A"/>
    <s v="K"/>
    <n v="0"/>
    <s v="No Deposit"/>
    <n v="7"/>
    <m/>
    <n v="0"/>
    <x v="0"/>
    <x v="407"/>
    <n v="0"/>
    <n v="0"/>
    <x v="1"/>
    <d v="2017-02-15T00:00:00"/>
  </r>
  <r>
    <x v="0"/>
    <x v="0"/>
    <n v="165"/>
    <n v="2017"/>
    <x v="7"/>
    <n v="20"/>
    <n v="19"/>
    <n v="2"/>
    <n v="2"/>
    <n v="2"/>
    <n v="0"/>
    <n v="0"/>
    <s v="BB"/>
    <s v="PRT"/>
    <s v="Groups"/>
    <x v="0"/>
    <n v="0"/>
    <n v="0"/>
    <n v="0"/>
    <s v="A"/>
    <s v="A"/>
    <n v="0"/>
    <s v="Non Refund"/>
    <m/>
    <m/>
    <n v="0"/>
    <x v="0"/>
    <x v="404"/>
    <n v="0"/>
    <n v="0"/>
    <x v="0"/>
    <d v="2017-01-12T00:00:00"/>
  </r>
  <r>
    <x v="0"/>
    <x v="0"/>
    <n v="320"/>
    <n v="2017"/>
    <x v="10"/>
    <n v="24"/>
    <n v="15"/>
    <n v="0"/>
    <n v="3"/>
    <n v="1"/>
    <n v="0"/>
    <n v="0"/>
    <s v="BB"/>
    <s v="PRT"/>
    <s v="Groups"/>
    <x v="0"/>
    <n v="0"/>
    <n v="0"/>
    <n v="0"/>
    <s v="A"/>
    <s v="A"/>
    <n v="0"/>
    <s v="Non Refund"/>
    <n v="6"/>
    <m/>
    <n v="0"/>
    <x v="0"/>
    <x v="2"/>
    <n v="0"/>
    <n v="0"/>
    <x v="0"/>
    <d v="2017-01-12T00:00:00"/>
  </r>
  <r>
    <x v="0"/>
    <x v="1"/>
    <n v="184"/>
    <n v="2017"/>
    <x v="0"/>
    <n v="28"/>
    <n v="15"/>
    <n v="0"/>
    <n v="1"/>
    <n v="2"/>
    <n v="0"/>
    <n v="0"/>
    <s v="BB"/>
    <s v="BEL"/>
    <s v="Direct"/>
    <x v="2"/>
    <n v="0"/>
    <n v="0"/>
    <n v="0"/>
    <s v="A"/>
    <s v="A"/>
    <n v="0"/>
    <s v="No Deposit"/>
    <n v="14"/>
    <m/>
    <n v="0"/>
    <x v="0"/>
    <x v="277"/>
    <n v="0"/>
    <n v="1"/>
    <x v="1"/>
    <d v="2017-07-16T00:00:00"/>
  </r>
  <r>
    <x v="0"/>
    <x v="0"/>
    <n v="56"/>
    <n v="2017"/>
    <x v="6"/>
    <n v="12"/>
    <n v="21"/>
    <n v="0"/>
    <n v="3"/>
    <n v="2"/>
    <n v="0"/>
    <n v="0"/>
    <s v="BB"/>
    <s v="PRT"/>
    <s v="Offline TA/TO"/>
    <x v="0"/>
    <n v="0"/>
    <n v="0"/>
    <n v="0"/>
    <s v="A"/>
    <s v="A"/>
    <n v="0"/>
    <s v="Non Refund"/>
    <n v="86"/>
    <m/>
    <n v="0"/>
    <x v="0"/>
    <x v="89"/>
    <n v="0"/>
    <n v="0"/>
    <x v="0"/>
    <d v="2017-01-24T00:00:00"/>
  </r>
  <r>
    <x v="0"/>
    <x v="1"/>
    <n v="6"/>
    <n v="2017"/>
    <x v="10"/>
    <n v="26"/>
    <n v="30"/>
    <n v="0"/>
    <n v="1"/>
    <n v="2"/>
    <n v="0"/>
    <n v="0"/>
    <s v="SC"/>
    <s v="SWE"/>
    <s v="Online TA"/>
    <x v="0"/>
    <n v="0"/>
    <n v="0"/>
    <n v="0"/>
    <s v="A"/>
    <s v="A"/>
    <n v="0"/>
    <s v="No Deposit"/>
    <n v="9"/>
    <m/>
    <n v="0"/>
    <x v="1"/>
    <x v="306"/>
    <n v="0"/>
    <n v="1"/>
    <x v="1"/>
    <d v="2017-07-01T00:00:00"/>
  </r>
  <r>
    <x v="0"/>
    <x v="1"/>
    <n v="2"/>
    <n v="2017"/>
    <x v="6"/>
    <n v="11"/>
    <n v="16"/>
    <n v="0"/>
    <n v="1"/>
    <n v="1"/>
    <n v="0"/>
    <n v="0"/>
    <s v="BB"/>
    <s v="PRT"/>
    <s v="Aviation"/>
    <x v="1"/>
    <n v="1"/>
    <n v="0"/>
    <n v="3"/>
    <s v="D"/>
    <s v="D"/>
    <n v="0"/>
    <s v="No Deposit"/>
    <m/>
    <n v="153"/>
    <n v="0"/>
    <x v="0"/>
    <x v="119"/>
    <n v="0"/>
    <n v="2"/>
    <x v="1"/>
    <d v="2017-03-17T00:00:00"/>
  </r>
  <r>
    <x v="0"/>
    <x v="1"/>
    <n v="159"/>
    <n v="2017"/>
    <x v="0"/>
    <n v="28"/>
    <n v="11"/>
    <n v="0"/>
    <n v="1"/>
    <n v="2"/>
    <n v="0"/>
    <n v="0"/>
    <s v="SC"/>
    <s v="FRA"/>
    <s v="Online TA"/>
    <x v="0"/>
    <n v="0"/>
    <n v="0"/>
    <n v="0"/>
    <s v="A"/>
    <s v="D"/>
    <n v="0"/>
    <s v="No Deposit"/>
    <n v="9"/>
    <m/>
    <n v="0"/>
    <x v="0"/>
    <x v="277"/>
    <n v="0"/>
    <n v="1"/>
    <x v="1"/>
    <d v="2017-07-12T00:00:00"/>
  </r>
  <r>
    <x v="0"/>
    <x v="1"/>
    <n v="20"/>
    <n v="2017"/>
    <x v="8"/>
    <n v="5"/>
    <n v="30"/>
    <n v="1"/>
    <n v="0"/>
    <n v="1"/>
    <n v="0"/>
    <n v="0"/>
    <s v="BB"/>
    <s v="PRT"/>
    <s v="Corporate"/>
    <x v="1"/>
    <n v="0"/>
    <n v="0"/>
    <n v="0"/>
    <s v="A"/>
    <s v="A"/>
    <n v="0"/>
    <s v="No Deposit"/>
    <m/>
    <n v="410"/>
    <n v="0"/>
    <x v="1"/>
    <x v="2"/>
    <n v="0"/>
    <n v="0"/>
    <x v="1"/>
    <d v="2017-01-31T00:00:00"/>
  </r>
  <r>
    <x v="1"/>
    <x v="1"/>
    <n v="0"/>
    <n v="2017"/>
    <x v="8"/>
    <n v="4"/>
    <n v="26"/>
    <n v="0"/>
    <n v="2"/>
    <n v="2"/>
    <n v="0"/>
    <n v="0"/>
    <s v="BB"/>
    <s v="ESP"/>
    <s v="Direct"/>
    <x v="2"/>
    <n v="0"/>
    <n v="0"/>
    <n v="0"/>
    <s v="E"/>
    <s v="E"/>
    <n v="0"/>
    <s v="No Deposit"/>
    <m/>
    <m/>
    <n v="0"/>
    <x v="0"/>
    <x v="162"/>
    <n v="1"/>
    <n v="0"/>
    <x v="1"/>
    <d v="2017-01-28T00:00:00"/>
  </r>
  <r>
    <x v="1"/>
    <x v="0"/>
    <n v="253"/>
    <n v="2017"/>
    <x v="4"/>
    <n v="34"/>
    <n v="25"/>
    <n v="2"/>
    <n v="4"/>
    <n v="1"/>
    <n v="0"/>
    <n v="0"/>
    <s v="BB"/>
    <s v="ESP"/>
    <s v="Online TA"/>
    <x v="0"/>
    <n v="0"/>
    <n v="0"/>
    <n v="0"/>
    <s v="A"/>
    <s v="A"/>
    <n v="0"/>
    <s v="No Deposit"/>
    <n v="240"/>
    <m/>
    <n v="0"/>
    <x v="0"/>
    <x v="408"/>
    <n v="0"/>
    <n v="1"/>
    <x v="0"/>
    <d v="2017-01-07T00:00:00"/>
  </r>
  <r>
    <x v="1"/>
    <x v="1"/>
    <n v="152"/>
    <n v="2017"/>
    <x v="11"/>
    <n v="14"/>
    <n v="5"/>
    <n v="1"/>
    <n v="4"/>
    <n v="2"/>
    <n v="0"/>
    <n v="0"/>
    <s v="BB"/>
    <s v="GBR"/>
    <s v="Groups"/>
    <x v="0"/>
    <n v="0"/>
    <n v="0"/>
    <n v="0"/>
    <s v="D"/>
    <s v="D"/>
    <n v="4"/>
    <s v="No Deposit"/>
    <m/>
    <n v="223"/>
    <n v="0"/>
    <x v="1"/>
    <x v="150"/>
    <n v="0"/>
    <n v="0"/>
    <x v="1"/>
    <d v="2017-04-10T00:00:00"/>
  </r>
  <r>
    <x v="0"/>
    <x v="0"/>
    <n v="41"/>
    <n v="2017"/>
    <x v="4"/>
    <n v="35"/>
    <n v="27"/>
    <n v="1"/>
    <n v="0"/>
    <n v="1"/>
    <n v="0"/>
    <n v="0"/>
    <s v="BB"/>
    <s v="AUT"/>
    <s v="Direct"/>
    <x v="2"/>
    <n v="0"/>
    <n v="0"/>
    <n v="0"/>
    <s v="A"/>
    <s v="A"/>
    <n v="1"/>
    <s v="No Deposit"/>
    <n v="14"/>
    <m/>
    <n v="0"/>
    <x v="0"/>
    <x v="13"/>
    <n v="0"/>
    <n v="0"/>
    <x v="0"/>
    <d v="2017-07-28T00:00:00"/>
  </r>
  <r>
    <x v="1"/>
    <x v="0"/>
    <n v="103"/>
    <n v="2017"/>
    <x v="6"/>
    <n v="13"/>
    <n v="27"/>
    <n v="1"/>
    <n v="1"/>
    <n v="2"/>
    <n v="0"/>
    <n v="0"/>
    <s v="BB"/>
    <s v="PRT"/>
    <s v="Groups"/>
    <x v="1"/>
    <n v="0"/>
    <n v="0"/>
    <n v="0"/>
    <s v="E"/>
    <s v="E"/>
    <n v="0"/>
    <s v="Non Refund"/>
    <n v="495"/>
    <m/>
    <n v="0"/>
    <x v="0"/>
    <x v="66"/>
    <n v="0"/>
    <n v="0"/>
    <x v="0"/>
    <d v="2016-12-23T00:00:00"/>
  </r>
  <r>
    <x v="0"/>
    <x v="1"/>
    <n v="159"/>
    <n v="2017"/>
    <x v="4"/>
    <n v="32"/>
    <n v="7"/>
    <n v="1"/>
    <n v="1"/>
    <n v="3"/>
    <n v="0"/>
    <n v="0"/>
    <s v="BB"/>
    <s v="FRA"/>
    <s v="Online TA"/>
    <x v="0"/>
    <n v="0"/>
    <n v="0"/>
    <n v="0"/>
    <s v="D"/>
    <s v="D"/>
    <n v="0"/>
    <s v="No Deposit"/>
    <n v="9"/>
    <m/>
    <n v="0"/>
    <x v="0"/>
    <x v="409"/>
    <n v="0"/>
    <n v="0"/>
    <x v="1"/>
    <d v="2017-08-09T00:00:00"/>
  </r>
  <r>
    <x v="0"/>
    <x v="1"/>
    <n v="155"/>
    <n v="2017"/>
    <x v="10"/>
    <n v="22"/>
    <n v="1"/>
    <n v="0"/>
    <n v="3"/>
    <n v="2"/>
    <n v="0"/>
    <n v="0"/>
    <s v="BB"/>
    <s v="ESP"/>
    <s v="Online TA"/>
    <x v="0"/>
    <n v="0"/>
    <n v="0"/>
    <n v="0"/>
    <s v="A"/>
    <s v="A"/>
    <n v="0"/>
    <s v="No Deposit"/>
    <n v="9"/>
    <m/>
    <n v="0"/>
    <x v="0"/>
    <x v="191"/>
    <n v="0"/>
    <n v="1"/>
    <x v="1"/>
    <d v="2017-06-04T00:00:00"/>
  </r>
  <r>
    <x v="1"/>
    <x v="0"/>
    <n v="28"/>
    <n v="2017"/>
    <x v="7"/>
    <n v="20"/>
    <n v="14"/>
    <n v="2"/>
    <n v="5"/>
    <n v="2"/>
    <n v="2"/>
    <n v="0"/>
    <s v="BB"/>
    <s v="AUS"/>
    <s v="Online TA"/>
    <x v="0"/>
    <n v="0"/>
    <n v="0"/>
    <n v="0"/>
    <s v="G"/>
    <s v="G"/>
    <n v="0"/>
    <s v="No Deposit"/>
    <n v="240"/>
    <m/>
    <n v="0"/>
    <x v="0"/>
    <x v="34"/>
    <n v="0"/>
    <n v="1"/>
    <x v="0"/>
    <d v="2017-04-16T00:00:00"/>
  </r>
  <r>
    <x v="1"/>
    <x v="0"/>
    <n v="208"/>
    <n v="2017"/>
    <x v="7"/>
    <n v="18"/>
    <n v="1"/>
    <n v="1"/>
    <n v="4"/>
    <n v="2"/>
    <n v="0"/>
    <n v="0"/>
    <s v="BB"/>
    <s v="GBR"/>
    <s v="Online TA"/>
    <x v="0"/>
    <n v="0"/>
    <n v="0"/>
    <n v="0"/>
    <s v="E"/>
    <s v="E"/>
    <n v="0"/>
    <s v="No Deposit"/>
    <n v="240"/>
    <m/>
    <n v="0"/>
    <x v="0"/>
    <x v="85"/>
    <n v="0"/>
    <n v="0"/>
    <x v="0"/>
    <d v="2016-10-06T00:00:00"/>
  </r>
  <r>
    <x v="1"/>
    <x v="0"/>
    <n v="18"/>
    <n v="2017"/>
    <x v="9"/>
    <n v="7"/>
    <n v="12"/>
    <n v="2"/>
    <n v="0"/>
    <n v="2"/>
    <n v="0"/>
    <n v="0"/>
    <s v="BB"/>
    <s v="GBR"/>
    <s v="Online TA"/>
    <x v="0"/>
    <n v="0"/>
    <n v="0"/>
    <n v="0"/>
    <s v="D"/>
    <s v="D"/>
    <n v="0"/>
    <s v="No Deposit"/>
    <n v="240"/>
    <m/>
    <n v="0"/>
    <x v="0"/>
    <x v="107"/>
    <n v="0"/>
    <n v="0"/>
    <x v="0"/>
    <d v="2017-01-26T00:00:00"/>
  </r>
  <r>
    <x v="0"/>
    <x v="1"/>
    <n v="70"/>
    <n v="2017"/>
    <x v="9"/>
    <n v="7"/>
    <n v="15"/>
    <n v="0"/>
    <n v="4"/>
    <n v="2"/>
    <n v="0"/>
    <n v="0"/>
    <s v="BB"/>
    <s v="ESP"/>
    <s v="Groups"/>
    <x v="0"/>
    <n v="0"/>
    <n v="0"/>
    <n v="0"/>
    <s v="A"/>
    <s v="A"/>
    <n v="0"/>
    <s v="No Deposit"/>
    <m/>
    <n v="242"/>
    <n v="0"/>
    <x v="1"/>
    <x v="134"/>
    <n v="0"/>
    <n v="0"/>
    <x v="1"/>
    <d v="2017-02-19T00:00:00"/>
  </r>
  <r>
    <x v="0"/>
    <x v="1"/>
    <n v="91"/>
    <n v="2017"/>
    <x v="7"/>
    <n v="20"/>
    <n v="18"/>
    <n v="0"/>
    <n v="1"/>
    <n v="2"/>
    <n v="0"/>
    <n v="0"/>
    <s v="BB"/>
    <s v="CN"/>
    <s v="Offline TA/TO"/>
    <x v="0"/>
    <n v="0"/>
    <n v="0"/>
    <n v="0"/>
    <s v="A"/>
    <s v="C"/>
    <n v="0"/>
    <s v="No Deposit"/>
    <n v="262"/>
    <m/>
    <n v="0"/>
    <x v="0"/>
    <x v="277"/>
    <n v="0"/>
    <n v="0"/>
    <x v="1"/>
    <d v="2017-05-19T00:00:00"/>
  </r>
  <r>
    <x v="0"/>
    <x v="0"/>
    <n v="187"/>
    <n v="2017"/>
    <x v="4"/>
    <n v="32"/>
    <n v="8"/>
    <n v="0"/>
    <n v="2"/>
    <n v="2"/>
    <n v="0"/>
    <n v="0"/>
    <s v="HB"/>
    <s v="FRA"/>
    <s v="Online TA"/>
    <x v="0"/>
    <n v="0"/>
    <n v="0"/>
    <n v="0"/>
    <s v="A"/>
    <s v="A"/>
    <n v="0"/>
    <s v="No Deposit"/>
    <n v="9"/>
    <m/>
    <n v="0"/>
    <x v="0"/>
    <x v="410"/>
    <n v="0"/>
    <n v="0"/>
    <x v="0"/>
    <d v="2017-05-12T00:00:00"/>
  </r>
  <r>
    <x v="0"/>
    <x v="1"/>
    <n v="191"/>
    <n v="2017"/>
    <x v="11"/>
    <n v="13"/>
    <n v="1"/>
    <n v="2"/>
    <n v="3"/>
    <n v="2"/>
    <n v="0"/>
    <n v="0"/>
    <s v="BB"/>
    <s v="FRA"/>
    <s v="Offline TA/TO"/>
    <x v="0"/>
    <n v="0"/>
    <n v="0"/>
    <n v="0"/>
    <s v="A"/>
    <s v="D"/>
    <n v="0"/>
    <s v="No Deposit"/>
    <n v="28"/>
    <m/>
    <n v="0"/>
    <x v="0"/>
    <x v="45"/>
    <n v="0"/>
    <n v="0"/>
    <x v="1"/>
    <d v="2017-04-06T00:00:00"/>
  </r>
  <r>
    <x v="0"/>
    <x v="1"/>
    <n v="157"/>
    <n v="2017"/>
    <x v="10"/>
    <n v="25"/>
    <n v="20"/>
    <n v="2"/>
    <n v="6"/>
    <n v="2"/>
    <n v="0"/>
    <n v="0"/>
    <s v="BB"/>
    <s v="IRL"/>
    <s v="Online TA"/>
    <x v="0"/>
    <n v="0"/>
    <n v="0"/>
    <n v="0"/>
    <s v="D"/>
    <s v="D"/>
    <n v="0"/>
    <s v="No Deposit"/>
    <n v="9"/>
    <m/>
    <n v="0"/>
    <x v="0"/>
    <x v="411"/>
    <n v="0"/>
    <n v="1"/>
    <x v="1"/>
    <d v="2017-06-28T00:00:00"/>
  </r>
  <r>
    <x v="0"/>
    <x v="1"/>
    <n v="172"/>
    <n v="2017"/>
    <x v="0"/>
    <n v="28"/>
    <n v="10"/>
    <n v="1"/>
    <n v="5"/>
    <n v="3"/>
    <n v="0"/>
    <n v="0"/>
    <s v="BB"/>
    <s v="ITA"/>
    <s v="Online TA"/>
    <x v="0"/>
    <n v="0"/>
    <n v="0"/>
    <n v="0"/>
    <s v="D"/>
    <s v="D"/>
    <n v="0"/>
    <s v="No Deposit"/>
    <n v="9"/>
    <m/>
    <n v="0"/>
    <x v="0"/>
    <x v="220"/>
    <n v="0"/>
    <n v="2"/>
    <x v="1"/>
    <d v="2017-07-16T00:00:00"/>
  </r>
  <r>
    <x v="1"/>
    <x v="0"/>
    <n v="54"/>
    <n v="2017"/>
    <x v="9"/>
    <n v="8"/>
    <n v="25"/>
    <n v="2"/>
    <n v="1"/>
    <n v="2"/>
    <n v="0"/>
    <n v="0"/>
    <s v="BB"/>
    <s v="PRT"/>
    <s v="Online TA"/>
    <x v="0"/>
    <n v="0"/>
    <n v="0"/>
    <n v="0"/>
    <s v="A"/>
    <s v="A"/>
    <n v="0"/>
    <s v="No Deposit"/>
    <n v="240"/>
    <m/>
    <n v="0"/>
    <x v="0"/>
    <x v="21"/>
    <n v="0"/>
    <n v="1"/>
    <x v="0"/>
    <d v="2017-01-09T00:00:00"/>
  </r>
  <r>
    <x v="0"/>
    <x v="0"/>
    <n v="27"/>
    <n v="2017"/>
    <x v="10"/>
    <n v="23"/>
    <n v="6"/>
    <n v="0"/>
    <n v="1"/>
    <n v="2"/>
    <n v="0"/>
    <n v="0"/>
    <s v="BB"/>
    <s v="BEL"/>
    <s v="Online TA"/>
    <x v="0"/>
    <n v="0"/>
    <n v="0"/>
    <n v="0"/>
    <s v="D"/>
    <s v="D"/>
    <n v="4"/>
    <s v="No Deposit"/>
    <n v="9"/>
    <m/>
    <n v="0"/>
    <x v="0"/>
    <x v="395"/>
    <n v="0"/>
    <n v="2"/>
    <x v="0"/>
    <d v="2017-05-17T00:00:00"/>
  </r>
  <r>
    <x v="0"/>
    <x v="1"/>
    <n v="46"/>
    <n v="2017"/>
    <x v="6"/>
    <n v="10"/>
    <n v="7"/>
    <n v="0"/>
    <n v="3"/>
    <n v="2"/>
    <n v="0"/>
    <n v="0"/>
    <s v="BB"/>
    <s v="CHE"/>
    <s v="Direct"/>
    <x v="2"/>
    <n v="0"/>
    <n v="0"/>
    <n v="0"/>
    <s v="A"/>
    <s v="A"/>
    <n v="1"/>
    <s v="No Deposit"/>
    <n v="14"/>
    <m/>
    <n v="0"/>
    <x v="0"/>
    <x v="54"/>
    <n v="0"/>
    <n v="1"/>
    <x v="1"/>
    <d v="2017-03-10T00:00:00"/>
  </r>
  <r>
    <x v="0"/>
    <x v="1"/>
    <n v="169"/>
    <n v="2017"/>
    <x v="0"/>
    <n v="27"/>
    <n v="2"/>
    <n v="1"/>
    <n v="0"/>
    <n v="2"/>
    <n v="0"/>
    <n v="0"/>
    <s v="BB"/>
    <s v="HUN"/>
    <s v="Online TA"/>
    <x v="0"/>
    <n v="0"/>
    <n v="0"/>
    <n v="0"/>
    <s v="A"/>
    <s v="A"/>
    <n v="0"/>
    <s v="No Deposit"/>
    <n v="9"/>
    <m/>
    <n v="0"/>
    <x v="0"/>
    <x v="321"/>
    <n v="0"/>
    <n v="0"/>
    <x v="1"/>
    <d v="2017-07-03T00:00:00"/>
  </r>
  <r>
    <x v="0"/>
    <x v="0"/>
    <n v="70"/>
    <n v="2017"/>
    <x v="0"/>
    <n v="31"/>
    <n v="31"/>
    <n v="1"/>
    <n v="2"/>
    <n v="3"/>
    <n v="0"/>
    <n v="0"/>
    <s v="BB"/>
    <s v="QAT"/>
    <s v="Online TA"/>
    <x v="0"/>
    <n v="0"/>
    <n v="0"/>
    <n v="0"/>
    <s v="E"/>
    <s v="E"/>
    <n v="0"/>
    <s v="No Deposit"/>
    <n v="9"/>
    <m/>
    <n v="0"/>
    <x v="0"/>
    <x v="363"/>
    <n v="0"/>
    <n v="1"/>
    <x v="0"/>
    <d v="2017-05-23T00:00:00"/>
  </r>
  <r>
    <x v="0"/>
    <x v="1"/>
    <n v="395"/>
    <n v="2017"/>
    <x v="7"/>
    <n v="20"/>
    <n v="17"/>
    <n v="0"/>
    <n v="3"/>
    <n v="2"/>
    <n v="0"/>
    <n v="0"/>
    <s v="BB"/>
    <s v="AUS"/>
    <s v="Offline TA/TO"/>
    <x v="0"/>
    <n v="0"/>
    <n v="0"/>
    <n v="0"/>
    <s v="A"/>
    <s v="A"/>
    <n v="0"/>
    <s v="No Deposit"/>
    <n v="229"/>
    <m/>
    <n v="0"/>
    <x v="1"/>
    <x v="351"/>
    <n v="0"/>
    <n v="1"/>
    <x v="1"/>
    <d v="2017-05-20T00:00:00"/>
  </r>
  <r>
    <x v="0"/>
    <x v="0"/>
    <n v="59"/>
    <n v="2017"/>
    <x v="7"/>
    <n v="22"/>
    <n v="29"/>
    <n v="1"/>
    <n v="0"/>
    <n v="2"/>
    <n v="0"/>
    <n v="0"/>
    <s v="BB"/>
    <s v="PRT"/>
    <s v="Groups"/>
    <x v="0"/>
    <n v="0"/>
    <n v="0"/>
    <n v="0"/>
    <s v="A"/>
    <s v="A"/>
    <n v="0"/>
    <s v="Non Refund"/>
    <n v="87"/>
    <m/>
    <n v="0"/>
    <x v="0"/>
    <x v="5"/>
    <n v="0"/>
    <n v="0"/>
    <x v="0"/>
    <d v="2017-05-11T00:00:00"/>
  </r>
  <r>
    <x v="0"/>
    <x v="1"/>
    <n v="176"/>
    <n v="2017"/>
    <x v="7"/>
    <n v="20"/>
    <n v="15"/>
    <n v="1"/>
    <n v="2"/>
    <n v="2"/>
    <n v="0"/>
    <n v="0"/>
    <s v="BB"/>
    <s v="BEL"/>
    <s v="Direct"/>
    <x v="2"/>
    <n v="0"/>
    <n v="0"/>
    <n v="0"/>
    <s v="A"/>
    <s v="A"/>
    <n v="0"/>
    <s v="No Deposit"/>
    <n v="14"/>
    <m/>
    <n v="0"/>
    <x v="0"/>
    <x v="321"/>
    <n v="0"/>
    <n v="0"/>
    <x v="1"/>
    <d v="2017-05-18T00:00:00"/>
  </r>
  <r>
    <x v="0"/>
    <x v="0"/>
    <n v="93"/>
    <n v="2017"/>
    <x v="10"/>
    <n v="25"/>
    <n v="22"/>
    <n v="2"/>
    <n v="3"/>
    <n v="2"/>
    <n v="0"/>
    <n v="0"/>
    <s v="BB"/>
    <s v="PRT"/>
    <s v="Offline TA/TO"/>
    <x v="0"/>
    <n v="0"/>
    <n v="0"/>
    <n v="0"/>
    <s v="A"/>
    <s v="A"/>
    <n v="0"/>
    <s v="No Deposit"/>
    <n v="132"/>
    <m/>
    <n v="0"/>
    <x v="1"/>
    <x v="188"/>
    <n v="0"/>
    <n v="0"/>
    <x v="0"/>
    <d v="2017-06-05T00:00:00"/>
  </r>
  <r>
    <x v="0"/>
    <x v="0"/>
    <n v="56"/>
    <n v="2017"/>
    <x v="6"/>
    <n v="12"/>
    <n v="21"/>
    <n v="0"/>
    <n v="3"/>
    <n v="2"/>
    <n v="0"/>
    <n v="0"/>
    <s v="BB"/>
    <s v="PRT"/>
    <s v="Offline TA/TO"/>
    <x v="0"/>
    <n v="0"/>
    <n v="0"/>
    <n v="0"/>
    <s v="A"/>
    <s v="A"/>
    <n v="0"/>
    <s v="Non Refund"/>
    <n v="86"/>
    <m/>
    <n v="0"/>
    <x v="0"/>
    <x v="89"/>
    <n v="0"/>
    <n v="0"/>
    <x v="0"/>
    <d v="2017-01-24T00:00:00"/>
  </r>
  <r>
    <x v="1"/>
    <x v="1"/>
    <n v="244"/>
    <n v="2017"/>
    <x v="10"/>
    <n v="25"/>
    <n v="20"/>
    <n v="4"/>
    <n v="10"/>
    <n v="2"/>
    <n v="0"/>
    <n v="0"/>
    <s v="BB"/>
    <s v="GBR"/>
    <s v="Offline TA/TO"/>
    <x v="0"/>
    <n v="0"/>
    <n v="0"/>
    <n v="0"/>
    <s v="D"/>
    <s v="D"/>
    <n v="0"/>
    <s v="No Deposit"/>
    <n v="40"/>
    <m/>
    <n v="0"/>
    <x v="2"/>
    <x v="412"/>
    <n v="0"/>
    <n v="1"/>
    <x v="1"/>
    <d v="2017-07-04T00:00:00"/>
  </r>
  <r>
    <x v="1"/>
    <x v="1"/>
    <n v="251"/>
    <n v="2017"/>
    <x v="10"/>
    <n v="26"/>
    <n v="26"/>
    <n v="1"/>
    <n v="3"/>
    <n v="2"/>
    <n v="0"/>
    <n v="0"/>
    <s v="HB"/>
    <s v="CN"/>
    <s v="Groups"/>
    <x v="0"/>
    <n v="0"/>
    <n v="0"/>
    <n v="0"/>
    <s v="D"/>
    <s v="F"/>
    <n v="0"/>
    <s v="No Deposit"/>
    <n v="96"/>
    <m/>
    <n v="0"/>
    <x v="1"/>
    <x v="63"/>
    <n v="0"/>
    <n v="1"/>
    <x v="1"/>
    <d v="2017-06-30T00:00:00"/>
  </r>
  <r>
    <x v="0"/>
    <x v="1"/>
    <n v="10"/>
    <n v="2017"/>
    <x v="9"/>
    <n v="6"/>
    <n v="8"/>
    <n v="0"/>
    <n v="2"/>
    <n v="2"/>
    <n v="0"/>
    <n v="0"/>
    <s v="BB"/>
    <s v="GBR"/>
    <s v="Online TA"/>
    <x v="0"/>
    <n v="0"/>
    <n v="0"/>
    <n v="0"/>
    <s v="A"/>
    <s v="A"/>
    <n v="0"/>
    <s v="No Deposit"/>
    <n v="7"/>
    <m/>
    <n v="0"/>
    <x v="0"/>
    <x v="97"/>
    <n v="0"/>
    <n v="0"/>
    <x v="1"/>
    <d v="2017-02-10T00:00:00"/>
  </r>
  <r>
    <x v="0"/>
    <x v="0"/>
    <n v="125"/>
    <n v="2017"/>
    <x v="10"/>
    <n v="24"/>
    <n v="15"/>
    <n v="2"/>
    <n v="3"/>
    <n v="2"/>
    <n v="0"/>
    <n v="0"/>
    <s v="BB"/>
    <s v="IRL"/>
    <s v="Online TA"/>
    <x v="0"/>
    <n v="0"/>
    <n v="0"/>
    <n v="0"/>
    <s v="A"/>
    <s v="A"/>
    <n v="0"/>
    <s v="No Deposit"/>
    <n v="9"/>
    <m/>
    <n v="0"/>
    <x v="0"/>
    <x v="413"/>
    <n v="0"/>
    <n v="0"/>
    <x v="0"/>
    <d v="2017-02-15T00:00:00"/>
  </r>
  <r>
    <x v="1"/>
    <x v="1"/>
    <n v="112"/>
    <n v="2017"/>
    <x v="6"/>
    <n v="11"/>
    <n v="15"/>
    <n v="0"/>
    <n v="3"/>
    <n v="1"/>
    <n v="0"/>
    <n v="0"/>
    <s v="BB"/>
    <s v="BRA"/>
    <s v="Corporate"/>
    <x v="1"/>
    <n v="0"/>
    <n v="0"/>
    <n v="0"/>
    <s v="A"/>
    <s v="A"/>
    <n v="0"/>
    <s v="No Deposit"/>
    <m/>
    <n v="477"/>
    <n v="0"/>
    <x v="1"/>
    <x v="78"/>
    <n v="0"/>
    <n v="0"/>
    <x v="1"/>
    <d v="2017-03-18T00:00:00"/>
  </r>
  <r>
    <x v="0"/>
    <x v="0"/>
    <n v="82"/>
    <n v="2017"/>
    <x v="7"/>
    <n v="18"/>
    <n v="3"/>
    <n v="0"/>
    <n v="3"/>
    <n v="2"/>
    <n v="0"/>
    <n v="0"/>
    <s v="SC"/>
    <s v="USA"/>
    <s v="Online TA"/>
    <x v="0"/>
    <n v="0"/>
    <n v="0"/>
    <n v="0"/>
    <s v="A"/>
    <s v="A"/>
    <n v="0"/>
    <s v="No Deposit"/>
    <n v="9"/>
    <m/>
    <n v="0"/>
    <x v="0"/>
    <x v="63"/>
    <n v="0"/>
    <n v="0"/>
    <x v="0"/>
    <d v="2017-04-19T00:00:00"/>
  </r>
  <r>
    <x v="0"/>
    <x v="1"/>
    <n v="40"/>
    <n v="2017"/>
    <x v="0"/>
    <n v="31"/>
    <n v="31"/>
    <n v="1"/>
    <n v="0"/>
    <n v="2"/>
    <n v="0"/>
    <n v="0"/>
    <s v="SC"/>
    <s v="CHE"/>
    <s v="Online TA"/>
    <x v="0"/>
    <n v="0"/>
    <n v="0"/>
    <n v="0"/>
    <s v="A"/>
    <s v="A"/>
    <n v="0"/>
    <s v="No Deposit"/>
    <n v="9"/>
    <m/>
    <n v="0"/>
    <x v="0"/>
    <x v="5"/>
    <n v="0"/>
    <n v="1"/>
    <x v="1"/>
    <d v="2017-08-01T00:00:00"/>
  </r>
  <r>
    <x v="0"/>
    <x v="1"/>
    <n v="15"/>
    <n v="2017"/>
    <x v="6"/>
    <n v="10"/>
    <n v="8"/>
    <n v="0"/>
    <n v="3"/>
    <n v="1"/>
    <n v="0"/>
    <n v="0"/>
    <s v="BB"/>
    <s v="ITA"/>
    <s v="Online TA"/>
    <x v="0"/>
    <n v="0"/>
    <n v="0"/>
    <n v="0"/>
    <s v="D"/>
    <s v="D"/>
    <n v="0"/>
    <s v="No Deposit"/>
    <n v="9"/>
    <m/>
    <n v="0"/>
    <x v="0"/>
    <x v="414"/>
    <n v="0"/>
    <n v="1"/>
    <x v="1"/>
    <d v="2017-03-11T00:00:00"/>
  </r>
  <r>
    <x v="0"/>
    <x v="1"/>
    <n v="21"/>
    <n v="2017"/>
    <x v="4"/>
    <n v="31"/>
    <n v="1"/>
    <n v="0"/>
    <n v="4"/>
    <n v="2"/>
    <n v="0"/>
    <n v="0"/>
    <s v="BB"/>
    <s v="CN"/>
    <s v="Online TA"/>
    <x v="0"/>
    <n v="0"/>
    <n v="0"/>
    <n v="0"/>
    <s v="D"/>
    <s v="D"/>
    <n v="0"/>
    <s v="No Deposit"/>
    <n v="9"/>
    <m/>
    <n v="0"/>
    <x v="0"/>
    <x v="278"/>
    <n v="0"/>
    <n v="1"/>
    <x v="1"/>
    <d v="2017-08-05T00:00:00"/>
  </r>
  <r>
    <x v="0"/>
    <x v="1"/>
    <n v="51"/>
    <n v="2017"/>
    <x v="6"/>
    <n v="10"/>
    <n v="8"/>
    <n v="0"/>
    <n v="0"/>
    <n v="0"/>
    <n v="0"/>
    <n v="0"/>
    <s v="BB"/>
    <s v="PRT"/>
    <s v="Offline TA/TO"/>
    <x v="0"/>
    <n v="0"/>
    <n v="0"/>
    <n v="0"/>
    <s v="A"/>
    <s v="D"/>
    <n v="1"/>
    <s v="No Deposit"/>
    <n v="28"/>
    <m/>
    <n v="0"/>
    <x v="0"/>
    <x v="7"/>
    <n v="0"/>
    <n v="0"/>
    <x v="1"/>
    <d v="2017-03-08T00:00:00"/>
  </r>
  <r>
    <x v="0"/>
    <x v="1"/>
    <n v="2"/>
    <n v="2017"/>
    <x v="8"/>
    <n v="3"/>
    <n v="21"/>
    <n v="2"/>
    <n v="1"/>
    <n v="1"/>
    <n v="0"/>
    <n v="0"/>
    <s v="SC"/>
    <s v="GBR"/>
    <s v="Online TA"/>
    <x v="0"/>
    <n v="0"/>
    <n v="0"/>
    <n v="0"/>
    <s v="A"/>
    <s v="A"/>
    <n v="0"/>
    <s v="No Deposit"/>
    <n v="7"/>
    <m/>
    <n v="0"/>
    <x v="0"/>
    <x v="415"/>
    <n v="0"/>
    <n v="1"/>
    <x v="1"/>
    <d v="2017-01-24T00:00:00"/>
  </r>
  <r>
    <x v="0"/>
    <x v="1"/>
    <n v="4"/>
    <n v="2017"/>
    <x v="6"/>
    <n v="12"/>
    <n v="22"/>
    <n v="0"/>
    <n v="1"/>
    <n v="1"/>
    <n v="0"/>
    <n v="0"/>
    <s v="BB"/>
    <s v="GBR"/>
    <s v="Direct"/>
    <x v="2"/>
    <n v="0"/>
    <n v="0"/>
    <n v="0"/>
    <s v="A"/>
    <s v="A"/>
    <n v="1"/>
    <s v="No Deposit"/>
    <n v="14"/>
    <m/>
    <n v="0"/>
    <x v="0"/>
    <x v="31"/>
    <n v="0"/>
    <n v="0"/>
    <x v="1"/>
    <d v="2017-03-23T00:00:00"/>
  </r>
  <r>
    <x v="0"/>
    <x v="0"/>
    <n v="4"/>
    <n v="2017"/>
    <x v="9"/>
    <n v="8"/>
    <n v="21"/>
    <n v="0"/>
    <n v="1"/>
    <n v="1"/>
    <n v="0"/>
    <n v="0"/>
    <s v="BB"/>
    <s v="PRT"/>
    <s v="Corporate"/>
    <x v="1"/>
    <n v="0"/>
    <n v="0"/>
    <n v="0"/>
    <s v="A"/>
    <s v="A"/>
    <n v="0"/>
    <s v="No Deposit"/>
    <m/>
    <m/>
    <n v="0"/>
    <x v="3"/>
    <x v="2"/>
    <n v="0"/>
    <n v="0"/>
    <x v="0"/>
    <d v="2017-02-20T00:00:00"/>
  </r>
  <r>
    <x v="0"/>
    <x v="0"/>
    <n v="59"/>
    <n v="2017"/>
    <x v="4"/>
    <n v="34"/>
    <n v="24"/>
    <n v="0"/>
    <n v="2"/>
    <n v="2"/>
    <n v="0"/>
    <n v="0"/>
    <s v="SC"/>
    <s v="ITA"/>
    <s v="Online TA"/>
    <x v="0"/>
    <n v="0"/>
    <n v="0"/>
    <n v="0"/>
    <s v="A"/>
    <s v="A"/>
    <n v="0"/>
    <s v="No Deposit"/>
    <n v="9"/>
    <m/>
    <n v="0"/>
    <x v="0"/>
    <x v="142"/>
    <n v="0"/>
    <n v="1"/>
    <x v="0"/>
    <d v="2017-06-26T00:00:00"/>
  </r>
  <r>
    <x v="1"/>
    <x v="1"/>
    <n v="140"/>
    <n v="2017"/>
    <x v="10"/>
    <n v="24"/>
    <n v="13"/>
    <n v="2"/>
    <n v="5"/>
    <n v="1"/>
    <n v="0"/>
    <n v="0"/>
    <s v="BB"/>
    <s v="IRL"/>
    <s v="Online TA"/>
    <x v="0"/>
    <n v="0"/>
    <n v="0"/>
    <n v="0"/>
    <s v="A"/>
    <s v="C"/>
    <n v="1"/>
    <s v="No Deposit"/>
    <n v="242"/>
    <m/>
    <n v="0"/>
    <x v="0"/>
    <x v="199"/>
    <n v="0"/>
    <n v="0"/>
    <x v="1"/>
    <d v="2017-06-20T00:00:00"/>
  </r>
  <r>
    <x v="0"/>
    <x v="0"/>
    <n v="98"/>
    <n v="2017"/>
    <x v="6"/>
    <n v="9"/>
    <n v="3"/>
    <n v="0"/>
    <n v="2"/>
    <n v="2"/>
    <n v="0"/>
    <n v="0"/>
    <s v="BB"/>
    <s v="FRA"/>
    <s v="Online TA"/>
    <x v="0"/>
    <n v="0"/>
    <n v="0"/>
    <n v="0"/>
    <s v="A"/>
    <s v="A"/>
    <n v="0"/>
    <s v="No Deposit"/>
    <n v="9"/>
    <m/>
    <n v="0"/>
    <x v="0"/>
    <x v="416"/>
    <n v="0"/>
    <n v="0"/>
    <x v="0"/>
    <d v="2017-01-19T00:00:00"/>
  </r>
  <r>
    <x v="0"/>
    <x v="1"/>
    <n v="42"/>
    <n v="2017"/>
    <x v="10"/>
    <n v="23"/>
    <n v="10"/>
    <n v="1"/>
    <n v="1"/>
    <n v="2"/>
    <n v="0"/>
    <n v="0"/>
    <s v="BB"/>
    <s v="CN"/>
    <s v="Online TA"/>
    <x v="0"/>
    <n v="0"/>
    <n v="0"/>
    <n v="0"/>
    <s v="A"/>
    <s v="A"/>
    <n v="0"/>
    <s v="No Deposit"/>
    <n v="9"/>
    <m/>
    <n v="0"/>
    <x v="0"/>
    <x v="58"/>
    <n v="0"/>
    <n v="1"/>
    <x v="1"/>
    <d v="2017-06-12T00:00:00"/>
  </r>
  <r>
    <x v="1"/>
    <x v="1"/>
    <n v="203"/>
    <n v="2017"/>
    <x v="7"/>
    <n v="21"/>
    <n v="25"/>
    <n v="1"/>
    <n v="3"/>
    <n v="2"/>
    <n v="0"/>
    <n v="0"/>
    <s v="BB"/>
    <s v="GBR"/>
    <s v="Groups"/>
    <x v="0"/>
    <n v="0"/>
    <n v="0"/>
    <n v="0"/>
    <s v="A"/>
    <s v="A"/>
    <n v="4"/>
    <s v="No Deposit"/>
    <m/>
    <n v="223"/>
    <n v="0"/>
    <x v="1"/>
    <x v="238"/>
    <n v="1"/>
    <n v="0"/>
    <x v="1"/>
    <d v="2017-05-29T00:00:00"/>
  </r>
  <r>
    <x v="0"/>
    <x v="0"/>
    <n v="129"/>
    <n v="2017"/>
    <x v="10"/>
    <n v="22"/>
    <n v="2"/>
    <n v="1"/>
    <n v="2"/>
    <n v="2"/>
    <n v="0"/>
    <n v="0"/>
    <s v="BB"/>
    <s v="PRT"/>
    <s v="Groups"/>
    <x v="0"/>
    <n v="0"/>
    <n v="0"/>
    <n v="0"/>
    <s v="A"/>
    <s v="A"/>
    <n v="0"/>
    <s v="Non Refund"/>
    <n v="154"/>
    <m/>
    <n v="0"/>
    <x v="0"/>
    <x v="58"/>
    <n v="0"/>
    <n v="0"/>
    <x v="0"/>
    <d v="2017-01-24T00:00:00"/>
  </r>
  <r>
    <x v="1"/>
    <x v="1"/>
    <n v="96"/>
    <n v="2017"/>
    <x v="6"/>
    <n v="11"/>
    <n v="12"/>
    <n v="4"/>
    <n v="7"/>
    <n v="2"/>
    <n v="0"/>
    <n v="0"/>
    <s v="HB"/>
    <s v="GBR"/>
    <s v="Groups"/>
    <x v="0"/>
    <n v="0"/>
    <n v="0"/>
    <n v="0"/>
    <s v="A"/>
    <s v="A"/>
    <n v="0"/>
    <s v="No Deposit"/>
    <m/>
    <m/>
    <n v="0"/>
    <x v="1"/>
    <x v="417"/>
    <n v="0"/>
    <n v="0"/>
    <x v="1"/>
    <d v="2017-03-23T00:00:00"/>
  </r>
  <r>
    <x v="1"/>
    <x v="0"/>
    <n v="172"/>
    <n v="2017"/>
    <x v="4"/>
    <n v="34"/>
    <n v="26"/>
    <n v="0"/>
    <n v="1"/>
    <n v="3"/>
    <n v="0"/>
    <n v="0"/>
    <s v="BB"/>
    <s v="PRT"/>
    <s v="Direct"/>
    <x v="2"/>
    <n v="0"/>
    <n v="0"/>
    <n v="0"/>
    <s v="A"/>
    <s v="A"/>
    <n v="0"/>
    <s v="No Deposit"/>
    <n v="250"/>
    <m/>
    <n v="0"/>
    <x v="0"/>
    <x v="418"/>
    <n v="0"/>
    <n v="0"/>
    <x v="0"/>
    <d v="2017-03-08T00:00:00"/>
  </r>
  <r>
    <x v="1"/>
    <x v="1"/>
    <n v="126"/>
    <n v="2017"/>
    <x v="7"/>
    <n v="18"/>
    <n v="2"/>
    <n v="0"/>
    <n v="2"/>
    <n v="2"/>
    <n v="0"/>
    <n v="0"/>
    <s v="BB"/>
    <s v="DEU"/>
    <s v="Offline TA/TO"/>
    <x v="0"/>
    <n v="0"/>
    <n v="0"/>
    <n v="0"/>
    <s v="E"/>
    <s v="E"/>
    <n v="0"/>
    <s v="No Deposit"/>
    <n v="6"/>
    <m/>
    <n v="0"/>
    <x v="0"/>
    <x v="136"/>
    <n v="1"/>
    <n v="0"/>
    <x v="1"/>
    <d v="2017-05-04T00:00:00"/>
  </r>
  <r>
    <x v="0"/>
    <x v="1"/>
    <n v="27"/>
    <n v="2017"/>
    <x v="0"/>
    <n v="27"/>
    <n v="2"/>
    <n v="2"/>
    <n v="0"/>
    <n v="2"/>
    <n v="2"/>
    <n v="0"/>
    <s v="BB"/>
    <s v="BRA"/>
    <s v="Online TA"/>
    <x v="0"/>
    <n v="0"/>
    <n v="0"/>
    <n v="0"/>
    <s v="F"/>
    <s v="F"/>
    <n v="2"/>
    <s v="No Deposit"/>
    <n v="9"/>
    <m/>
    <n v="0"/>
    <x v="0"/>
    <x v="419"/>
    <n v="0"/>
    <n v="0"/>
    <x v="1"/>
    <d v="2017-07-04T00:00:00"/>
  </r>
  <r>
    <x v="1"/>
    <x v="0"/>
    <n v="157"/>
    <n v="2017"/>
    <x v="4"/>
    <n v="34"/>
    <n v="22"/>
    <n v="0"/>
    <n v="4"/>
    <n v="2"/>
    <n v="0"/>
    <n v="0"/>
    <s v="BB"/>
    <s v="GBR"/>
    <s v="Direct"/>
    <x v="2"/>
    <n v="0"/>
    <n v="0"/>
    <n v="0"/>
    <s v="F"/>
    <s v="F"/>
    <n v="0"/>
    <s v="No Deposit"/>
    <n v="250"/>
    <m/>
    <n v="0"/>
    <x v="0"/>
    <x v="420"/>
    <n v="0"/>
    <n v="0"/>
    <x v="0"/>
    <d v="2017-07-05T00:00:00"/>
  </r>
  <r>
    <x v="1"/>
    <x v="1"/>
    <n v="61"/>
    <n v="2017"/>
    <x v="7"/>
    <n v="21"/>
    <n v="26"/>
    <n v="1"/>
    <n v="2"/>
    <n v="2"/>
    <n v="0"/>
    <n v="0"/>
    <s v="BB"/>
    <s v="IRL"/>
    <s v="Online TA"/>
    <x v="0"/>
    <n v="0"/>
    <n v="0"/>
    <n v="0"/>
    <s v="A"/>
    <s v="B"/>
    <n v="0"/>
    <s v="No Deposit"/>
    <n v="241"/>
    <m/>
    <n v="0"/>
    <x v="0"/>
    <x v="48"/>
    <n v="0"/>
    <n v="1"/>
    <x v="1"/>
    <d v="2017-05-29T00:00:00"/>
  </r>
  <r>
    <x v="0"/>
    <x v="1"/>
    <n v="39"/>
    <n v="2017"/>
    <x v="10"/>
    <n v="23"/>
    <n v="9"/>
    <n v="0"/>
    <n v="2"/>
    <n v="3"/>
    <n v="0"/>
    <n v="0"/>
    <s v="BB"/>
    <s v="ESP"/>
    <s v="Online TA"/>
    <x v="0"/>
    <n v="0"/>
    <n v="0"/>
    <n v="0"/>
    <s v="E"/>
    <s v="E"/>
    <n v="0"/>
    <s v="No Deposit"/>
    <n v="9"/>
    <m/>
    <n v="0"/>
    <x v="0"/>
    <x v="421"/>
    <n v="0"/>
    <n v="1"/>
    <x v="1"/>
    <d v="2017-06-11T00:00:00"/>
  </r>
  <r>
    <x v="1"/>
    <x v="1"/>
    <n v="26"/>
    <n v="2017"/>
    <x v="11"/>
    <n v="16"/>
    <n v="17"/>
    <n v="1"/>
    <n v="0"/>
    <n v="1"/>
    <n v="0"/>
    <n v="0"/>
    <s v="BB"/>
    <s v="PRT"/>
    <s v="Corporate"/>
    <x v="1"/>
    <n v="0"/>
    <n v="1"/>
    <n v="8"/>
    <s v="A"/>
    <s v="A"/>
    <n v="0"/>
    <s v="No Deposit"/>
    <m/>
    <n v="82"/>
    <n v="0"/>
    <x v="0"/>
    <x v="52"/>
    <n v="0"/>
    <n v="0"/>
    <x v="1"/>
    <d v="2017-04-18T00:00:00"/>
  </r>
  <r>
    <x v="0"/>
    <x v="0"/>
    <n v="82"/>
    <n v="2017"/>
    <x v="7"/>
    <n v="19"/>
    <n v="8"/>
    <n v="1"/>
    <n v="5"/>
    <n v="2"/>
    <n v="0"/>
    <n v="0"/>
    <s v="BB"/>
    <s v="DEU"/>
    <s v="Online TA"/>
    <x v="0"/>
    <n v="0"/>
    <n v="0"/>
    <n v="0"/>
    <s v="D"/>
    <s v="D"/>
    <n v="0"/>
    <s v="No Deposit"/>
    <n v="9"/>
    <m/>
    <n v="0"/>
    <x v="0"/>
    <x v="422"/>
    <n v="0"/>
    <n v="0"/>
    <x v="0"/>
    <d v="2017-02-15T00:00:00"/>
  </r>
  <r>
    <x v="0"/>
    <x v="1"/>
    <n v="84"/>
    <n v="2017"/>
    <x v="6"/>
    <n v="12"/>
    <n v="25"/>
    <n v="2"/>
    <n v="2"/>
    <n v="2"/>
    <n v="0"/>
    <n v="0"/>
    <s v="BB"/>
    <s v="FRA"/>
    <s v="Online TA"/>
    <x v="0"/>
    <n v="0"/>
    <n v="0"/>
    <n v="0"/>
    <s v="D"/>
    <s v="D"/>
    <n v="0"/>
    <s v="No Deposit"/>
    <n v="9"/>
    <m/>
    <n v="0"/>
    <x v="0"/>
    <x v="370"/>
    <n v="0"/>
    <n v="1"/>
    <x v="1"/>
    <d v="2017-03-29T00:00:00"/>
  </r>
  <r>
    <x v="0"/>
    <x v="1"/>
    <n v="67"/>
    <n v="2017"/>
    <x v="7"/>
    <n v="18"/>
    <n v="2"/>
    <n v="0"/>
    <n v="3"/>
    <n v="2"/>
    <n v="0"/>
    <n v="0"/>
    <s v="BB"/>
    <s v="NOR"/>
    <s v="Groups"/>
    <x v="1"/>
    <n v="0"/>
    <n v="0"/>
    <n v="0"/>
    <s v="A"/>
    <s v="A"/>
    <n v="0"/>
    <s v="No Deposit"/>
    <m/>
    <n v="409"/>
    <n v="0"/>
    <x v="1"/>
    <x v="169"/>
    <n v="0"/>
    <n v="0"/>
    <x v="1"/>
    <d v="2017-05-05T00:00:00"/>
  </r>
  <r>
    <x v="0"/>
    <x v="1"/>
    <n v="39"/>
    <n v="2017"/>
    <x v="10"/>
    <n v="23"/>
    <n v="9"/>
    <n v="0"/>
    <n v="2"/>
    <n v="2"/>
    <n v="0"/>
    <n v="0"/>
    <s v="SC"/>
    <s v="NLD"/>
    <s v="Offline TA/TO"/>
    <x v="0"/>
    <n v="0"/>
    <n v="0"/>
    <n v="0"/>
    <s v="A"/>
    <s v="A"/>
    <n v="0"/>
    <s v="No Deposit"/>
    <n v="28"/>
    <m/>
    <n v="0"/>
    <x v="0"/>
    <x v="138"/>
    <n v="0"/>
    <n v="0"/>
    <x v="1"/>
    <d v="2017-06-11T00:00:00"/>
  </r>
  <r>
    <x v="0"/>
    <x v="0"/>
    <n v="32"/>
    <n v="2017"/>
    <x v="10"/>
    <n v="26"/>
    <n v="28"/>
    <n v="0"/>
    <n v="3"/>
    <n v="3"/>
    <n v="0"/>
    <n v="0"/>
    <s v="BB"/>
    <s v="IRL"/>
    <s v="Online TA"/>
    <x v="0"/>
    <n v="0"/>
    <n v="0"/>
    <n v="0"/>
    <s v="D"/>
    <s v="D"/>
    <n v="0"/>
    <s v="No Deposit"/>
    <n v="9"/>
    <m/>
    <n v="0"/>
    <x v="0"/>
    <x v="423"/>
    <n v="0"/>
    <n v="0"/>
    <x v="0"/>
    <d v="2017-05-27T00:00:00"/>
  </r>
  <r>
    <x v="1"/>
    <x v="1"/>
    <n v="7"/>
    <n v="2017"/>
    <x v="6"/>
    <n v="9"/>
    <n v="2"/>
    <n v="1"/>
    <n v="3"/>
    <n v="2"/>
    <n v="0"/>
    <n v="0"/>
    <s v="BB"/>
    <s v="GBR"/>
    <s v="Groups"/>
    <x v="1"/>
    <n v="0"/>
    <n v="0"/>
    <n v="0"/>
    <s v="D"/>
    <s v="D"/>
    <n v="0"/>
    <s v="No Deposit"/>
    <m/>
    <n v="223"/>
    <n v="0"/>
    <x v="1"/>
    <x v="35"/>
    <n v="0"/>
    <n v="0"/>
    <x v="1"/>
    <d v="2017-03-06T00:00:00"/>
  </r>
  <r>
    <x v="1"/>
    <x v="1"/>
    <n v="96"/>
    <n v="2017"/>
    <x v="6"/>
    <n v="12"/>
    <n v="19"/>
    <n v="2"/>
    <n v="5"/>
    <n v="2"/>
    <n v="0"/>
    <n v="0"/>
    <s v="BB"/>
    <s v="DEU"/>
    <s v="Groups"/>
    <x v="0"/>
    <n v="0"/>
    <n v="0"/>
    <n v="0"/>
    <s v="A"/>
    <s v="A"/>
    <n v="1"/>
    <s v="No Deposit"/>
    <n v="177"/>
    <m/>
    <n v="0"/>
    <x v="1"/>
    <x v="424"/>
    <n v="0"/>
    <n v="0"/>
    <x v="1"/>
    <d v="2017-03-26T00:00:00"/>
  </r>
  <r>
    <x v="1"/>
    <x v="1"/>
    <n v="317"/>
    <n v="2017"/>
    <x v="11"/>
    <n v="17"/>
    <n v="23"/>
    <n v="2"/>
    <n v="5"/>
    <n v="2"/>
    <n v="0"/>
    <n v="0"/>
    <s v="HB"/>
    <s v="GBR"/>
    <s v="Groups"/>
    <x v="0"/>
    <n v="0"/>
    <n v="0"/>
    <n v="0"/>
    <s v="D"/>
    <s v="D"/>
    <n v="1"/>
    <s v="No Deposit"/>
    <n v="273"/>
    <m/>
    <n v="64"/>
    <x v="1"/>
    <x v="425"/>
    <n v="0"/>
    <n v="0"/>
    <x v="1"/>
    <d v="2017-04-30T00:00:00"/>
  </r>
  <r>
    <x v="0"/>
    <x v="1"/>
    <n v="176"/>
    <n v="2017"/>
    <x v="6"/>
    <n v="10"/>
    <n v="9"/>
    <n v="0"/>
    <n v="3"/>
    <n v="2"/>
    <n v="0"/>
    <n v="0"/>
    <s v="BB"/>
    <s v="FRA"/>
    <s v="Offline TA/TO"/>
    <x v="0"/>
    <n v="0"/>
    <n v="0"/>
    <n v="0"/>
    <s v="A"/>
    <s v="D"/>
    <n v="0"/>
    <s v="No Deposit"/>
    <n v="28"/>
    <m/>
    <n v="0"/>
    <x v="0"/>
    <x v="45"/>
    <n v="0"/>
    <n v="0"/>
    <x v="1"/>
    <d v="2017-03-12T00:00:00"/>
  </r>
  <r>
    <x v="0"/>
    <x v="1"/>
    <n v="6"/>
    <n v="2017"/>
    <x v="10"/>
    <n v="24"/>
    <n v="13"/>
    <n v="0"/>
    <n v="2"/>
    <n v="2"/>
    <n v="0"/>
    <n v="0"/>
    <s v="BB"/>
    <s v="LUX"/>
    <s v="Online TA"/>
    <x v="0"/>
    <n v="0"/>
    <n v="0"/>
    <n v="0"/>
    <s v="A"/>
    <s v="A"/>
    <n v="0"/>
    <s v="No Deposit"/>
    <n v="85"/>
    <m/>
    <n v="0"/>
    <x v="0"/>
    <x v="188"/>
    <n v="0"/>
    <n v="0"/>
    <x v="1"/>
    <d v="2017-06-15T00:00:00"/>
  </r>
  <r>
    <x v="0"/>
    <x v="1"/>
    <n v="221"/>
    <n v="2017"/>
    <x v="10"/>
    <n v="25"/>
    <n v="23"/>
    <n v="0"/>
    <n v="2"/>
    <n v="2"/>
    <n v="0"/>
    <n v="0"/>
    <s v="BB"/>
    <s v="PRT"/>
    <s v="Offline TA/TO"/>
    <x v="0"/>
    <n v="0"/>
    <n v="0"/>
    <n v="0"/>
    <s v="A"/>
    <s v="A"/>
    <n v="0"/>
    <s v="No Deposit"/>
    <n v="138"/>
    <m/>
    <n v="0"/>
    <x v="0"/>
    <x v="277"/>
    <n v="0"/>
    <n v="2"/>
    <x v="1"/>
    <d v="2017-06-25T00:00:00"/>
  </r>
  <r>
    <x v="0"/>
    <x v="1"/>
    <n v="104"/>
    <n v="2017"/>
    <x v="6"/>
    <n v="12"/>
    <n v="19"/>
    <n v="2"/>
    <n v="5"/>
    <n v="2"/>
    <n v="0"/>
    <n v="0"/>
    <s v="BB"/>
    <s v="PRT"/>
    <s v="Offline TA/TO"/>
    <x v="0"/>
    <n v="0"/>
    <n v="0"/>
    <n v="0"/>
    <s v="A"/>
    <s v="A"/>
    <n v="0"/>
    <s v="No Deposit"/>
    <n v="20"/>
    <m/>
    <n v="0"/>
    <x v="1"/>
    <x v="45"/>
    <n v="0"/>
    <n v="1"/>
    <x v="1"/>
    <d v="2017-03-26T00:00:00"/>
  </r>
  <r>
    <x v="0"/>
    <x v="0"/>
    <n v="56"/>
    <n v="2017"/>
    <x v="9"/>
    <n v="5"/>
    <n v="1"/>
    <n v="0"/>
    <n v="3"/>
    <n v="2"/>
    <n v="0"/>
    <n v="0"/>
    <s v="BB"/>
    <s v="PRT"/>
    <s v="Groups"/>
    <x v="0"/>
    <n v="0"/>
    <n v="0"/>
    <n v="0"/>
    <s v="A"/>
    <s v="A"/>
    <n v="0"/>
    <s v="Non Refund"/>
    <n v="29"/>
    <m/>
    <n v="0"/>
    <x v="0"/>
    <x v="4"/>
    <n v="0"/>
    <n v="0"/>
    <x v="0"/>
    <d v="2016-12-07T00:00:00"/>
  </r>
  <r>
    <x v="0"/>
    <x v="1"/>
    <n v="9"/>
    <n v="2017"/>
    <x v="0"/>
    <n v="28"/>
    <n v="14"/>
    <n v="0"/>
    <n v="2"/>
    <n v="2"/>
    <n v="0"/>
    <n v="0"/>
    <s v="BB"/>
    <s v="NLD"/>
    <s v="Online TA"/>
    <x v="0"/>
    <n v="0"/>
    <n v="0"/>
    <n v="0"/>
    <s v="D"/>
    <s v="D"/>
    <n v="0"/>
    <s v="No Deposit"/>
    <n v="9"/>
    <m/>
    <n v="0"/>
    <x v="0"/>
    <x v="180"/>
    <n v="0"/>
    <n v="1"/>
    <x v="1"/>
    <d v="2017-07-16T00:00:00"/>
  </r>
  <r>
    <x v="0"/>
    <x v="1"/>
    <n v="14"/>
    <n v="2017"/>
    <x v="9"/>
    <n v="7"/>
    <n v="13"/>
    <n v="1"/>
    <n v="0"/>
    <n v="3"/>
    <n v="0"/>
    <n v="0"/>
    <s v="BB"/>
    <s v="KOR"/>
    <s v="Direct"/>
    <x v="2"/>
    <n v="0"/>
    <n v="0"/>
    <n v="0"/>
    <s v="A"/>
    <s v="D"/>
    <n v="2"/>
    <s v="No Deposit"/>
    <n v="14"/>
    <m/>
    <n v="0"/>
    <x v="0"/>
    <x v="54"/>
    <n v="0"/>
    <n v="1"/>
    <x v="1"/>
    <d v="2017-02-14T00:00:00"/>
  </r>
  <r>
    <x v="0"/>
    <x v="1"/>
    <n v="0"/>
    <n v="2017"/>
    <x v="6"/>
    <n v="11"/>
    <n v="14"/>
    <n v="0"/>
    <n v="1"/>
    <n v="2"/>
    <n v="0"/>
    <n v="0"/>
    <s v="BB"/>
    <s v="PRT"/>
    <s v="Offline TA/TO"/>
    <x v="0"/>
    <n v="0"/>
    <n v="0"/>
    <n v="0"/>
    <s v="F"/>
    <s v="F"/>
    <n v="0"/>
    <s v="No Deposit"/>
    <n v="28"/>
    <m/>
    <n v="0"/>
    <x v="0"/>
    <x v="9"/>
    <n v="0"/>
    <n v="0"/>
    <x v="1"/>
    <d v="2017-03-15T00:00:00"/>
  </r>
  <r>
    <x v="1"/>
    <x v="0"/>
    <n v="31"/>
    <n v="2017"/>
    <x v="4"/>
    <n v="34"/>
    <n v="25"/>
    <n v="2"/>
    <n v="2"/>
    <n v="2"/>
    <n v="0"/>
    <n v="0"/>
    <s v="BB"/>
    <s v="GIB"/>
    <s v="Online TA"/>
    <x v="0"/>
    <n v="0"/>
    <n v="0"/>
    <n v="0"/>
    <s v="E"/>
    <s v="E"/>
    <n v="1"/>
    <s v="No Deposit"/>
    <n v="240"/>
    <m/>
    <n v="0"/>
    <x v="0"/>
    <x v="419"/>
    <n v="0"/>
    <n v="2"/>
    <x v="0"/>
    <d v="2017-08-13T00:00:00"/>
  </r>
  <r>
    <x v="1"/>
    <x v="1"/>
    <n v="89"/>
    <n v="2017"/>
    <x v="11"/>
    <n v="15"/>
    <n v="14"/>
    <n v="0"/>
    <n v="2"/>
    <n v="3"/>
    <n v="0"/>
    <n v="0"/>
    <s v="BB"/>
    <s v="PRT"/>
    <s v="Online TA"/>
    <x v="0"/>
    <n v="0"/>
    <n v="0"/>
    <n v="0"/>
    <s v="E"/>
    <s v="E"/>
    <n v="1"/>
    <s v="No Deposit"/>
    <n v="240"/>
    <m/>
    <n v="0"/>
    <x v="1"/>
    <x v="51"/>
    <n v="0"/>
    <n v="3"/>
    <x v="1"/>
    <d v="2017-04-16T00:00:00"/>
  </r>
  <r>
    <x v="0"/>
    <x v="0"/>
    <n v="88"/>
    <n v="2017"/>
    <x v="7"/>
    <n v="20"/>
    <n v="17"/>
    <n v="0"/>
    <n v="3"/>
    <n v="2"/>
    <n v="0"/>
    <n v="0"/>
    <s v="SC"/>
    <s v="ITA"/>
    <s v="Online TA"/>
    <x v="0"/>
    <n v="0"/>
    <n v="0"/>
    <n v="0"/>
    <s v="A"/>
    <s v="A"/>
    <n v="0"/>
    <s v="No Deposit"/>
    <n v="9"/>
    <m/>
    <n v="0"/>
    <x v="0"/>
    <x v="352"/>
    <n v="0"/>
    <n v="0"/>
    <x v="0"/>
    <d v="2017-02-18T00:00:00"/>
  </r>
  <r>
    <x v="0"/>
    <x v="1"/>
    <n v="225"/>
    <n v="2017"/>
    <x v="10"/>
    <n v="26"/>
    <n v="29"/>
    <n v="0"/>
    <n v="3"/>
    <n v="2"/>
    <n v="0"/>
    <n v="0"/>
    <s v="SC"/>
    <s v="GBR"/>
    <s v="Online TA"/>
    <x v="0"/>
    <n v="0"/>
    <n v="0"/>
    <n v="0"/>
    <s v="A"/>
    <s v="A"/>
    <n v="0"/>
    <s v="No Deposit"/>
    <n v="9"/>
    <m/>
    <n v="0"/>
    <x v="0"/>
    <x v="426"/>
    <n v="0"/>
    <n v="3"/>
    <x v="1"/>
    <d v="2017-07-02T00:00:00"/>
  </r>
  <r>
    <x v="1"/>
    <x v="1"/>
    <n v="0"/>
    <n v="2017"/>
    <x v="9"/>
    <n v="9"/>
    <n v="27"/>
    <n v="1"/>
    <n v="1"/>
    <n v="2"/>
    <n v="0"/>
    <n v="0"/>
    <s v="BB"/>
    <s v="PRT"/>
    <s v="Direct"/>
    <x v="2"/>
    <n v="0"/>
    <n v="0"/>
    <n v="0"/>
    <s v="D"/>
    <s v="D"/>
    <n v="0"/>
    <s v="No Deposit"/>
    <m/>
    <m/>
    <n v="0"/>
    <x v="1"/>
    <x v="6"/>
    <n v="1"/>
    <n v="0"/>
    <x v="1"/>
    <d v="2017-03-01T00:00:00"/>
  </r>
  <r>
    <x v="0"/>
    <x v="0"/>
    <n v="96"/>
    <n v="2017"/>
    <x v="7"/>
    <n v="19"/>
    <n v="11"/>
    <n v="0"/>
    <n v="3"/>
    <n v="2"/>
    <n v="0"/>
    <n v="0"/>
    <s v="BB"/>
    <s v="IRL"/>
    <s v="Online TA"/>
    <x v="0"/>
    <n v="0"/>
    <n v="0"/>
    <n v="0"/>
    <s v="D"/>
    <s v="D"/>
    <n v="0"/>
    <s v="No Deposit"/>
    <n v="9"/>
    <m/>
    <n v="0"/>
    <x v="0"/>
    <x v="230"/>
    <n v="0"/>
    <n v="0"/>
    <x v="0"/>
    <d v="2017-02-15T00:00:00"/>
  </r>
  <r>
    <x v="0"/>
    <x v="1"/>
    <n v="32"/>
    <n v="2017"/>
    <x v="9"/>
    <n v="9"/>
    <n v="26"/>
    <n v="2"/>
    <n v="2"/>
    <n v="2"/>
    <n v="0"/>
    <n v="0"/>
    <s v="SC"/>
    <s v="BEL"/>
    <s v="Online TA"/>
    <x v="0"/>
    <n v="0"/>
    <n v="0"/>
    <n v="0"/>
    <s v="A"/>
    <s v="A"/>
    <n v="0"/>
    <s v="No Deposit"/>
    <n v="9"/>
    <m/>
    <n v="0"/>
    <x v="0"/>
    <x v="171"/>
    <n v="0"/>
    <n v="2"/>
    <x v="1"/>
    <d v="2017-03-02T00:00:00"/>
  </r>
  <r>
    <x v="0"/>
    <x v="1"/>
    <n v="6"/>
    <n v="2017"/>
    <x v="9"/>
    <n v="5"/>
    <n v="4"/>
    <n v="2"/>
    <n v="3"/>
    <n v="2"/>
    <n v="0"/>
    <n v="0"/>
    <s v="BB"/>
    <s v="FRA"/>
    <s v="Online TA"/>
    <x v="0"/>
    <n v="0"/>
    <n v="0"/>
    <n v="0"/>
    <s v="D"/>
    <s v="D"/>
    <n v="0"/>
    <s v="No Deposit"/>
    <n v="9"/>
    <m/>
    <n v="0"/>
    <x v="0"/>
    <x v="370"/>
    <n v="0"/>
    <n v="3"/>
    <x v="1"/>
    <d v="2017-02-09T00:00:00"/>
  </r>
  <r>
    <x v="0"/>
    <x v="0"/>
    <n v="396"/>
    <n v="2017"/>
    <x v="11"/>
    <n v="17"/>
    <n v="25"/>
    <n v="0"/>
    <n v="1"/>
    <n v="2"/>
    <n v="0"/>
    <n v="0"/>
    <s v="BB"/>
    <s v="PRT"/>
    <s v="Offline TA/TO"/>
    <x v="0"/>
    <n v="0"/>
    <n v="0"/>
    <n v="0"/>
    <s v="A"/>
    <s v="A"/>
    <n v="0"/>
    <s v="Non Refund"/>
    <n v="229"/>
    <m/>
    <n v="0"/>
    <x v="0"/>
    <x v="13"/>
    <n v="0"/>
    <n v="0"/>
    <x v="0"/>
    <d v="2016-04-17T00:00:00"/>
  </r>
  <r>
    <x v="0"/>
    <x v="0"/>
    <n v="4"/>
    <n v="2017"/>
    <x v="9"/>
    <n v="8"/>
    <n v="21"/>
    <n v="0"/>
    <n v="3"/>
    <n v="0"/>
    <n v="0"/>
    <n v="0"/>
    <s v="SC"/>
    <s v="PRT"/>
    <s v="Groups"/>
    <x v="0"/>
    <n v="0"/>
    <n v="0"/>
    <n v="0"/>
    <s v="A"/>
    <s v="A"/>
    <n v="0"/>
    <s v="No Deposit"/>
    <m/>
    <m/>
    <n v="0"/>
    <x v="1"/>
    <x v="7"/>
    <n v="0"/>
    <n v="0"/>
    <x v="0"/>
    <d v="2017-02-17T00:00:00"/>
  </r>
  <r>
    <x v="0"/>
    <x v="1"/>
    <n v="111"/>
    <n v="2017"/>
    <x v="11"/>
    <n v="14"/>
    <n v="3"/>
    <n v="1"/>
    <n v="1"/>
    <n v="2"/>
    <n v="0"/>
    <n v="0"/>
    <s v="BB"/>
    <s v="ISR"/>
    <s v="Groups"/>
    <x v="0"/>
    <n v="0"/>
    <n v="0"/>
    <n v="0"/>
    <s v="A"/>
    <s v="A"/>
    <n v="0"/>
    <s v="No Deposit"/>
    <n v="37"/>
    <m/>
    <n v="0"/>
    <x v="1"/>
    <x v="119"/>
    <n v="0"/>
    <n v="1"/>
    <x v="1"/>
    <d v="2017-04-05T00:00:00"/>
  </r>
  <r>
    <x v="1"/>
    <x v="0"/>
    <n v="233"/>
    <n v="2017"/>
    <x v="4"/>
    <n v="34"/>
    <n v="21"/>
    <n v="1"/>
    <n v="5"/>
    <n v="2"/>
    <n v="0"/>
    <n v="0"/>
    <s v="BB"/>
    <s v="IRL"/>
    <s v="Online TA"/>
    <x v="0"/>
    <n v="0"/>
    <n v="0"/>
    <n v="0"/>
    <s v="A"/>
    <s v="A"/>
    <n v="0"/>
    <s v="No Deposit"/>
    <n v="240"/>
    <m/>
    <n v="0"/>
    <x v="0"/>
    <x v="408"/>
    <n v="0"/>
    <n v="2"/>
    <x v="0"/>
    <d v="2017-01-13T00:00:00"/>
  </r>
  <r>
    <x v="0"/>
    <x v="1"/>
    <n v="8"/>
    <n v="2017"/>
    <x v="4"/>
    <n v="34"/>
    <n v="23"/>
    <n v="0"/>
    <n v="2"/>
    <n v="2"/>
    <n v="0"/>
    <n v="0"/>
    <s v="SC"/>
    <s v="AUS"/>
    <s v="Online TA"/>
    <x v="0"/>
    <n v="0"/>
    <n v="0"/>
    <n v="0"/>
    <s v="A"/>
    <s v="A"/>
    <n v="0"/>
    <s v="No Deposit"/>
    <n v="9"/>
    <m/>
    <n v="0"/>
    <x v="0"/>
    <x v="427"/>
    <n v="0"/>
    <n v="0"/>
    <x v="1"/>
    <d v="2017-08-25T00:00:00"/>
  </r>
  <r>
    <x v="0"/>
    <x v="1"/>
    <n v="206"/>
    <n v="2017"/>
    <x v="4"/>
    <n v="31"/>
    <n v="3"/>
    <n v="1"/>
    <n v="3"/>
    <n v="2"/>
    <n v="0"/>
    <n v="0"/>
    <s v="BB"/>
    <s v="DEU"/>
    <s v="Online TA"/>
    <x v="0"/>
    <n v="0"/>
    <n v="0"/>
    <n v="0"/>
    <s v="D"/>
    <s v="D"/>
    <n v="0"/>
    <s v="No Deposit"/>
    <n v="9"/>
    <m/>
    <n v="0"/>
    <x v="0"/>
    <x v="349"/>
    <n v="0"/>
    <n v="0"/>
    <x v="1"/>
    <d v="2017-08-07T00:00:00"/>
  </r>
  <r>
    <x v="0"/>
    <x v="1"/>
    <n v="12"/>
    <n v="2017"/>
    <x v="9"/>
    <n v="8"/>
    <n v="20"/>
    <n v="1"/>
    <n v="1"/>
    <n v="1"/>
    <n v="0"/>
    <n v="0"/>
    <s v="BB"/>
    <s v="ESP"/>
    <s v="Online TA"/>
    <x v="3"/>
    <n v="0"/>
    <n v="0"/>
    <n v="0"/>
    <s v="A"/>
    <s v="A"/>
    <n v="0"/>
    <s v="No Deposit"/>
    <n v="195"/>
    <m/>
    <n v="0"/>
    <x v="0"/>
    <x v="13"/>
    <n v="0"/>
    <n v="0"/>
    <x v="1"/>
    <d v="2017-02-22T00:00:00"/>
  </r>
  <r>
    <x v="1"/>
    <x v="1"/>
    <n v="84"/>
    <n v="2017"/>
    <x v="11"/>
    <n v="16"/>
    <n v="18"/>
    <n v="1"/>
    <n v="5"/>
    <n v="1"/>
    <n v="0"/>
    <n v="0"/>
    <s v="BB"/>
    <s v="ITA"/>
    <s v="Direct"/>
    <x v="2"/>
    <n v="0"/>
    <n v="0"/>
    <n v="0"/>
    <s v="E"/>
    <s v="E"/>
    <n v="1"/>
    <s v="No Deposit"/>
    <m/>
    <m/>
    <n v="0"/>
    <x v="1"/>
    <x v="104"/>
    <n v="0"/>
    <n v="0"/>
    <x v="1"/>
    <d v="2017-04-24T00:00:00"/>
  </r>
  <r>
    <x v="1"/>
    <x v="1"/>
    <n v="83"/>
    <n v="2017"/>
    <x v="8"/>
    <n v="2"/>
    <n v="10"/>
    <n v="4"/>
    <n v="10"/>
    <n v="1"/>
    <n v="0"/>
    <n v="0"/>
    <s v="HB"/>
    <s v="GBR"/>
    <s v="Online TA"/>
    <x v="0"/>
    <n v="0"/>
    <n v="0"/>
    <n v="0"/>
    <s v="D"/>
    <s v="D"/>
    <n v="1"/>
    <s v="No Deposit"/>
    <n v="147"/>
    <m/>
    <n v="0"/>
    <x v="0"/>
    <x v="428"/>
    <n v="0"/>
    <n v="0"/>
    <x v="1"/>
    <d v="2017-01-24T00:00:00"/>
  </r>
  <r>
    <x v="0"/>
    <x v="0"/>
    <n v="111"/>
    <n v="2017"/>
    <x v="10"/>
    <n v="26"/>
    <n v="29"/>
    <n v="0"/>
    <n v="1"/>
    <n v="2"/>
    <n v="2"/>
    <n v="0"/>
    <s v="BB"/>
    <s v="FRA"/>
    <s v="Online TA"/>
    <x v="0"/>
    <n v="0"/>
    <n v="0"/>
    <n v="0"/>
    <s v="F"/>
    <s v="F"/>
    <n v="0"/>
    <s v="No Deposit"/>
    <n v="9"/>
    <m/>
    <n v="0"/>
    <x v="0"/>
    <x v="363"/>
    <n v="0"/>
    <n v="0"/>
    <x v="0"/>
    <d v="2017-03-14T00:00:00"/>
  </r>
  <r>
    <x v="0"/>
    <x v="1"/>
    <n v="93"/>
    <n v="2017"/>
    <x v="11"/>
    <n v="16"/>
    <n v="21"/>
    <n v="2"/>
    <n v="6"/>
    <n v="2"/>
    <n v="1"/>
    <n v="0"/>
    <s v="HB"/>
    <s v="EST"/>
    <s v="Online TA"/>
    <x v="0"/>
    <n v="0"/>
    <n v="0"/>
    <n v="0"/>
    <s v="A"/>
    <s v="A"/>
    <n v="0"/>
    <s v="No Deposit"/>
    <n v="9"/>
    <m/>
    <n v="0"/>
    <x v="0"/>
    <x v="409"/>
    <n v="0"/>
    <n v="1"/>
    <x v="1"/>
    <d v="2017-04-29T00:00:00"/>
  </r>
  <r>
    <x v="0"/>
    <x v="1"/>
    <n v="53"/>
    <n v="2017"/>
    <x v="10"/>
    <n v="26"/>
    <n v="25"/>
    <n v="1"/>
    <n v="0"/>
    <n v="1"/>
    <n v="0"/>
    <n v="0"/>
    <s v="SC"/>
    <s v="BRA"/>
    <s v="Online TA"/>
    <x v="0"/>
    <n v="0"/>
    <n v="0"/>
    <n v="0"/>
    <s v="A"/>
    <s v="A"/>
    <n v="1"/>
    <s v="No Deposit"/>
    <n v="9"/>
    <m/>
    <n v="0"/>
    <x v="0"/>
    <x v="169"/>
    <n v="0"/>
    <n v="1"/>
    <x v="1"/>
    <d v="2017-06-26T00:00:00"/>
  </r>
  <r>
    <x v="0"/>
    <x v="1"/>
    <n v="52"/>
    <n v="2017"/>
    <x v="11"/>
    <n v="17"/>
    <n v="28"/>
    <n v="0"/>
    <n v="1"/>
    <n v="2"/>
    <n v="0"/>
    <n v="0"/>
    <s v="BB"/>
    <s v="CN"/>
    <s v="Corporate"/>
    <x v="1"/>
    <n v="0"/>
    <n v="0"/>
    <n v="0"/>
    <s v="A"/>
    <s v="A"/>
    <n v="1"/>
    <s v="Refundable"/>
    <m/>
    <n v="40"/>
    <n v="0"/>
    <x v="1"/>
    <x v="429"/>
    <n v="1"/>
    <n v="1"/>
    <x v="1"/>
    <d v="2017-04-29T00:00:00"/>
  </r>
  <r>
    <x v="0"/>
    <x v="1"/>
    <n v="0"/>
    <n v="2017"/>
    <x v="6"/>
    <n v="12"/>
    <n v="21"/>
    <n v="0"/>
    <n v="2"/>
    <n v="1"/>
    <n v="0"/>
    <n v="0"/>
    <s v="BB"/>
    <s v="PRT"/>
    <s v="Complementary"/>
    <x v="2"/>
    <n v="1"/>
    <n v="0"/>
    <n v="1"/>
    <s v="A"/>
    <s v="D"/>
    <n v="1"/>
    <s v="No Deposit"/>
    <m/>
    <n v="45"/>
    <n v="0"/>
    <x v="0"/>
    <x v="7"/>
    <n v="0"/>
    <n v="1"/>
    <x v="1"/>
    <d v="2017-03-23T00:00:00"/>
  </r>
  <r>
    <x v="0"/>
    <x v="1"/>
    <n v="28"/>
    <n v="2017"/>
    <x v="11"/>
    <n v="17"/>
    <n v="29"/>
    <n v="0"/>
    <n v="1"/>
    <n v="2"/>
    <n v="0"/>
    <n v="0"/>
    <s v="SC"/>
    <s v="IRL"/>
    <s v="Online TA"/>
    <x v="0"/>
    <n v="0"/>
    <n v="0"/>
    <n v="0"/>
    <s v="A"/>
    <s v="A"/>
    <n v="0"/>
    <s v="No Deposit"/>
    <n v="9"/>
    <m/>
    <n v="0"/>
    <x v="0"/>
    <x v="42"/>
    <n v="0"/>
    <n v="1"/>
    <x v="1"/>
    <d v="2017-04-30T00:00:00"/>
  </r>
  <r>
    <x v="1"/>
    <x v="1"/>
    <n v="4"/>
    <n v="2017"/>
    <x v="9"/>
    <n v="6"/>
    <n v="7"/>
    <n v="0"/>
    <n v="3"/>
    <n v="1"/>
    <n v="0"/>
    <n v="0"/>
    <s v="BB"/>
    <s v="PRT"/>
    <s v="Corporate"/>
    <x v="1"/>
    <n v="0"/>
    <n v="0"/>
    <n v="0"/>
    <s v="A"/>
    <s v="A"/>
    <n v="0"/>
    <s v="No Deposit"/>
    <m/>
    <n v="154"/>
    <n v="0"/>
    <x v="0"/>
    <x v="26"/>
    <n v="0"/>
    <n v="0"/>
    <x v="1"/>
    <d v="2017-02-10T00:00:00"/>
  </r>
  <r>
    <x v="1"/>
    <x v="1"/>
    <n v="312"/>
    <n v="2017"/>
    <x v="6"/>
    <n v="10"/>
    <n v="5"/>
    <n v="2"/>
    <n v="5"/>
    <n v="2"/>
    <n v="0"/>
    <n v="0"/>
    <s v="HB"/>
    <s v="DEU"/>
    <s v="Groups"/>
    <x v="0"/>
    <n v="0"/>
    <n v="0"/>
    <n v="0"/>
    <s v="A"/>
    <s v="A"/>
    <n v="0"/>
    <s v="No Deposit"/>
    <n v="298"/>
    <m/>
    <n v="0"/>
    <x v="1"/>
    <x v="92"/>
    <n v="0"/>
    <n v="0"/>
    <x v="1"/>
    <d v="2017-03-12T00:00:00"/>
  </r>
  <r>
    <x v="0"/>
    <x v="0"/>
    <n v="108"/>
    <n v="2017"/>
    <x v="4"/>
    <n v="34"/>
    <n v="20"/>
    <n v="2"/>
    <n v="3"/>
    <n v="1"/>
    <n v="0"/>
    <n v="0"/>
    <s v="BB"/>
    <s v="PRT"/>
    <s v="Offline TA/TO"/>
    <x v="0"/>
    <n v="0"/>
    <n v="0"/>
    <n v="0"/>
    <s v="A"/>
    <s v="A"/>
    <n v="0"/>
    <s v="No Deposit"/>
    <n v="52"/>
    <m/>
    <n v="0"/>
    <x v="0"/>
    <x v="430"/>
    <n v="0"/>
    <n v="0"/>
    <x v="0"/>
    <d v="2017-07-11T00:00:00"/>
  </r>
  <r>
    <x v="1"/>
    <x v="1"/>
    <n v="7"/>
    <n v="2017"/>
    <x v="9"/>
    <n v="6"/>
    <n v="10"/>
    <n v="0"/>
    <n v="2"/>
    <n v="2"/>
    <n v="0"/>
    <n v="0"/>
    <s v="BB"/>
    <s v="ESP"/>
    <s v="Direct"/>
    <x v="2"/>
    <n v="0"/>
    <n v="0"/>
    <n v="0"/>
    <s v="D"/>
    <s v="D"/>
    <n v="1"/>
    <s v="No Deposit"/>
    <n v="250"/>
    <m/>
    <n v="0"/>
    <x v="0"/>
    <x v="17"/>
    <n v="0"/>
    <n v="2"/>
    <x v="1"/>
    <d v="2017-02-12T00:00:00"/>
  </r>
  <r>
    <x v="0"/>
    <x v="0"/>
    <n v="274"/>
    <n v="2017"/>
    <x v="4"/>
    <n v="33"/>
    <n v="16"/>
    <n v="0"/>
    <n v="4"/>
    <n v="2"/>
    <n v="2"/>
    <n v="0"/>
    <s v="BB"/>
    <s v="BEL"/>
    <s v="Online TA"/>
    <x v="0"/>
    <n v="0"/>
    <n v="0"/>
    <n v="0"/>
    <s v="F"/>
    <s v="F"/>
    <n v="0"/>
    <s v="No Deposit"/>
    <n v="9"/>
    <m/>
    <n v="0"/>
    <x v="0"/>
    <x v="343"/>
    <n v="0"/>
    <n v="1"/>
    <x v="0"/>
    <d v="2016-11-16T00:00:00"/>
  </r>
  <r>
    <x v="1"/>
    <x v="1"/>
    <n v="155"/>
    <n v="2017"/>
    <x v="9"/>
    <n v="7"/>
    <n v="15"/>
    <n v="6"/>
    <n v="15"/>
    <n v="2"/>
    <n v="0"/>
    <n v="0"/>
    <s v="BB"/>
    <s v="NOR"/>
    <s v="Offline TA/TO"/>
    <x v="0"/>
    <n v="0"/>
    <n v="0"/>
    <n v="0"/>
    <s v="E"/>
    <s v="E"/>
    <n v="0"/>
    <s v="No Deposit"/>
    <n v="96"/>
    <m/>
    <n v="0"/>
    <x v="0"/>
    <x v="52"/>
    <n v="0"/>
    <n v="1"/>
    <x v="1"/>
    <d v="2017-03-08T00:00:00"/>
  </r>
  <r>
    <x v="0"/>
    <x v="1"/>
    <n v="4"/>
    <n v="2017"/>
    <x v="8"/>
    <n v="3"/>
    <n v="17"/>
    <n v="0"/>
    <n v="3"/>
    <n v="2"/>
    <n v="0"/>
    <n v="0"/>
    <s v="BB"/>
    <s v="PRT"/>
    <s v="Online TA"/>
    <x v="0"/>
    <n v="0"/>
    <n v="0"/>
    <n v="0"/>
    <s v="A"/>
    <s v="A"/>
    <n v="0"/>
    <s v="No Deposit"/>
    <n v="9"/>
    <m/>
    <n v="0"/>
    <x v="0"/>
    <x v="63"/>
    <n v="0"/>
    <n v="1"/>
    <x v="1"/>
    <d v="2017-01-20T00:00:00"/>
  </r>
  <r>
    <x v="1"/>
    <x v="1"/>
    <n v="94"/>
    <n v="2017"/>
    <x v="9"/>
    <n v="7"/>
    <n v="13"/>
    <n v="1"/>
    <n v="3"/>
    <n v="3"/>
    <n v="0"/>
    <n v="0"/>
    <s v="HB"/>
    <s v="GBR"/>
    <s v="Groups"/>
    <x v="0"/>
    <n v="0"/>
    <n v="0"/>
    <n v="0"/>
    <s v="A"/>
    <s v="A"/>
    <n v="0"/>
    <s v="No Deposit"/>
    <n v="152"/>
    <m/>
    <n v="0"/>
    <x v="1"/>
    <x v="155"/>
    <n v="0"/>
    <n v="0"/>
    <x v="1"/>
    <d v="2017-02-17T00:00:00"/>
  </r>
  <r>
    <x v="0"/>
    <x v="0"/>
    <n v="215"/>
    <n v="2017"/>
    <x v="10"/>
    <n v="26"/>
    <n v="28"/>
    <n v="0"/>
    <n v="4"/>
    <n v="2"/>
    <n v="0"/>
    <n v="0"/>
    <s v="BB"/>
    <s v="PRT"/>
    <s v="Groups"/>
    <x v="0"/>
    <n v="0"/>
    <n v="0"/>
    <n v="0"/>
    <s v="A"/>
    <s v="A"/>
    <n v="0"/>
    <s v="Non Refund"/>
    <m/>
    <m/>
    <n v="0"/>
    <x v="0"/>
    <x v="199"/>
    <n v="0"/>
    <n v="0"/>
    <x v="0"/>
    <d v="2016-11-25T00:00:00"/>
  </r>
  <r>
    <x v="0"/>
    <x v="0"/>
    <n v="115"/>
    <n v="2017"/>
    <x v="4"/>
    <n v="34"/>
    <n v="25"/>
    <n v="0"/>
    <n v="2"/>
    <n v="3"/>
    <n v="0"/>
    <n v="0"/>
    <s v="BB"/>
    <s v="PRT"/>
    <s v="Online TA"/>
    <x v="0"/>
    <n v="0"/>
    <n v="0"/>
    <n v="0"/>
    <s v="D"/>
    <s v="D"/>
    <n v="0"/>
    <s v="No Deposit"/>
    <n v="8"/>
    <m/>
    <n v="0"/>
    <x v="0"/>
    <x v="391"/>
    <n v="0"/>
    <n v="2"/>
    <x v="0"/>
    <d v="2017-08-15T00:00:00"/>
  </r>
  <r>
    <x v="0"/>
    <x v="1"/>
    <n v="22"/>
    <n v="2017"/>
    <x v="6"/>
    <n v="11"/>
    <n v="15"/>
    <n v="0"/>
    <n v="1"/>
    <n v="1"/>
    <n v="0"/>
    <n v="0"/>
    <s v="BB"/>
    <s v="PRT"/>
    <s v="Corporate"/>
    <x v="1"/>
    <n v="0"/>
    <n v="0"/>
    <n v="0"/>
    <s v="D"/>
    <s v="D"/>
    <n v="0"/>
    <s v="No Deposit"/>
    <m/>
    <n v="433"/>
    <n v="0"/>
    <x v="0"/>
    <x v="9"/>
    <n v="0"/>
    <n v="0"/>
    <x v="1"/>
    <d v="2017-03-16T00:00:00"/>
  </r>
  <r>
    <x v="0"/>
    <x v="0"/>
    <n v="57"/>
    <n v="2017"/>
    <x v="6"/>
    <n v="13"/>
    <n v="29"/>
    <n v="0"/>
    <n v="2"/>
    <n v="2"/>
    <n v="1"/>
    <n v="0"/>
    <s v="BB"/>
    <s v="ITA"/>
    <s v="Online TA"/>
    <x v="0"/>
    <n v="0"/>
    <n v="0"/>
    <n v="0"/>
    <s v="A"/>
    <s v="A"/>
    <n v="0"/>
    <s v="No Deposit"/>
    <n v="9"/>
    <m/>
    <n v="0"/>
    <x v="0"/>
    <x v="431"/>
    <n v="0"/>
    <n v="0"/>
    <x v="0"/>
    <d v="2017-02-13T00:00:00"/>
  </r>
  <r>
    <x v="1"/>
    <x v="0"/>
    <n v="170"/>
    <n v="2017"/>
    <x v="10"/>
    <n v="26"/>
    <n v="26"/>
    <n v="1"/>
    <n v="5"/>
    <n v="2"/>
    <n v="2"/>
    <n v="0"/>
    <s v="BB"/>
    <s v="PRT"/>
    <s v="Online TA"/>
    <x v="0"/>
    <n v="0"/>
    <n v="0"/>
    <n v="0"/>
    <s v="C"/>
    <s v="C"/>
    <n v="3"/>
    <s v="No Deposit"/>
    <n v="314"/>
    <m/>
    <n v="0"/>
    <x v="0"/>
    <x v="432"/>
    <n v="0"/>
    <n v="0"/>
    <x v="0"/>
    <d v="2017-05-05T00:00:00"/>
  </r>
  <r>
    <x v="1"/>
    <x v="1"/>
    <n v="307"/>
    <n v="2017"/>
    <x v="10"/>
    <n v="23"/>
    <n v="8"/>
    <n v="4"/>
    <n v="10"/>
    <n v="2"/>
    <n v="0"/>
    <n v="0"/>
    <s v="HB"/>
    <s v="GBR"/>
    <s v="Offline TA/TO"/>
    <x v="0"/>
    <n v="0"/>
    <n v="0"/>
    <n v="0"/>
    <s v="D"/>
    <s v="D"/>
    <n v="0"/>
    <s v="No Deposit"/>
    <n v="243"/>
    <m/>
    <n v="0"/>
    <x v="2"/>
    <x v="433"/>
    <n v="0"/>
    <n v="0"/>
    <x v="1"/>
    <d v="2017-06-22T00:00:00"/>
  </r>
  <r>
    <x v="0"/>
    <x v="0"/>
    <n v="177"/>
    <n v="2017"/>
    <x v="4"/>
    <n v="35"/>
    <n v="31"/>
    <n v="0"/>
    <n v="3"/>
    <n v="2"/>
    <n v="0"/>
    <n v="0"/>
    <s v="BB"/>
    <s v="PRT"/>
    <s v="Offline TA/TO"/>
    <x v="0"/>
    <n v="0"/>
    <n v="0"/>
    <n v="0"/>
    <s v="D"/>
    <s v="D"/>
    <n v="0"/>
    <s v="No Deposit"/>
    <n v="52"/>
    <m/>
    <n v="0"/>
    <x v="0"/>
    <x v="434"/>
    <n v="0"/>
    <n v="1"/>
    <x v="0"/>
    <d v="2017-07-26T00:00:00"/>
  </r>
  <r>
    <x v="0"/>
    <x v="1"/>
    <n v="1"/>
    <n v="2017"/>
    <x v="7"/>
    <n v="19"/>
    <n v="9"/>
    <n v="0"/>
    <n v="1"/>
    <n v="1"/>
    <n v="0"/>
    <n v="0"/>
    <s v="BB"/>
    <s v="PRT"/>
    <s v="Offline TA/TO"/>
    <x v="1"/>
    <n v="0"/>
    <n v="0"/>
    <n v="0"/>
    <s v="A"/>
    <s v="A"/>
    <n v="0"/>
    <s v="No Deposit"/>
    <n v="191"/>
    <m/>
    <n v="0"/>
    <x v="0"/>
    <x v="435"/>
    <n v="0"/>
    <n v="0"/>
    <x v="1"/>
    <d v="2017-05-10T00:00:00"/>
  </r>
  <r>
    <x v="0"/>
    <x v="0"/>
    <n v="181"/>
    <n v="2017"/>
    <x v="7"/>
    <n v="21"/>
    <n v="25"/>
    <n v="0"/>
    <n v="2"/>
    <n v="2"/>
    <n v="0"/>
    <n v="0"/>
    <s v="BB"/>
    <s v="PRT"/>
    <s v="Groups"/>
    <x v="2"/>
    <n v="0"/>
    <n v="0"/>
    <n v="0"/>
    <s v="A"/>
    <s v="A"/>
    <n v="0"/>
    <s v="Non Refund"/>
    <m/>
    <m/>
    <n v="0"/>
    <x v="0"/>
    <x v="58"/>
    <n v="0"/>
    <n v="0"/>
    <x v="0"/>
    <d v="2016-11-25T00:00:00"/>
  </r>
  <r>
    <x v="1"/>
    <x v="1"/>
    <n v="7"/>
    <n v="2017"/>
    <x v="7"/>
    <n v="18"/>
    <n v="6"/>
    <n v="0"/>
    <n v="1"/>
    <n v="3"/>
    <n v="1"/>
    <n v="0"/>
    <s v="HB"/>
    <s v="ESP"/>
    <s v="Online TA"/>
    <x v="0"/>
    <n v="0"/>
    <n v="0"/>
    <n v="0"/>
    <s v="H"/>
    <s v="H"/>
    <n v="0"/>
    <s v="No Deposit"/>
    <n v="240"/>
    <m/>
    <n v="0"/>
    <x v="0"/>
    <x v="436"/>
    <n v="1"/>
    <n v="1"/>
    <x v="1"/>
    <d v="2017-05-07T00:00:00"/>
  </r>
  <r>
    <x v="1"/>
    <x v="1"/>
    <n v="7"/>
    <n v="2017"/>
    <x v="11"/>
    <n v="15"/>
    <n v="11"/>
    <n v="0"/>
    <n v="1"/>
    <n v="1"/>
    <n v="0"/>
    <n v="0"/>
    <s v="BB"/>
    <s v="PRT"/>
    <s v="Online TA"/>
    <x v="0"/>
    <n v="0"/>
    <n v="0"/>
    <n v="0"/>
    <s v="D"/>
    <s v="E"/>
    <n v="1"/>
    <s v="No Deposit"/>
    <n v="240"/>
    <m/>
    <n v="0"/>
    <x v="1"/>
    <x v="57"/>
    <n v="0"/>
    <n v="1"/>
    <x v="1"/>
    <d v="2017-04-12T00:00:00"/>
  </r>
  <r>
    <x v="0"/>
    <x v="1"/>
    <n v="26"/>
    <n v="2017"/>
    <x v="11"/>
    <n v="17"/>
    <n v="29"/>
    <n v="0"/>
    <n v="1"/>
    <n v="2"/>
    <n v="0"/>
    <n v="0"/>
    <s v="SC"/>
    <s v="ESP"/>
    <s v="Online TA"/>
    <x v="0"/>
    <n v="0"/>
    <n v="0"/>
    <n v="0"/>
    <s v="A"/>
    <s v="D"/>
    <n v="0"/>
    <s v="No Deposit"/>
    <n v="9"/>
    <m/>
    <n v="0"/>
    <x v="0"/>
    <x v="42"/>
    <n v="0"/>
    <n v="1"/>
    <x v="1"/>
    <d v="2017-04-30T00:00:00"/>
  </r>
  <r>
    <x v="0"/>
    <x v="1"/>
    <n v="90"/>
    <n v="2017"/>
    <x v="7"/>
    <n v="21"/>
    <n v="21"/>
    <n v="2"/>
    <n v="1"/>
    <n v="2"/>
    <n v="0"/>
    <n v="0"/>
    <s v="BB"/>
    <s v="FRA"/>
    <s v="Direct"/>
    <x v="2"/>
    <n v="0"/>
    <n v="0"/>
    <n v="0"/>
    <s v="A"/>
    <s v="A"/>
    <n v="0"/>
    <s v="No Deposit"/>
    <n v="14"/>
    <m/>
    <n v="0"/>
    <x v="0"/>
    <x v="352"/>
    <n v="0"/>
    <n v="1"/>
    <x v="1"/>
    <d v="2017-05-24T00:00:00"/>
  </r>
  <r>
    <x v="0"/>
    <x v="0"/>
    <n v="186"/>
    <n v="2017"/>
    <x v="7"/>
    <n v="22"/>
    <n v="30"/>
    <n v="0"/>
    <n v="2"/>
    <n v="2"/>
    <n v="0"/>
    <n v="0"/>
    <s v="BB"/>
    <s v="PRT"/>
    <s v="Groups"/>
    <x v="0"/>
    <n v="0"/>
    <n v="0"/>
    <n v="0"/>
    <s v="A"/>
    <s v="A"/>
    <n v="0"/>
    <s v="Non Refund"/>
    <n v="19"/>
    <m/>
    <n v="0"/>
    <x v="0"/>
    <x v="58"/>
    <n v="0"/>
    <n v="0"/>
    <x v="0"/>
    <d v="2016-11-25T00:00:00"/>
  </r>
  <r>
    <x v="1"/>
    <x v="1"/>
    <n v="56"/>
    <n v="2017"/>
    <x v="7"/>
    <n v="21"/>
    <n v="24"/>
    <n v="0"/>
    <n v="1"/>
    <n v="2"/>
    <n v="0"/>
    <n v="0"/>
    <s v="BB"/>
    <s v="DEU"/>
    <s v="Offline TA/TO"/>
    <x v="0"/>
    <n v="0"/>
    <n v="0"/>
    <n v="0"/>
    <s v="D"/>
    <s v="D"/>
    <n v="0"/>
    <s v="No Deposit"/>
    <m/>
    <n v="251"/>
    <n v="0"/>
    <x v="0"/>
    <x v="6"/>
    <n v="0"/>
    <n v="0"/>
    <x v="1"/>
    <d v="2017-05-25T00:00:00"/>
  </r>
  <r>
    <x v="0"/>
    <x v="0"/>
    <n v="72"/>
    <n v="2017"/>
    <x v="4"/>
    <n v="33"/>
    <n v="17"/>
    <n v="0"/>
    <n v="3"/>
    <n v="2"/>
    <n v="1"/>
    <n v="0"/>
    <s v="BB"/>
    <s v="FRA"/>
    <s v="Direct"/>
    <x v="2"/>
    <n v="0"/>
    <n v="0"/>
    <n v="0"/>
    <s v="B"/>
    <s v="B"/>
    <n v="0"/>
    <s v="No Deposit"/>
    <n v="14"/>
    <m/>
    <n v="0"/>
    <x v="0"/>
    <x v="437"/>
    <n v="0"/>
    <n v="2"/>
    <x v="0"/>
    <d v="2017-06-06T00:00:00"/>
  </r>
  <r>
    <x v="0"/>
    <x v="0"/>
    <n v="161"/>
    <n v="2017"/>
    <x v="7"/>
    <n v="18"/>
    <n v="5"/>
    <n v="0"/>
    <n v="2"/>
    <n v="2"/>
    <n v="0"/>
    <n v="0"/>
    <s v="BB"/>
    <s v="PRT"/>
    <s v="Groups"/>
    <x v="0"/>
    <n v="0"/>
    <n v="0"/>
    <n v="0"/>
    <s v="A"/>
    <s v="A"/>
    <n v="0"/>
    <s v="Non Refund"/>
    <n v="30"/>
    <m/>
    <n v="0"/>
    <x v="0"/>
    <x v="169"/>
    <n v="0"/>
    <n v="0"/>
    <x v="0"/>
    <d v="2016-11-25T00:00:00"/>
  </r>
  <r>
    <x v="1"/>
    <x v="1"/>
    <n v="217"/>
    <n v="2017"/>
    <x v="4"/>
    <n v="35"/>
    <n v="29"/>
    <n v="0"/>
    <n v="4"/>
    <n v="2"/>
    <n v="0"/>
    <n v="0"/>
    <s v="BB"/>
    <s v="CN"/>
    <s v="Offline TA/TO"/>
    <x v="0"/>
    <n v="0"/>
    <n v="0"/>
    <n v="0"/>
    <s v="A"/>
    <s v="A"/>
    <n v="2"/>
    <s v="No Deposit"/>
    <n v="410"/>
    <m/>
    <n v="0"/>
    <x v="0"/>
    <x v="438"/>
    <n v="0"/>
    <n v="1"/>
    <x v="1"/>
    <d v="2017-09-02T00:00:00"/>
  </r>
  <r>
    <x v="1"/>
    <x v="1"/>
    <n v="73"/>
    <n v="2017"/>
    <x v="9"/>
    <n v="7"/>
    <n v="17"/>
    <n v="1"/>
    <n v="2"/>
    <n v="2"/>
    <n v="0"/>
    <n v="0"/>
    <s v="BB"/>
    <s v="GBR"/>
    <s v="Corporate"/>
    <x v="1"/>
    <n v="0"/>
    <n v="0"/>
    <n v="0"/>
    <s v="A"/>
    <s v="A"/>
    <n v="0"/>
    <s v="No Deposit"/>
    <m/>
    <n v="498"/>
    <n v="0"/>
    <x v="1"/>
    <x v="78"/>
    <n v="0"/>
    <n v="0"/>
    <x v="1"/>
    <d v="2017-02-20T00:00:00"/>
  </r>
  <r>
    <x v="1"/>
    <x v="0"/>
    <n v="126"/>
    <n v="2017"/>
    <x v="10"/>
    <n v="25"/>
    <n v="20"/>
    <n v="0"/>
    <n v="4"/>
    <n v="2"/>
    <n v="0"/>
    <n v="0"/>
    <s v="BB"/>
    <s v="PRT"/>
    <s v="Offline TA/TO"/>
    <x v="0"/>
    <n v="0"/>
    <n v="0"/>
    <n v="0"/>
    <s v="A"/>
    <s v="A"/>
    <n v="0"/>
    <s v="No Deposit"/>
    <n v="410"/>
    <m/>
    <n v="0"/>
    <x v="0"/>
    <x v="439"/>
    <n v="0"/>
    <n v="0"/>
    <x v="0"/>
    <d v="2017-02-14T00:00:00"/>
  </r>
  <r>
    <x v="0"/>
    <x v="0"/>
    <n v="226"/>
    <n v="2017"/>
    <x v="10"/>
    <n v="24"/>
    <n v="16"/>
    <n v="1"/>
    <n v="2"/>
    <n v="2"/>
    <n v="0"/>
    <n v="0"/>
    <s v="BB"/>
    <s v="PRT"/>
    <s v="Offline TA/TO"/>
    <x v="0"/>
    <n v="0"/>
    <n v="0"/>
    <n v="0"/>
    <s v="A"/>
    <s v="A"/>
    <n v="0"/>
    <s v="Non Refund"/>
    <n v="20"/>
    <m/>
    <n v="0"/>
    <x v="0"/>
    <x v="57"/>
    <n v="0"/>
    <n v="0"/>
    <x v="0"/>
    <d v="2017-04-21T00:00:00"/>
  </r>
  <r>
    <x v="1"/>
    <x v="1"/>
    <n v="63"/>
    <n v="2017"/>
    <x v="11"/>
    <n v="15"/>
    <n v="10"/>
    <n v="1"/>
    <n v="2"/>
    <n v="1"/>
    <n v="0"/>
    <n v="0"/>
    <s v="HB"/>
    <s v="GBR"/>
    <s v="Offline TA/TO"/>
    <x v="0"/>
    <n v="0"/>
    <n v="0"/>
    <n v="0"/>
    <s v="A"/>
    <s v="A"/>
    <n v="0"/>
    <s v="No Deposit"/>
    <n v="40"/>
    <m/>
    <n v="0"/>
    <x v="2"/>
    <x v="440"/>
    <n v="0"/>
    <n v="0"/>
    <x v="1"/>
    <d v="2017-04-13T00:00:00"/>
  </r>
  <r>
    <x v="0"/>
    <x v="0"/>
    <n v="87"/>
    <n v="2017"/>
    <x v="11"/>
    <n v="15"/>
    <n v="15"/>
    <n v="2"/>
    <n v="2"/>
    <n v="2"/>
    <n v="0"/>
    <n v="0"/>
    <s v="BB"/>
    <s v="PRT"/>
    <s v="Groups"/>
    <x v="0"/>
    <n v="0"/>
    <n v="0"/>
    <n v="0"/>
    <s v="A"/>
    <s v="A"/>
    <n v="0"/>
    <s v="Non Refund"/>
    <n v="1"/>
    <m/>
    <n v="0"/>
    <x v="0"/>
    <x v="119"/>
    <n v="0"/>
    <n v="0"/>
    <x v="0"/>
    <d v="2017-01-18T00:00:00"/>
  </r>
  <r>
    <x v="0"/>
    <x v="1"/>
    <n v="21"/>
    <n v="2017"/>
    <x v="9"/>
    <n v="8"/>
    <n v="20"/>
    <n v="1"/>
    <n v="1"/>
    <n v="2"/>
    <n v="0"/>
    <n v="0"/>
    <s v="SC"/>
    <s v="FRA"/>
    <s v="Online TA"/>
    <x v="0"/>
    <n v="0"/>
    <n v="0"/>
    <n v="0"/>
    <s v="A"/>
    <s v="A"/>
    <n v="0"/>
    <s v="No Deposit"/>
    <n v="9"/>
    <m/>
    <n v="0"/>
    <x v="0"/>
    <x v="2"/>
    <n v="0"/>
    <n v="0"/>
    <x v="1"/>
    <d v="2017-02-22T00:00:00"/>
  </r>
  <r>
    <x v="0"/>
    <x v="0"/>
    <n v="169"/>
    <n v="2017"/>
    <x v="11"/>
    <n v="16"/>
    <n v="21"/>
    <n v="2"/>
    <n v="3"/>
    <n v="2"/>
    <n v="1"/>
    <n v="0"/>
    <s v="BB"/>
    <s v="FRA"/>
    <s v="Online TA"/>
    <x v="0"/>
    <n v="0"/>
    <n v="0"/>
    <n v="0"/>
    <s v="A"/>
    <s v="A"/>
    <n v="0"/>
    <s v="No Deposit"/>
    <n v="9"/>
    <m/>
    <n v="0"/>
    <x v="0"/>
    <x v="352"/>
    <n v="0"/>
    <n v="1"/>
    <x v="0"/>
    <d v="2016-11-08T00:00:00"/>
  </r>
  <r>
    <x v="1"/>
    <x v="0"/>
    <n v="95"/>
    <n v="2017"/>
    <x v="11"/>
    <n v="14"/>
    <n v="8"/>
    <n v="2"/>
    <n v="3"/>
    <n v="3"/>
    <n v="1"/>
    <n v="0"/>
    <s v="BB"/>
    <s v="PRT"/>
    <s v="Online TA"/>
    <x v="0"/>
    <n v="0"/>
    <n v="0"/>
    <n v="0"/>
    <s v="H"/>
    <s v="H"/>
    <n v="0"/>
    <s v="No Deposit"/>
    <n v="240"/>
    <m/>
    <n v="0"/>
    <x v="0"/>
    <x v="144"/>
    <n v="0"/>
    <n v="0"/>
    <x v="0"/>
    <d v="2017-01-19T00:00:00"/>
  </r>
  <r>
    <x v="0"/>
    <x v="1"/>
    <n v="27"/>
    <n v="2017"/>
    <x v="9"/>
    <n v="6"/>
    <n v="5"/>
    <n v="2"/>
    <n v="2"/>
    <n v="1"/>
    <n v="0"/>
    <n v="0"/>
    <s v="BB"/>
    <s v="JPN"/>
    <s v="Online TA"/>
    <x v="0"/>
    <n v="0"/>
    <n v="0"/>
    <n v="0"/>
    <s v="A"/>
    <s v="A"/>
    <n v="0"/>
    <s v="No Deposit"/>
    <n v="9"/>
    <m/>
    <n v="0"/>
    <x v="0"/>
    <x v="48"/>
    <n v="0"/>
    <n v="1"/>
    <x v="1"/>
    <d v="2017-02-09T00:00:00"/>
  </r>
  <r>
    <x v="0"/>
    <x v="1"/>
    <n v="14"/>
    <n v="2017"/>
    <x v="7"/>
    <n v="18"/>
    <n v="2"/>
    <n v="0"/>
    <n v="4"/>
    <n v="2"/>
    <n v="0"/>
    <n v="0"/>
    <s v="SC"/>
    <s v="ITA"/>
    <s v="Online TA"/>
    <x v="0"/>
    <n v="0"/>
    <n v="0"/>
    <n v="0"/>
    <s v="A"/>
    <s v="A"/>
    <n v="0"/>
    <s v="No Deposit"/>
    <n v="9"/>
    <m/>
    <n v="0"/>
    <x v="0"/>
    <x v="441"/>
    <n v="0"/>
    <n v="1"/>
    <x v="1"/>
    <d v="2017-05-06T00:00:00"/>
  </r>
  <r>
    <x v="1"/>
    <x v="1"/>
    <n v="0"/>
    <n v="2017"/>
    <x v="0"/>
    <n v="28"/>
    <n v="12"/>
    <n v="0"/>
    <n v="1"/>
    <n v="2"/>
    <n v="0"/>
    <n v="0"/>
    <s v="BB"/>
    <s v="PRT"/>
    <s v="Online TA"/>
    <x v="0"/>
    <n v="0"/>
    <n v="0"/>
    <n v="0"/>
    <s v="A"/>
    <s v="A"/>
    <n v="1"/>
    <s v="No Deposit"/>
    <n v="240"/>
    <m/>
    <n v="0"/>
    <x v="0"/>
    <x v="260"/>
    <n v="0"/>
    <n v="0"/>
    <x v="1"/>
    <d v="2017-07-13T00:00:00"/>
  </r>
  <r>
    <x v="0"/>
    <x v="0"/>
    <n v="46"/>
    <n v="2017"/>
    <x v="6"/>
    <n v="13"/>
    <n v="27"/>
    <n v="1"/>
    <n v="2"/>
    <n v="2"/>
    <n v="0"/>
    <n v="0"/>
    <s v="BB"/>
    <s v="IRL"/>
    <s v="Online TA"/>
    <x v="0"/>
    <n v="0"/>
    <n v="0"/>
    <n v="0"/>
    <s v="A"/>
    <s v="A"/>
    <n v="0"/>
    <s v="No Deposit"/>
    <n v="9"/>
    <m/>
    <n v="0"/>
    <x v="0"/>
    <x v="110"/>
    <n v="0"/>
    <n v="0"/>
    <x v="0"/>
    <d v="2017-02-10T00:00:00"/>
  </r>
  <r>
    <x v="0"/>
    <x v="1"/>
    <n v="263"/>
    <n v="2017"/>
    <x v="10"/>
    <n v="25"/>
    <n v="23"/>
    <n v="2"/>
    <n v="2"/>
    <n v="2"/>
    <n v="0"/>
    <n v="0"/>
    <s v="BB"/>
    <s v="PRT"/>
    <s v="Groups"/>
    <x v="0"/>
    <n v="0"/>
    <n v="0"/>
    <n v="0"/>
    <s v="A"/>
    <s v="A"/>
    <n v="0"/>
    <s v="No Deposit"/>
    <n v="37"/>
    <m/>
    <n v="0"/>
    <x v="1"/>
    <x v="57"/>
    <n v="0"/>
    <n v="1"/>
    <x v="1"/>
    <d v="2017-06-27T00:00:00"/>
  </r>
  <r>
    <x v="0"/>
    <x v="0"/>
    <n v="112"/>
    <n v="2017"/>
    <x v="11"/>
    <n v="15"/>
    <n v="12"/>
    <n v="0"/>
    <n v="3"/>
    <n v="3"/>
    <n v="0"/>
    <n v="0"/>
    <s v="BB"/>
    <s v="DEU"/>
    <s v="Online TA"/>
    <x v="0"/>
    <n v="0"/>
    <n v="0"/>
    <n v="0"/>
    <s v="D"/>
    <s v="D"/>
    <n v="0"/>
    <s v="No Deposit"/>
    <n v="9"/>
    <m/>
    <n v="0"/>
    <x v="0"/>
    <x v="392"/>
    <n v="0"/>
    <n v="1"/>
    <x v="0"/>
    <d v="2017-01-08T00:00:00"/>
  </r>
  <r>
    <x v="0"/>
    <x v="1"/>
    <n v="3"/>
    <n v="2017"/>
    <x v="8"/>
    <n v="1"/>
    <n v="5"/>
    <n v="0"/>
    <n v="3"/>
    <n v="1"/>
    <n v="0"/>
    <n v="0"/>
    <s v="BB"/>
    <s v="USA"/>
    <s v="Online TA"/>
    <x v="0"/>
    <n v="0"/>
    <n v="0"/>
    <n v="0"/>
    <s v="A"/>
    <s v="A"/>
    <n v="0"/>
    <s v="No Deposit"/>
    <n v="9"/>
    <m/>
    <n v="0"/>
    <x v="0"/>
    <x v="108"/>
    <n v="0"/>
    <n v="1"/>
    <x v="1"/>
    <d v="2017-01-08T00:00:00"/>
  </r>
  <r>
    <x v="1"/>
    <x v="1"/>
    <n v="222"/>
    <n v="2017"/>
    <x v="10"/>
    <n v="25"/>
    <n v="23"/>
    <n v="2"/>
    <n v="3"/>
    <n v="2"/>
    <n v="0"/>
    <n v="0"/>
    <s v="BB"/>
    <s v="GBR"/>
    <s v="Online TA"/>
    <x v="0"/>
    <n v="0"/>
    <n v="0"/>
    <n v="0"/>
    <s v="A"/>
    <s v="A"/>
    <n v="0"/>
    <s v="No Deposit"/>
    <n v="241"/>
    <m/>
    <n v="0"/>
    <x v="0"/>
    <x v="442"/>
    <n v="0"/>
    <n v="1"/>
    <x v="1"/>
    <d v="2017-06-28T00:00:00"/>
  </r>
  <r>
    <x v="0"/>
    <x v="0"/>
    <n v="128"/>
    <n v="2017"/>
    <x v="4"/>
    <n v="31"/>
    <n v="4"/>
    <n v="0"/>
    <n v="1"/>
    <n v="3"/>
    <n v="0"/>
    <n v="0"/>
    <s v="BB"/>
    <s v="GBR"/>
    <s v="Online TA"/>
    <x v="0"/>
    <n v="0"/>
    <n v="0"/>
    <n v="0"/>
    <s v="D"/>
    <s v="D"/>
    <n v="0"/>
    <s v="No Deposit"/>
    <n v="9"/>
    <m/>
    <n v="0"/>
    <x v="0"/>
    <x v="391"/>
    <n v="0"/>
    <n v="0"/>
    <x v="0"/>
    <d v="2017-07-12T00:00:00"/>
  </r>
  <r>
    <x v="0"/>
    <x v="0"/>
    <n v="40"/>
    <n v="2017"/>
    <x v="6"/>
    <n v="13"/>
    <n v="29"/>
    <n v="0"/>
    <n v="3"/>
    <n v="2"/>
    <n v="0"/>
    <n v="0"/>
    <s v="BB"/>
    <s v="FRA"/>
    <s v="Online TA"/>
    <x v="0"/>
    <n v="0"/>
    <n v="0"/>
    <n v="0"/>
    <s v="E"/>
    <s v="E"/>
    <n v="0"/>
    <s v="No Deposit"/>
    <n v="9"/>
    <m/>
    <n v="0"/>
    <x v="0"/>
    <x v="443"/>
    <n v="0"/>
    <n v="0"/>
    <x v="0"/>
    <d v="2017-03-19T00:00:00"/>
  </r>
  <r>
    <x v="1"/>
    <x v="1"/>
    <n v="274"/>
    <n v="2017"/>
    <x v="4"/>
    <n v="33"/>
    <n v="16"/>
    <n v="2"/>
    <n v="4"/>
    <n v="2"/>
    <n v="1"/>
    <n v="0"/>
    <s v="HB"/>
    <s v="PRT"/>
    <s v="Direct"/>
    <x v="2"/>
    <n v="0"/>
    <n v="0"/>
    <n v="0"/>
    <s v="C"/>
    <s v="C"/>
    <n v="0"/>
    <s v="No Deposit"/>
    <n v="250"/>
    <m/>
    <n v="0"/>
    <x v="0"/>
    <x v="444"/>
    <n v="1"/>
    <n v="3"/>
    <x v="1"/>
    <d v="2017-08-22T00:00:00"/>
  </r>
  <r>
    <x v="0"/>
    <x v="1"/>
    <n v="219"/>
    <n v="2017"/>
    <x v="10"/>
    <n v="25"/>
    <n v="18"/>
    <n v="2"/>
    <n v="3"/>
    <n v="2"/>
    <n v="0"/>
    <n v="0"/>
    <s v="BB"/>
    <s v="GBR"/>
    <s v="Online TA"/>
    <x v="0"/>
    <n v="0"/>
    <n v="0"/>
    <n v="0"/>
    <s v="A"/>
    <s v="A"/>
    <n v="0"/>
    <s v="No Deposit"/>
    <n v="9"/>
    <m/>
    <n v="0"/>
    <x v="0"/>
    <x v="352"/>
    <n v="0"/>
    <n v="1"/>
    <x v="1"/>
    <d v="2017-06-23T00:00:00"/>
  </r>
  <r>
    <x v="1"/>
    <x v="1"/>
    <n v="1"/>
    <n v="2017"/>
    <x v="9"/>
    <n v="6"/>
    <n v="11"/>
    <n v="0"/>
    <n v="1"/>
    <n v="2"/>
    <n v="0"/>
    <n v="0"/>
    <s v="BB"/>
    <s v="PRT"/>
    <s v="Online TA"/>
    <x v="0"/>
    <n v="1"/>
    <n v="0"/>
    <n v="1"/>
    <s v="A"/>
    <s v="A"/>
    <n v="0"/>
    <s v="No Deposit"/>
    <n v="240"/>
    <m/>
    <n v="0"/>
    <x v="0"/>
    <x v="21"/>
    <n v="0"/>
    <n v="1"/>
    <x v="1"/>
    <d v="2017-02-12T00:00:00"/>
  </r>
  <r>
    <x v="0"/>
    <x v="1"/>
    <n v="0"/>
    <n v="2017"/>
    <x v="10"/>
    <n v="22"/>
    <n v="1"/>
    <n v="0"/>
    <n v="1"/>
    <n v="2"/>
    <n v="0"/>
    <n v="0"/>
    <s v="SC"/>
    <s v="USA"/>
    <s v="Online TA"/>
    <x v="0"/>
    <n v="0"/>
    <n v="0"/>
    <n v="0"/>
    <s v="A"/>
    <s v="A"/>
    <n v="0"/>
    <s v="No Deposit"/>
    <n v="152"/>
    <m/>
    <n v="0"/>
    <x v="0"/>
    <x v="445"/>
    <n v="0"/>
    <n v="0"/>
    <x v="1"/>
    <d v="2017-06-02T00:00:00"/>
  </r>
  <r>
    <x v="0"/>
    <x v="1"/>
    <n v="10"/>
    <n v="2017"/>
    <x v="0"/>
    <n v="27"/>
    <n v="6"/>
    <n v="0"/>
    <n v="1"/>
    <n v="1"/>
    <n v="0"/>
    <n v="0"/>
    <s v="BB"/>
    <s v="PRT"/>
    <s v="Corporate"/>
    <x v="1"/>
    <n v="0"/>
    <n v="0"/>
    <n v="0"/>
    <s v="A"/>
    <s v="A"/>
    <n v="0"/>
    <s v="No Deposit"/>
    <n v="219"/>
    <m/>
    <n v="0"/>
    <x v="1"/>
    <x v="119"/>
    <n v="0"/>
    <n v="0"/>
    <x v="1"/>
    <d v="2017-07-07T00:00:00"/>
  </r>
  <r>
    <x v="1"/>
    <x v="1"/>
    <n v="295"/>
    <n v="2017"/>
    <x v="6"/>
    <n v="11"/>
    <n v="15"/>
    <n v="2"/>
    <n v="4"/>
    <n v="1"/>
    <n v="0"/>
    <n v="0"/>
    <s v="BB"/>
    <s v="DEU"/>
    <s v="Online TA"/>
    <x v="0"/>
    <n v="0"/>
    <n v="0"/>
    <n v="0"/>
    <s v="A"/>
    <s v="A"/>
    <n v="0"/>
    <s v="No Deposit"/>
    <n v="314"/>
    <m/>
    <n v="0"/>
    <x v="0"/>
    <x v="446"/>
    <n v="0"/>
    <n v="1"/>
    <x v="1"/>
    <d v="2017-03-21T00:00:00"/>
  </r>
  <r>
    <x v="1"/>
    <x v="0"/>
    <n v="22"/>
    <n v="2017"/>
    <x v="11"/>
    <n v="14"/>
    <n v="6"/>
    <n v="0"/>
    <n v="3"/>
    <n v="2"/>
    <n v="0"/>
    <n v="0"/>
    <s v="BB"/>
    <s v="PRT"/>
    <s v="Online TA"/>
    <x v="0"/>
    <n v="0"/>
    <n v="0"/>
    <n v="0"/>
    <s v="E"/>
    <s v="E"/>
    <n v="0"/>
    <s v="No Deposit"/>
    <n v="240"/>
    <m/>
    <n v="0"/>
    <x v="0"/>
    <x v="42"/>
    <n v="0"/>
    <n v="0"/>
    <x v="0"/>
    <d v="2017-03-15T00:00:00"/>
  </r>
  <r>
    <x v="0"/>
    <x v="0"/>
    <n v="97"/>
    <n v="2017"/>
    <x v="6"/>
    <n v="11"/>
    <n v="14"/>
    <n v="0"/>
    <n v="2"/>
    <n v="2"/>
    <n v="0"/>
    <n v="0"/>
    <s v="BB"/>
    <s v="PRT"/>
    <s v="Offline TA/TO"/>
    <x v="0"/>
    <n v="0"/>
    <n v="0"/>
    <n v="0"/>
    <s v="A"/>
    <s v="A"/>
    <n v="0"/>
    <s v="Non Refund"/>
    <n v="31"/>
    <m/>
    <n v="0"/>
    <x v="0"/>
    <x v="89"/>
    <n v="0"/>
    <n v="0"/>
    <x v="0"/>
    <d v="2016-12-07T00:00:00"/>
  </r>
  <r>
    <x v="0"/>
    <x v="0"/>
    <n v="95"/>
    <n v="2017"/>
    <x v="0"/>
    <n v="30"/>
    <n v="28"/>
    <n v="0"/>
    <n v="2"/>
    <n v="2"/>
    <n v="0"/>
    <n v="0"/>
    <s v="SC"/>
    <s v="GBR"/>
    <s v="Online TA"/>
    <x v="0"/>
    <n v="0"/>
    <n v="0"/>
    <n v="0"/>
    <s v="A"/>
    <s v="A"/>
    <n v="0"/>
    <s v="No Deposit"/>
    <n v="9"/>
    <m/>
    <n v="0"/>
    <x v="0"/>
    <x v="358"/>
    <n v="0"/>
    <n v="1"/>
    <x v="0"/>
    <d v="2017-04-24T00:00:00"/>
  </r>
  <r>
    <x v="0"/>
    <x v="0"/>
    <n v="88"/>
    <n v="2017"/>
    <x v="4"/>
    <n v="32"/>
    <n v="12"/>
    <n v="2"/>
    <n v="5"/>
    <n v="3"/>
    <n v="0"/>
    <n v="0"/>
    <s v="BB"/>
    <s v="ROU"/>
    <s v="Online TA"/>
    <x v="0"/>
    <n v="0"/>
    <n v="0"/>
    <n v="0"/>
    <s v="D"/>
    <s v="D"/>
    <n v="0"/>
    <s v="No Deposit"/>
    <n v="9"/>
    <m/>
    <n v="0"/>
    <x v="0"/>
    <x v="391"/>
    <n v="0"/>
    <n v="1"/>
    <x v="0"/>
    <d v="2017-05-18T00:00:00"/>
  </r>
  <r>
    <x v="0"/>
    <x v="1"/>
    <n v="3"/>
    <n v="2017"/>
    <x v="4"/>
    <n v="35"/>
    <n v="31"/>
    <n v="0"/>
    <n v="1"/>
    <n v="2"/>
    <n v="0"/>
    <n v="0"/>
    <s v="SC"/>
    <s v="PRT"/>
    <s v="Online TA"/>
    <x v="0"/>
    <n v="0"/>
    <n v="0"/>
    <n v="0"/>
    <s v="A"/>
    <s v="A"/>
    <n v="2"/>
    <s v="No Deposit"/>
    <n v="9"/>
    <m/>
    <n v="0"/>
    <x v="0"/>
    <x v="5"/>
    <n v="0"/>
    <n v="1"/>
    <x v="1"/>
    <d v="2017-09-01T00:00:00"/>
  </r>
  <r>
    <x v="0"/>
    <x v="0"/>
    <n v="97"/>
    <n v="2017"/>
    <x v="6"/>
    <n v="9"/>
    <n v="4"/>
    <n v="2"/>
    <n v="1"/>
    <n v="2"/>
    <n v="0"/>
    <n v="0"/>
    <s v="BB"/>
    <s v="BEL"/>
    <s v="Online TA"/>
    <x v="0"/>
    <n v="0"/>
    <n v="0"/>
    <n v="0"/>
    <s v="A"/>
    <s v="A"/>
    <n v="0"/>
    <s v="No Deposit"/>
    <n v="9"/>
    <m/>
    <n v="0"/>
    <x v="0"/>
    <x v="416"/>
    <n v="0"/>
    <n v="1"/>
    <x v="0"/>
    <d v="2016-12-25T00:00:00"/>
  </r>
  <r>
    <x v="0"/>
    <x v="0"/>
    <n v="6"/>
    <n v="2017"/>
    <x v="9"/>
    <n v="7"/>
    <n v="14"/>
    <n v="0"/>
    <n v="1"/>
    <n v="2"/>
    <n v="1"/>
    <n v="0"/>
    <s v="BB"/>
    <s v="FRA"/>
    <s v="Online TA"/>
    <x v="0"/>
    <n v="0"/>
    <n v="0"/>
    <n v="0"/>
    <s v="A"/>
    <s v="A"/>
    <n v="0"/>
    <s v="No Deposit"/>
    <n v="9"/>
    <m/>
    <n v="0"/>
    <x v="0"/>
    <x v="213"/>
    <n v="0"/>
    <n v="0"/>
    <x v="0"/>
    <d v="2017-02-08T00:00:00"/>
  </r>
  <r>
    <x v="0"/>
    <x v="1"/>
    <n v="13"/>
    <n v="2017"/>
    <x v="8"/>
    <n v="3"/>
    <n v="21"/>
    <n v="1"/>
    <n v="1"/>
    <n v="2"/>
    <n v="0"/>
    <n v="0"/>
    <s v="SC"/>
    <s v="ESP"/>
    <s v="Online TA"/>
    <x v="0"/>
    <n v="0"/>
    <n v="0"/>
    <n v="0"/>
    <s v="A"/>
    <s v="A"/>
    <n v="2"/>
    <s v="No Deposit"/>
    <n v="9"/>
    <m/>
    <n v="0"/>
    <x v="0"/>
    <x v="138"/>
    <n v="0"/>
    <n v="1"/>
    <x v="1"/>
    <d v="2017-01-23T00:00:00"/>
  </r>
  <r>
    <x v="0"/>
    <x v="1"/>
    <n v="157"/>
    <n v="2017"/>
    <x v="4"/>
    <n v="31"/>
    <n v="1"/>
    <n v="0"/>
    <n v="4"/>
    <n v="2"/>
    <n v="0"/>
    <n v="0"/>
    <s v="BB"/>
    <s v="BEL"/>
    <s v="Online TA"/>
    <x v="0"/>
    <n v="0"/>
    <n v="0"/>
    <n v="0"/>
    <s v="A"/>
    <s v="A"/>
    <n v="0"/>
    <s v="No Deposit"/>
    <n v="9"/>
    <m/>
    <n v="0"/>
    <x v="0"/>
    <x v="447"/>
    <n v="0"/>
    <n v="0"/>
    <x v="1"/>
    <d v="2017-08-05T00:00:00"/>
  </r>
  <r>
    <x v="0"/>
    <x v="1"/>
    <n v="263"/>
    <n v="2017"/>
    <x v="10"/>
    <n v="25"/>
    <n v="23"/>
    <n v="2"/>
    <n v="2"/>
    <n v="2"/>
    <n v="0"/>
    <n v="0"/>
    <s v="BB"/>
    <s v="PRT"/>
    <s v="Groups"/>
    <x v="0"/>
    <n v="0"/>
    <n v="0"/>
    <n v="0"/>
    <s v="A"/>
    <s v="A"/>
    <n v="0"/>
    <s v="No Deposit"/>
    <n v="37"/>
    <m/>
    <n v="0"/>
    <x v="1"/>
    <x v="57"/>
    <n v="0"/>
    <n v="1"/>
    <x v="1"/>
    <d v="2017-06-27T00:00:00"/>
  </r>
  <r>
    <x v="0"/>
    <x v="0"/>
    <n v="479"/>
    <n v="2017"/>
    <x v="4"/>
    <n v="32"/>
    <n v="9"/>
    <n v="0"/>
    <n v="3"/>
    <n v="2"/>
    <n v="0"/>
    <n v="0"/>
    <s v="BB"/>
    <s v="PRT"/>
    <s v="Offline TA/TO"/>
    <x v="0"/>
    <n v="0"/>
    <n v="0"/>
    <n v="0"/>
    <s v="A"/>
    <s v="A"/>
    <n v="0"/>
    <s v="No Deposit"/>
    <n v="229"/>
    <m/>
    <n v="0"/>
    <x v="1"/>
    <x v="351"/>
    <n v="0"/>
    <n v="0"/>
    <x v="0"/>
    <d v="2017-07-27T00:00:00"/>
  </r>
  <r>
    <x v="0"/>
    <x v="1"/>
    <n v="405"/>
    <n v="2017"/>
    <x v="0"/>
    <n v="27"/>
    <n v="4"/>
    <n v="0"/>
    <n v="2"/>
    <n v="2"/>
    <n v="0"/>
    <n v="0"/>
    <s v="HB"/>
    <s v="DEU"/>
    <s v="Offline TA/TO"/>
    <x v="0"/>
    <n v="0"/>
    <n v="0"/>
    <n v="0"/>
    <s v="A"/>
    <s v="A"/>
    <n v="0"/>
    <s v="No Deposit"/>
    <n v="6"/>
    <m/>
    <n v="0"/>
    <x v="1"/>
    <x v="448"/>
    <n v="0"/>
    <n v="0"/>
    <x v="1"/>
    <d v="2017-07-06T00:00:00"/>
  </r>
  <r>
    <x v="1"/>
    <x v="1"/>
    <n v="29"/>
    <n v="2017"/>
    <x v="11"/>
    <n v="15"/>
    <n v="10"/>
    <n v="1"/>
    <n v="0"/>
    <n v="2"/>
    <n v="0"/>
    <n v="0"/>
    <s v="BB"/>
    <s v="ESP"/>
    <s v="Online TA"/>
    <x v="0"/>
    <n v="0"/>
    <n v="0"/>
    <n v="0"/>
    <s v="A"/>
    <s v="A"/>
    <n v="0"/>
    <s v="No Deposit"/>
    <n v="240"/>
    <m/>
    <n v="0"/>
    <x v="0"/>
    <x v="45"/>
    <n v="0"/>
    <n v="1"/>
    <x v="1"/>
    <d v="2017-04-11T00:00:00"/>
  </r>
  <r>
    <x v="0"/>
    <x v="0"/>
    <n v="184"/>
    <n v="2017"/>
    <x v="4"/>
    <n v="35"/>
    <n v="28"/>
    <n v="1"/>
    <n v="2"/>
    <n v="2"/>
    <n v="0"/>
    <n v="0"/>
    <s v="BB"/>
    <s v="PRT"/>
    <s v="Direct"/>
    <x v="2"/>
    <n v="0"/>
    <n v="0"/>
    <n v="0"/>
    <s v="E"/>
    <s v="E"/>
    <n v="0"/>
    <s v="No Deposit"/>
    <n v="14"/>
    <m/>
    <n v="0"/>
    <x v="0"/>
    <x v="449"/>
    <n v="0"/>
    <n v="3"/>
    <x v="0"/>
    <d v="2017-03-07T00:00:00"/>
  </r>
  <r>
    <x v="0"/>
    <x v="1"/>
    <n v="214"/>
    <n v="2017"/>
    <x v="7"/>
    <n v="22"/>
    <n v="28"/>
    <n v="2"/>
    <n v="4"/>
    <n v="2"/>
    <n v="0"/>
    <n v="0"/>
    <s v="SC"/>
    <s v="CHE"/>
    <s v="Online TA"/>
    <x v="0"/>
    <n v="0"/>
    <n v="0"/>
    <n v="0"/>
    <s v="A"/>
    <s v="A"/>
    <n v="0"/>
    <s v="No Deposit"/>
    <n v="9"/>
    <m/>
    <n v="0"/>
    <x v="0"/>
    <x v="450"/>
    <n v="0"/>
    <n v="0"/>
    <x v="1"/>
    <d v="2017-06-03T00:00:00"/>
  </r>
  <r>
    <x v="0"/>
    <x v="1"/>
    <n v="39"/>
    <n v="2017"/>
    <x v="4"/>
    <n v="34"/>
    <n v="20"/>
    <n v="2"/>
    <n v="0"/>
    <n v="1"/>
    <n v="0"/>
    <n v="0"/>
    <s v="BB"/>
    <s v="PRT"/>
    <s v="Offline TA/TO"/>
    <x v="0"/>
    <n v="0"/>
    <n v="0"/>
    <n v="0"/>
    <s v="A"/>
    <s v="A"/>
    <n v="0"/>
    <s v="No Deposit"/>
    <n v="310"/>
    <m/>
    <n v="0"/>
    <x v="0"/>
    <x v="5"/>
    <n v="0"/>
    <n v="0"/>
    <x v="1"/>
    <d v="2017-08-22T00:00:00"/>
  </r>
  <r>
    <x v="0"/>
    <x v="1"/>
    <n v="133"/>
    <n v="2017"/>
    <x v="11"/>
    <n v="16"/>
    <n v="19"/>
    <n v="0"/>
    <n v="4"/>
    <n v="2"/>
    <n v="0"/>
    <n v="0"/>
    <s v="BB"/>
    <s v="ISL"/>
    <s v="Offline TA/TO"/>
    <x v="0"/>
    <n v="0"/>
    <n v="0"/>
    <n v="0"/>
    <s v="A"/>
    <s v="A"/>
    <n v="0"/>
    <s v="No Deposit"/>
    <n v="390"/>
    <m/>
    <n v="0"/>
    <x v="1"/>
    <x v="96"/>
    <n v="0"/>
    <n v="0"/>
    <x v="1"/>
    <d v="2017-04-23T00:00:00"/>
  </r>
  <r>
    <x v="1"/>
    <x v="1"/>
    <n v="2"/>
    <n v="2017"/>
    <x v="7"/>
    <n v="19"/>
    <n v="7"/>
    <n v="2"/>
    <n v="0"/>
    <n v="2"/>
    <n v="0"/>
    <n v="0"/>
    <s v="BB"/>
    <s v="PRT"/>
    <s v="Online TA"/>
    <x v="0"/>
    <n v="0"/>
    <n v="0"/>
    <n v="0"/>
    <s v="A"/>
    <s v="B"/>
    <n v="0"/>
    <s v="No Deposit"/>
    <n v="240"/>
    <m/>
    <n v="0"/>
    <x v="0"/>
    <x v="451"/>
    <n v="1"/>
    <n v="1"/>
    <x v="1"/>
    <d v="2017-05-09T00:00:00"/>
  </r>
  <r>
    <x v="0"/>
    <x v="1"/>
    <n v="1"/>
    <n v="2017"/>
    <x v="9"/>
    <n v="5"/>
    <n v="2"/>
    <n v="0"/>
    <n v="1"/>
    <n v="1"/>
    <n v="0"/>
    <n v="0"/>
    <s v="BB"/>
    <s v="PRT"/>
    <s v="Direct"/>
    <x v="2"/>
    <n v="1"/>
    <n v="1"/>
    <n v="6"/>
    <s v="E"/>
    <s v="E"/>
    <n v="1"/>
    <s v="No Deposit"/>
    <m/>
    <m/>
    <n v="0"/>
    <x v="0"/>
    <x v="199"/>
    <n v="0"/>
    <n v="0"/>
    <x v="1"/>
    <d v="2017-02-03T00:00:00"/>
  </r>
  <r>
    <x v="0"/>
    <x v="0"/>
    <n v="10"/>
    <n v="2017"/>
    <x v="9"/>
    <n v="7"/>
    <n v="16"/>
    <n v="0"/>
    <n v="3"/>
    <n v="2"/>
    <n v="0"/>
    <n v="0"/>
    <s v="SC"/>
    <s v="ITA"/>
    <s v="Online TA"/>
    <x v="0"/>
    <n v="0"/>
    <n v="0"/>
    <n v="0"/>
    <s v="A"/>
    <s v="A"/>
    <n v="0"/>
    <s v="No Deposit"/>
    <n v="9"/>
    <m/>
    <n v="0"/>
    <x v="0"/>
    <x v="54"/>
    <n v="0"/>
    <n v="0"/>
    <x v="0"/>
    <d v="2017-02-06T00:00:00"/>
  </r>
  <r>
    <x v="0"/>
    <x v="1"/>
    <n v="48"/>
    <n v="2017"/>
    <x v="9"/>
    <n v="8"/>
    <n v="22"/>
    <n v="0"/>
    <n v="2"/>
    <n v="1"/>
    <n v="0"/>
    <n v="0"/>
    <s v="BB"/>
    <s v="ESP"/>
    <s v="Groups"/>
    <x v="0"/>
    <n v="0"/>
    <n v="0"/>
    <n v="0"/>
    <s v="A"/>
    <s v="A"/>
    <n v="0"/>
    <s v="No Deposit"/>
    <m/>
    <m/>
    <n v="0"/>
    <x v="1"/>
    <x v="9"/>
    <n v="0"/>
    <n v="1"/>
    <x v="1"/>
    <d v="2017-02-24T00:00:00"/>
  </r>
  <r>
    <x v="1"/>
    <x v="1"/>
    <n v="69"/>
    <n v="2017"/>
    <x v="0"/>
    <n v="28"/>
    <n v="14"/>
    <n v="2"/>
    <n v="5"/>
    <n v="2"/>
    <n v="0"/>
    <n v="0"/>
    <s v="BB"/>
    <s v="ESP"/>
    <s v="Online TA"/>
    <x v="0"/>
    <n v="0"/>
    <n v="0"/>
    <n v="0"/>
    <s v="A"/>
    <s v="A"/>
    <n v="0"/>
    <s v="No Deposit"/>
    <n v="177"/>
    <m/>
    <n v="0"/>
    <x v="0"/>
    <x v="306"/>
    <n v="1"/>
    <n v="0"/>
    <x v="1"/>
    <d v="2017-07-21T00:00:00"/>
  </r>
  <r>
    <x v="0"/>
    <x v="1"/>
    <n v="78"/>
    <n v="2017"/>
    <x v="7"/>
    <n v="22"/>
    <n v="28"/>
    <n v="2"/>
    <n v="2"/>
    <n v="2"/>
    <n v="0"/>
    <n v="0"/>
    <s v="BB"/>
    <s v="GBR"/>
    <s v="Offline TA/TO"/>
    <x v="0"/>
    <n v="0"/>
    <n v="0"/>
    <n v="0"/>
    <s v="A"/>
    <s v="A"/>
    <n v="0"/>
    <s v="No Deposit"/>
    <n v="22"/>
    <m/>
    <n v="0"/>
    <x v="0"/>
    <x v="277"/>
    <n v="0"/>
    <n v="1"/>
    <x v="1"/>
    <d v="2017-06-0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677745-DF3E-4567-AAD9-073F43EB9174}" name="visitors type rank"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60" firstHeaderRow="1" firstDataRow="1" firstDataCol="1"/>
  <pivotFields count="32">
    <pivotField showAll="0">
      <items count="3">
        <item x="0"/>
        <item x="1"/>
        <item t="default"/>
      </items>
    </pivotField>
    <pivotField showAll="0"/>
    <pivotField showAll="0"/>
    <pivotField showAll="0"/>
    <pivotField showAll="0">
      <items count="13">
        <item x="8"/>
        <item x="9"/>
        <item x="6"/>
        <item x="11"/>
        <item x="7"/>
        <item x="10"/>
        <item x="0"/>
        <item x="4"/>
        <item x="2"/>
        <item x="1"/>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numFmtId="14" showAll="0"/>
  </pivotFields>
  <rowFields count="1">
    <field x="26"/>
  </rowFields>
  <rowItems count="5">
    <i>
      <x v="2"/>
    </i>
    <i>
      <x v="3"/>
    </i>
    <i>
      <x/>
    </i>
    <i>
      <x v="1"/>
    </i>
    <i t="grand">
      <x/>
    </i>
  </rowItems>
  <colItems count="1">
    <i/>
  </colItems>
  <dataFields count="1">
    <dataField name="Count of visitor_type" fld="2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0825B-B950-4D1C-B3CC-F463C7E326C9}" name="week/weekend appoinme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4:F57" firstHeaderRow="0" firstDataRow="1" firstDataCol="1"/>
  <pivotFields count="32">
    <pivotField showAll="0">
      <items count="3">
        <item x="0"/>
        <item x="1"/>
        <item t="default"/>
      </items>
    </pivotField>
    <pivotField showAll="0"/>
    <pivotField showAll="0"/>
    <pivotField showAll="0"/>
    <pivotField axis="axisRow" showAll="0">
      <items count="13">
        <item x="8"/>
        <item x="9"/>
        <item x="6"/>
        <item x="11"/>
        <item x="7"/>
        <item x="10"/>
        <item x="0"/>
        <item x="4"/>
        <item x="2"/>
        <item x="1"/>
        <item x="5"/>
        <item x="3"/>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4">
        <item x="0"/>
        <item x="1"/>
        <item x="2"/>
        <item t="default"/>
      </items>
    </pivotField>
    <pivotField numFmtId="14"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stays_in_weekend_nights" fld="7" baseField="0" baseItem="0"/>
    <dataField name="Sum of stays_in_week_nights"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865288-65DE-4E10-BBAF-44598474CB74}" name="channel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8:B53" firstHeaderRow="1" firstDataRow="1" firstDataCol="1"/>
  <pivotFields count="32">
    <pivotField showAll="0">
      <items count="3">
        <item x="0"/>
        <item x="1"/>
        <item t="default"/>
      </items>
    </pivotField>
    <pivotField showAll="0"/>
    <pivotField showAll="0"/>
    <pivotField showAll="0"/>
    <pivotField showAll="0">
      <items count="13">
        <item x="8"/>
        <item x="9"/>
        <item x="6"/>
        <item x="11"/>
        <item x="7"/>
        <item x="10"/>
        <item x="0"/>
        <item x="4"/>
        <item x="2"/>
        <item x="1"/>
        <item x="5"/>
        <item x="3"/>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4">
        <item x="0"/>
        <item x="1"/>
        <item x="2"/>
        <item t="default"/>
      </items>
    </pivotField>
    <pivotField numFmtId="14" showAll="0"/>
  </pivotFields>
  <rowFields count="1">
    <field x="15"/>
  </rowFields>
  <rowItems count="5">
    <i>
      <x/>
    </i>
    <i>
      <x v="1"/>
    </i>
    <i>
      <x v="2"/>
    </i>
    <i>
      <x v="3"/>
    </i>
    <i t="grand">
      <x/>
    </i>
  </rowItems>
  <colItems count="1">
    <i/>
  </colItems>
  <dataFields count="1">
    <dataField name="Sum of visitor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CC5D7E-C3BA-4623-8B44-CC0BB5E5F586}" name="apponiment month tren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3:B46" firstHeaderRow="1" firstDataRow="1" firstDataCol="1"/>
  <pivotFields count="32">
    <pivotField showAll="0"/>
    <pivotField showAll="0"/>
    <pivotField showAll="0"/>
    <pivotField showAll="0"/>
    <pivotField axis="axisRow" dataField="1" showAll="0">
      <items count="13">
        <item x="8"/>
        <item x="9"/>
        <item x="6"/>
        <item x="11"/>
        <item x="7"/>
        <item x="10"/>
        <item x="0"/>
        <item x="4"/>
        <item x="2"/>
        <item x="1"/>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14" showAll="0"/>
  </pivotFields>
  <rowFields count="1">
    <field x="4"/>
  </rowFields>
  <rowItems count="13">
    <i>
      <x/>
    </i>
    <i>
      <x v="1"/>
    </i>
    <i>
      <x v="2"/>
    </i>
    <i>
      <x v="3"/>
    </i>
    <i>
      <x v="4"/>
    </i>
    <i>
      <x v="5"/>
    </i>
    <i>
      <x v="6"/>
    </i>
    <i>
      <x v="7"/>
    </i>
    <i>
      <x v="8"/>
    </i>
    <i>
      <x v="9"/>
    </i>
    <i>
      <x v="10"/>
    </i>
    <i>
      <x v="11"/>
    </i>
    <i t="grand">
      <x/>
    </i>
  </rowItems>
  <colItems count="1">
    <i/>
  </colItems>
  <dataFields count="1">
    <dataField name="Count of appointment_month" fld="4" subtotal="count"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B6834-158D-4B8B-9E9B-6D494ABDEB8E}" name="visitor typ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3" firstHeaderRow="1" firstDataRow="1" firstDataCol="1"/>
  <pivotFields count="32">
    <pivotField showAll="0">
      <items count="3">
        <item x="0"/>
        <item x="1"/>
        <item t="default"/>
      </items>
    </pivotField>
    <pivotField showAll="0"/>
    <pivotField showAll="0"/>
    <pivotField showAll="0"/>
    <pivotField showAll="0">
      <items count="13">
        <item x="8"/>
        <item x="9"/>
        <item x="6"/>
        <item x="11"/>
        <item x="7"/>
        <item x="10"/>
        <item x="0"/>
        <item x="4"/>
        <item x="2"/>
        <item x="1"/>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items count="4">
        <item x="0"/>
        <item x="1"/>
        <item x="2"/>
        <item t="default"/>
      </items>
    </pivotField>
    <pivotField numFmtId="14" showAll="0"/>
  </pivotFields>
  <rowFields count="1">
    <field x="26"/>
  </rowFields>
  <rowItems count="5">
    <i>
      <x/>
    </i>
    <i>
      <x v="1"/>
    </i>
    <i>
      <x v="2"/>
    </i>
    <i>
      <x v="3"/>
    </i>
    <i t="grand">
      <x/>
    </i>
  </rowItems>
  <colItems count="1">
    <i/>
  </colItems>
  <dataFields count="1">
    <dataField name="Count of visitor_type" fld="2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5577B1-E0E3-43EA-B0D9-DFA2B930B23A}" name="office locat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9:E12" firstHeaderRow="1" firstDataRow="1" firstDataCol="1"/>
  <pivotFields count="32">
    <pivotField axis="axisRow" dataField="1" showAll="0">
      <items count="3">
        <item x="0"/>
        <item x="1"/>
        <item t="default"/>
      </items>
    </pivotField>
    <pivotField showAll="0"/>
    <pivotField showAll="0"/>
    <pivotField showAll="0"/>
    <pivotField showAll="0">
      <items count="13">
        <item x="8"/>
        <item x="9"/>
        <item x="6"/>
        <item x="11"/>
        <item x="7"/>
        <item x="10"/>
        <item x="0"/>
        <item x="4"/>
        <item x="2"/>
        <item x="1"/>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4">
        <item x="0"/>
        <item x="1"/>
        <item x="2"/>
        <item t="default"/>
      </items>
    </pivotField>
    <pivotField numFmtId="14" showAll="0"/>
  </pivotFields>
  <rowFields count="1">
    <field x="0"/>
  </rowFields>
  <rowItems count="3">
    <i>
      <x/>
    </i>
    <i>
      <x v="1"/>
    </i>
    <i t="grand">
      <x/>
    </i>
  </rowItems>
  <colItems count="1">
    <i/>
  </colItems>
  <dataFields count="1">
    <dataField name="Count of office_location" fld="0" subtotal="count" baseField="0" baseItem="0"/>
  </dataField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2F03AE-F0D5-40D6-9B7A-547946885AB3}" name="appoinment statu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7" firstHeaderRow="1" firstDataRow="1" firstDataCol="1"/>
  <pivotFields count="32">
    <pivotField showAll="0">
      <items count="3">
        <item x="0"/>
        <item x="1"/>
        <item t="default"/>
      </items>
    </pivotField>
    <pivotField showAll="0"/>
    <pivotField showAll="0"/>
    <pivotField showAll="0"/>
    <pivotField showAll="0">
      <items count="13">
        <item x="8"/>
        <item x="9"/>
        <item x="6"/>
        <item x="11"/>
        <item x="7"/>
        <item x="10"/>
        <item x="0"/>
        <item x="4"/>
        <item x="2"/>
        <item x="1"/>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dataField="1" showAll="0">
      <items count="4">
        <item x="0"/>
        <item x="1"/>
        <item x="2"/>
        <item t="default"/>
      </items>
    </pivotField>
    <pivotField numFmtId="14" showAll="0"/>
  </pivotFields>
  <rowFields count="1">
    <field x="30"/>
  </rowFields>
  <rowItems count="4">
    <i>
      <x/>
    </i>
    <i>
      <x v="1"/>
    </i>
    <i>
      <x v="2"/>
    </i>
    <i t="grand">
      <x/>
    </i>
  </rowItems>
  <colItems count="1">
    <i/>
  </colItems>
  <dataFields count="1">
    <dataField name="Count of appointment_status" fld="30" subtotal="count" baseField="0" baseItem="0"/>
  </dataFields>
  <chartFormats count="8">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0" count="1" selected="0">
            <x v="0"/>
          </reference>
        </references>
      </pivotArea>
    </chartFormat>
    <chartFormat chart="5" format="7">
      <pivotArea type="data" outline="0" fieldPosition="0">
        <references count="2">
          <reference field="4294967294" count="1" selected="0">
            <x v="0"/>
          </reference>
          <reference field="30" count="1" selected="0">
            <x v="1"/>
          </reference>
        </references>
      </pivotArea>
    </chartFormat>
    <chartFormat chart="5" format="8">
      <pivotArea type="data" outline="0" fieldPosition="0">
        <references count="2">
          <reference field="4294967294" count="1" selected="0">
            <x v="0"/>
          </reference>
          <reference field="30" count="1" selected="0">
            <x v="2"/>
          </reference>
        </references>
      </pivotArea>
    </chartFormat>
    <chartFormat chart="2" format="1">
      <pivotArea type="data" outline="0" fieldPosition="0">
        <references count="2">
          <reference field="4294967294" count="1" selected="0">
            <x v="0"/>
          </reference>
          <reference field="30" count="1" selected="0">
            <x v="0"/>
          </reference>
        </references>
      </pivotArea>
    </chartFormat>
    <chartFormat chart="2" format="2">
      <pivotArea type="data" outline="0" fieldPosition="0">
        <references count="2">
          <reference field="4294967294" count="1" selected="0">
            <x v="0"/>
          </reference>
          <reference field="30" count="1" selected="0">
            <x v="1"/>
          </reference>
        </references>
      </pivotArea>
    </chartFormat>
    <chartFormat chart="2" format="3">
      <pivotArea type="data" outline="0" fieldPosition="0">
        <references count="2">
          <reference field="4294967294" count="1" selected="0">
            <x v="0"/>
          </reference>
          <reference field="3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43AAA5-2D52-4C93-86F4-8560A5A7C207}" name="avg of days bef appoinme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1" firstHeaderRow="1" firstDataRow="1" firstDataCol="0"/>
  <pivotFields count="32">
    <pivotField showAll="0">
      <items count="3">
        <item x="0"/>
        <item x="1"/>
        <item t="default"/>
      </items>
    </pivotField>
    <pivotField showAll="0"/>
    <pivotField dataField="1" showAll="0"/>
    <pivotField showAll="0"/>
    <pivotField showAll="0">
      <items count="13">
        <item x="8"/>
        <item x="9"/>
        <item x="6"/>
        <item x="11"/>
        <item x="7"/>
        <item x="10"/>
        <item x="0"/>
        <item x="4"/>
        <item x="2"/>
        <item x="1"/>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4">
        <item x="0"/>
        <item x="1"/>
        <item x="2"/>
        <item t="default"/>
      </items>
    </pivotField>
    <pivotField numFmtId="14" showAll="0"/>
  </pivotFields>
  <rowItems count="1">
    <i/>
  </rowItems>
  <colItems count="1">
    <i/>
  </colItems>
  <dataFields count="1">
    <dataField name="Average of days_before_appointment"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32226E-EC6B-48E4-97F4-EF4A04C9B269}" name="sum of visitor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5:B28" firstHeaderRow="1" firstDataRow="1" firstDataCol="1"/>
  <pivotFields count="32">
    <pivotField axis="axisRow" showAll="0">
      <items count="3">
        <item x="0"/>
        <item x="1"/>
        <item t="default"/>
      </items>
    </pivotField>
    <pivotField showAll="0"/>
    <pivotField showAll="0"/>
    <pivotField showAll="0"/>
    <pivotField showAll="0">
      <items count="13">
        <item x="8"/>
        <item x="9"/>
        <item x="6"/>
        <item x="11"/>
        <item x="7"/>
        <item x="10"/>
        <item x="0"/>
        <item x="4"/>
        <item x="2"/>
        <item x="1"/>
        <item x="5"/>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4">
        <item x="0"/>
        <item x="1"/>
        <item x="2"/>
        <item t="default"/>
      </items>
    </pivotField>
    <pivotField numFmtId="14" showAll="0"/>
  </pivotFields>
  <rowFields count="1">
    <field x="0"/>
  </rowFields>
  <rowItems count="3">
    <i>
      <x/>
    </i>
    <i>
      <x v="1"/>
    </i>
    <i t="grand">
      <x/>
    </i>
  </rowItems>
  <colItems count="1">
    <i/>
  </colItems>
  <dataFields count="1">
    <dataField name="Sum of visitors" fld="9" baseField="0" baseItem="0"/>
  </dataFields>
  <formats count="3">
    <format dxfId="128">
      <pivotArea collapsedLevelsAreSubtotals="1" fieldPosition="0">
        <references count="1">
          <reference field="0" count="1">
            <x v="1"/>
          </reference>
        </references>
      </pivotArea>
    </format>
    <format dxfId="127">
      <pivotArea collapsedLevelsAreSubtotals="1" fieldPosition="0">
        <references count="1">
          <reference field="0" count="1">
            <x v="0"/>
          </reference>
        </references>
      </pivotArea>
    </format>
    <format dxfId="126">
      <pivotArea grandRow="1"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0853B9-ECB0-40C1-9D57-0DC36A846679}" name="peak month"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32">
    <pivotField showAll="0">
      <items count="3">
        <item x="0"/>
        <item x="1"/>
        <item t="default"/>
      </items>
    </pivotField>
    <pivotField showAll="0"/>
    <pivotField showAll="0"/>
    <pivotField showAll="0"/>
    <pivotField axis="axisRow" dataField="1" showAll="0" sortType="descending">
      <items count="13">
        <item x="8"/>
        <item x="9"/>
        <item x="6"/>
        <item x="11"/>
        <item x="7"/>
        <item x="10"/>
        <item x="0"/>
        <item x="4"/>
        <item x="2"/>
        <item x="1"/>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4">
        <item x="0"/>
        <item x="1"/>
        <item x="2"/>
        <item t="default"/>
      </items>
    </pivotField>
    <pivotField numFmtId="14" showAll="0"/>
  </pivotFields>
  <rowFields count="1">
    <field x="4"/>
  </rowFields>
  <rowItems count="13">
    <i>
      <x v="7"/>
    </i>
    <i>
      <x v="6"/>
    </i>
    <i>
      <x v="9"/>
    </i>
    <i>
      <x v="3"/>
    </i>
    <i>
      <x v="8"/>
    </i>
    <i>
      <x v="2"/>
    </i>
    <i>
      <x v="4"/>
    </i>
    <i>
      <x v="5"/>
    </i>
    <i>
      <x v="1"/>
    </i>
    <i>
      <x v="10"/>
    </i>
    <i>
      <x v="11"/>
    </i>
    <i>
      <x/>
    </i>
    <i t="grand">
      <x/>
    </i>
  </rowItems>
  <colItems count="1">
    <i/>
  </colItems>
  <dataFields count="1">
    <dataField name="Count of appointment_month" fld="4"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2530AA-7F9E-42E9-9C70-CA8D29142A6F}" name="sum of cancellat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4:E27" firstHeaderRow="1" firstDataRow="1" firstDataCol="1"/>
  <pivotFields count="32">
    <pivotField showAll="0">
      <items count="3">
        <item x="0"/>
        <item x="1"/>
        <item t="default"/>
      </items>
    </pivotField>
    <pivotField dataField="1" showAll="0">
      <items count="3">
        <item x="1"/>
        <item x="0"/>
        <item t="default"/>
      </items>
    </pivotField>
    <pivotField showAll="0"/>
    <pivotField showAll="0"/>
    <pivotField axis="axisRow" showAll="0">
      <items count="13">
        <item x="8"/>
        <item x="9"/>
        <item x="6"/>
        <item x="11"/>
        <item x="7"/>
        <item x="10"/>
        <item x="0"/>
        <item x="4"/>
        <item x="2"/>
        <item x="1"/>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items count="453">
        <item x="7"/>
        <item x="170"/>
        <item x="260"/>
        <item x="240"/>
        <item x="446"/>
        <item x="235"/>
        <item x="361"/>
        <item x="253"/>
        <item x="98"/>
        <item x="389"/>
        <item x="148"/>
        <item x="424"/>
        <item x="26"/>
        <item x="209"/>
        <item x="91"/>
        <item x="147"/>
        <item x="39"/>
        <item x="231"/>
        <item x="222"/>
        <item x="141"/>
        <item x="73"/>
        <item x="376"/>
        <item x="78"/>
        <item x="242"/>
        <item x="326"/>
        <item x="139"/>
        <item x="312"/>
        <item x="256"/>
        <item x="30"/>
        <item x="52"/>
        <item x="125"/>
        <item x="262"/>
        <item x="35"/>
        <item x="19"/>
        <item x="80"/>
        <item x="21"/>
        <item x="415"/>
        <item x="59"/>
        <item x="332"/>
        <item x="72"/>
        <item x="38"/>
        <item x="67"/>
        <item x="428"/>
        <item x="390"/>
        <item x="166"/>
        <item x="181"/>
        <item x="357"/>
        <item x="393"/>
        <item x="417"/>
        <item x="281"/>
        <item x="115"/>
        <item x="167"/>
        <item x="46"/>
        <item x="215"/>
        <item x="121"/>
        <item x="86"/>
        <item x="238"/>
        <item x="24"/>
        <item x="92"/>
        <item x="68"/>
        <item x="342"/>
        <item x="3"/>
        <item x="316"/>
        <item x="400"/>
        <item x="286"/>
        <item x="107"/>
        <item x="15"/>
        <item x="183"/>
        <item x="4"/>
        <item x="172"/>
        <item x="14"/>
        <item x="6"/>
        <item x="23"/>
        <item x="439"/>
        <item x="440"/>
        <item x="61"/>
        <item x="81"/>
        <item x="136"/>
        <item x="9"/>
        <item x="17"/>
        <item x="208"/>
        <item x="101"/>
        <item x="118"/>
        <item x="150"/>
        <item x="120"/>
        <item x="29"/>
        <item x="48"/>
        <item x="250"/>
        <item x="102"/>
        <item x="251"/>
        <item x="275"/>
        <item x="157"/>
        <item x="239"/>
        <item x="10"/>
        <item x="304"/>
        <item x="430"/>
        <item x="196"/>
        <item x="105"/>
        <item x="83"/>
        <item x="162"/>
        <item x="273"/>
        <item x="11"/>
        <item x="194"/>
        <item x="245"/>
        <item x="66"/>
        <item x="315"/>
        <item x="295"/>
        <item x="95"/>
        <item x="74"/>
        <item x="160"/>
        <item x="280"/>
        <item x="255"/>
        <item x="71"/>
        <item x="104"/>
        <item x="171"/>
        <item x="283"/>
        <item x="45"/>
        <item x="323"/>
        <item x="293"/>
        <item x="176"/>
        <item x="259"/>
        <item x="168"/>
        <item x="442"/>
        <item x="0"/>
        <item x="429"/>
        <item x="113"/>
        <item x="320"/>
        <item x="134"/>
        <item x="109"/>
        <item x="294"/>
        <item x="339"/>
        <item x="425"/>
        <item x="97"/>
        <item x="174"/>
        <item x="210"/>
        <item x="451"/>
        <item x="163"/>
        <item x="130"/>
        <item x="2"/>
        <item x="366"/>
        <item x="8"/>
        <item x="111"/>
        <item x="85"/>
        <item x="269"/>
        <item x="94"/>
        <item x="84"/>
        <item x="330"/>
        <item x="93"/>
        <item x="407"/>
        <item x="53"/>
        <item x="268"/>
        <item x="146"/>
        <item x="354"/>
        <item x="248"/>
        <item x="182"/>
        <item x="412"/>
        <item x="192"/>
        <item x="89"/>
        <item x="258"/>
        <item x="133"/>
        <item x="99"/>
        <item x="37"/>
        <item x="285"/>
        <item x="296"/>
        <item x="347"/>
        <item x="165"/>
        <item x="155"/>
        <item x="252"/>
        <item x="225"/>
        <item x="327"/>
        <item x="138"/>
        <item x="277"/>
        <item x="28"/>
        <item x="154"/>
        <item x="13"/>
        <item x="108"/>
        <item x="127"/>
        <item x="36"/>
        <item x="371"/>
        <item x="378"/>
        <item x="123"/>
        <item x="32"/>
        <item x="198"/>
        <item x="445"/>
        <item x="398"/>
        <item x="365"/>
        <item x="359"/>
        <item x="31"/>
        <item x="106"/>
        <item x="18"/>
        <item x="119"/>
        <item x="434"/>
        <item x="179"/>
        <item x="394"/>
        <item x="301"/>
        <item x="426"/>
        <item x="314"/>
        <item x="40"/>
        <item x="43"/>
        <item x="291"/>
        <item x="288"/>
        <item x="287"/>
        <item x="205"/>
        <item x="112"/>
        <item x="77"/>
        <item x="416"/>
        <item x="145"/>
        <item x="305"/>
        <item x="54"/>
        <item x="337"/>
        <item x="433"/>
        <item x="364"/>
        <item x="188"/>
        <item x="333"/>
        <item x="309"/>
        <item x="124"/>
        <item x="216"/>
        <item x="25"/>
        <item x="370"/>
        <item x="189"/>
        <item x="149"/>
        <item x="261"/>
        <item x="190"/>
        <item x="12"/>
        <item x="348"/>
        <item x="329"/>
        <item x="334"/>
        <item x="159"/>
        <item x="265"/>
        <item x="324"/>
        <item x="57"/>
        <item x="178"/>
        <item x="193"/>
        <item x="284"/>
        <item x="267"/>
        <item x="110"/>
        <item x="438"/>
        <item x="405"/>
        <item x="175"/>
        <item x="135"/>
        <item x="321"/>
        <item x="63"/>
        <item x="206"/>
        <item x="214"/>
        <item x="318"/>
        <item x="319"/>
        <item x="228"/>
        <item x="1"/>
        <item x="355"/>
        <item x="199"/>
        <item x="131"/>
        <item x="435"/>
        <item x="62"/>
        <item x="16"/>
        <item x="187"/>
        <item x="88"/>
        <item x="279"/>
        <item x="47"/>
        <item x="351"/>
        <item x="116"/>
        <item x="27"/>
        <item x="379"/>
        <item x="387"/>
        <item x="82"/>
        <item x="76"/>
        <item x="186"/>
        <item x="448"/>
        <item x="114"/>
        <item x="184"/>
        <item x="42"/>
        <item x="431"/>
        <item x="450"/>
        <item x="79"/>
        <item x="204"/>
        <item x="352"/>
        <item x="368"/>
        <item x="161"/>
        <item x="153"/>
        <item x="33"/>
        <item x="432"/>
        <item x="65"/>
        <item x="143"/>
        <item x="221"/>
        <item x="276"/>
        <item x="247"/>
        <item x="169"/>
        <item x="282"/>
        <item x="224"/>
        <item x="414"/>
        <item x="266"/>
        <item x="402"/>
        <item x="200"/>
        <item x="51"/>
        <item x="413"/>
        <item x="50"/>
        <item x="274"/>
        <item x="353"/>
        <item x="126"/>
        <item x="96"/>
        <item x="311"/>
        <item x="358"/>
        <item x="346"/>
        <item x="217"/>
        <item x="128"/>
        <item x="156"/>
        <item x="103"/>
        <item x="441"/>
        <item x="322"/>
        <item x="411"/>
        <item x="213"/>
        <item x="142"/>
        <item x="244"/>
        <item x="427"/>
        <item x="234"/>
        <item x="58"/>
        <item x="254"/>
        <item x="335"/>
        <item x="201"/>
        <item x="386"/>
        <item x="397"/>
        <item x="380"/>
        <item x="403"/>
        <item x="140"/>
        <item x="56"/>
        <item x="164"/>
        <item x="246"/>
        <item x="226"/>
        <item x="100"/>
        <item x="44"/>
        <item x="447"/>
        <item x="191"/>
        <item x="437"/>
        <item x="212"/>
        <item x="336"/>
        <item x="5"/>
        <item x="422"/>
        <item x="308"/>
        <item x="388"/>
        <item x="158"/>
        <item x="313"/>
        <item x="307"/>
        <item x="349"/>
        <item x="232"/>
        <item x="87"/>
        <item x="272"/>
        <item x="385"/>
        <item x="401"/>
        <item x="230"/>
        <item x="362"/>
        <item x="338"/>
        <item x="180"/>
        <item x="203"/>
        <item x="122"/>
        <item x="144"/>
        <item x="185"/>
        <item x="219"/>
        <item x="41"/>
        <item x="406"/>
        <item x="237"/>
        <item x="220"/>
        <item x="223"/>
        <item x="271"/>
        <item x="20"/>
        <item x="151"/>
        <item x="381"/>
        <item x="408"/>
        <item x="90"/>
        <item x="341"/>
        <item x="399"/>
        <item x="443"/>
        <item x="317"/>
        <item x="278"/>
        <item x="137"/>
        <item x="292"/>
        <item x="306"/>
        <item x="298"/>
        <item x="300"/>
        <item x="303"/>
        <item x="263"/>
        <item x="249"/>
        <item x="356"/>
        <item x="152"/>
        <item x="340"/>
        <item x="207"/>
        <item x="410"/>
        <item x="233"/>
        <item x="129"/>
        <item x="60"/>
        <item x="55"/>
        <item x="218"/>
        <item x="34"/>
        <item x="290"/>
        <item x="202"/>
        <item x="69"/>
        <item x="392"/>
        <item x="344"/>
        <item x="75"/>
        <item x="195"/>
        <item x="331"/>
        <item x="197"/>
        <item x="64"/>
        <item x="343"/>
        <item x="375"/>
        <item x="409"/>
        <item x="373"/>
        <item x="117"/>
        <item x="211"/>
        <item x="350"/>
        <item x="227"/>
        <item x="372"/>
        <item x="310"/>
        <item x="299"/>
        <item x="395"/>
        <item x="229"/>
        <item x="449"/>
        <item x="132"/>
        <item x="236"/>
        <item x="22"/>
        <item x="173"/>
        <item x="302"/>
        <item x="264"/>
        <item x="391"/>
        <item x="374"/>
        <item x="328"/>
        <item x="49"/>
        <item x="241"/>
        <item x="436"/>
        <item x="243"/>
        <item x="367"/>
        <item x="418"/>
        <item x="360"/>
        <item x="345"/>
        <item x="377"/>
        <item x="423"/>
        <item x="297"/>
        <item x="421"/>
        <item x="444"/>
        <item x="70"/>
        <item x="404"/>
        <item x="257"/>
        <item x="363"/>
        <item x="384"/>
        <item x="420"/>
        <item x="419"/>
        <item x="325"/>
        <item x="270"/>
        <item x="177"/>
        <item x="289"/>
        <item x="369"/>
        <item x="382"/>
        <item x="383"/>
        <item x="396"/>
        <item t="default"/>
      </items>
    </pivotField>
    <pivotField showAll="0"/>
    <pivotField showAll="0"/>
    <pivotField showAll="0">
      <items count="4">
        <item x="0"/>
        <item x="1"/>
        <item x="2"/>
        <item t="default"/>
      </items>
    </pivotField>
    <pivotField numFmtId="14" showAll="0"/>
  </pivotFields>
  <rowFields count="1">
    <field x="4"/>
  </rowFields>
  <rowItems count="13">
    <i>
      <x/>
    </i>
    <i>
      <x v="1"/>
    </i>
    <i>
      <x v="2"/>
    </i>
    <i>
      <x v="3"/>
    </i>
    <i>
      <x v="4"/>
    </i>
    <i>
      <x v="5"/>
    </i>
    <i>
      <x v="6"/>
    </i>
    <i>
      <x v="7"/>
    </i>
    <i>
      <x v="8"/>
    </i>
    <i>
      <x v="9"/>
    </i>
    <i>
      <x v="10"/>
    </i>
    <i>
      <x v="11"/>
    </i>
    <i t="grand">
      <x/>
    </i>
  </rowItems>
  <colItems count="1">
    <i/>
  </colItems>
  <dataFields count="1">
    <dataField name="Sum of appointment_cancelled" fld="1" baseField="0" baseItem="0"/>
  </dataFields>
  <chartFormats count="2">
    <chartFormat chart="1"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_location" xr10:uid="{7049C23A-C284-448B-8179-21E0BBC5B474}" sourceName="office_location">
  <pivotTables>
    <pivotTable tabId="3" name="sum of cancellation"/>
    <pivotTable tabId="3" name="peak month"/>
    <pivotTable tabId="3" name="appoinment status"/>
    <pivotTable tabId="3" name="visitor type"/>
    <pivotTable tabId="3" name="sum of visitors"/>
    <pivotTable tabId="3" name="avg of days bef appoinment"/>
    <pivotTable tabId="3" name="channels"/>
    <pivotTable tabId="3" name="visitors type rank"/>
    <pivotTable tabId="3" name="week/weekend appoinment"/>
  </pivotTables>
  <data>
    <tabular pivotCacheId="647305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_month" xr10:uid="{F9CE6C1A-D599-4115-B1B6-E07B58FF048D}" sourceName="appointment_month">
  <pivotTables>
    <pivotTable tabId="3" name="sum of cancellation"/>
    <pivotTable tabId="3" name="appoinment status"/>
    <pivotTable tabId="3" name="office location"/>
    <pivotTable tabId="3" name="visitor type"/>
    <pivotTable tabId="3" name="sum of visitors"/>
    <pivotTable tabId="3" name="avg of days bef appoinment"/>
    <pivotTable tabId="3" name="channels"/>
    <pivotTable tabId="3" name="visitors type rank"/>
    <pivotTable tabId="3" name="week/weekend appoinment"/>
  </pivotTables>
  <data>
    <tabular pivotCacheId="647305878">
      <items count="12">
        <i x="8" s="1"/>
        <i x="9" s="1"/>
        <i x="6" s="1"/>
        <i x="11" s="1"/>
        <i x="7" s="1"/>
        <i x="10" s="1"/>
        <i x="0" s="1"/>
        <i x="4" s="1"/>
        <i x="2" s="1"/>
        <i x="1"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or_type" xr10:uid="{1967C4C5-4279-4766-9C26-D9D6BED643BA}" sourceName="visitor_type">
  <pivotTables>
    <pivotTable tabId="3" name="sum of cancellation"/>
    <pivotTable tabId="3" name="peak month"/>
    <pivotTable tabId="3" name="avg of days bef appoinment"/>
    <pivotTable tabId="3" name="appoinment status"/>
    <pivotTable tabId="3" name="office location"/>
    <pivotTable tabId="3" name="sum of visitors"/>
    <pivotTable tabId="3" name="apponiment month trend"/>
    <pivotTable tabId="3" name="channels"/>
    <pivotTable tabId="3" name="week/weekend appoinment"/>
  </pivotTables>
  <data>
    <tabular pivotCacheId="64730587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_status" xr10:uid="{CC3B0031-30D5-4AA3-A8FA-3CDC040A6337}" sourceName="appointment_status">
  <pivotTables>
    <pivotTable tabId="3" name="avg of days bef appoinment"/>
    <pivotTable tabId="3" name="office location"/>
    <pivotTable tabId="3" name="visitor type"/>
    <pivotTable tabId="3" name="sum of cancellation"/>
    <pivotTable tabId="3" name="sum of visitors"/>
    <pivotTable tabId="3" name="channels"/>
    <pivotTable tabId="3" name="visitors type rank"/>
    <pivotTable tabId="3" name="week/weekend appoinment"/>
  </pivotTables>
  <data>
    <tabular pivotCacheId="64730587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ffice_location" xr10:uid="{4EA16D93-F4C8-4515-ABBF-51C2D3B10855}" cache="Slicer_office_location" caption="office_location" rowHeight="209550"/>
  <slicer name="appointment_month" xr10:uid="{E5B6B77E-F574-4DEB-ADCD-3B3D28F5F9F6}" cache="Slicer_appointment_month" caption="appointment_month" rowHeight="209550"/>
  <slicer name="visitor_type" xr10:uid="{5C0FF859-96C8-43F4-9F9F-B777AB8902A2}" cache="Slicer_visitor_type" caption="visitor_type" rowHeight="209550"/>
  <slicer name="appointment_status" xr10:uid="{5A0167D5-0C77-4F49-9161-E72BA9230EC1}" cache="Slicer_appointment_status" caption="appointment_status"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ffice_location 1" xr10:uid="{0753E4F5-1649-406D-9A5C-C67A6C4140E5}" cache="Slicer_office_location" caption="Office Location" columnCount="2" style="SlicerStyleOther2" rowHeight="209550"/>
  <slicer name="appointment_month 1" xr10:uid="{9F66709F-008D-4FA9-9B81-2F76901DFD48}" cache="Slicer_appointment_month" caption="appointment_month" rowHeight="209550"/>
  <slicer name="appointment_month 2" xr10:uid="{FD6E5310-63C7-4D05-9B25-4D92F9849F47}" cache="Slicer_appointment_month" caption="Month" columnCount="2" style="SlicerStyleOther2" rowHeight="209550"/>
  <slicer name="visitor_type 1" xr10:uid="{AF80D062-C340-4461-AC90-6B96CDEC947D}" cache="Slicer_visitor_type" caption="visitor_type" rowHeight="209550"/>
  <slicer name="visitor_type 2" xr10:uid="{37FF2093-50B1-4158-A231-6C98D61D804B}" cache="Slicer_visitor_type" caption="Visitor Type" columnCount="2" style="SlicerStyleOther2" rowHeight="209550"/>
  <slicer name="appointment_status 1" xr10:uid="{F9875547-8E05-44C5-8AB4-A25F0B57C5E4}" cache="Slicer_appointment_status" caption="appointment_status" columnCount="2" style="SlicerStyleOther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D4C283-3666-4724-9CDA-A0243815F300}" name="Table3" displayName="Table3" ref="A3:AF4" totalsRowShown="0">
  <autoFilter ref="A3:AF4" xr:uid="{0AD4C283-3666-4724-9CDA-A0243815F300}"/>
  <tableColumns count="32">
    <tableColumn id="1" xr3:uid="{4DA37D91-94CA-40F9-8582-974688A64D4F}" name="office_location"/>
    <tableColumn id="2" xr3:uid="{04EE0AA5-4916-4F04-B6E3-07A9838165F9}" name="appointment_cancelled"/>
    <tableColumn id="3" xr3:uid="{8E771693-8365-4888-A3C4-2BD3E558EE55}" name="days_before_appointment"/>
    <tableColumn id="4" xr3:uid="{DF4CA255-57BF-44E0-AF2B-881228050AF1}" name="appointment_year"/>
    <tableColumn id="5" xr3:uid="{C6F8E037-0DF5-453F-A72D-3C468D508986}" name="appointment_month"/>
    <tableColumn id="6" xr3:uid="{71C655E9-DE4D-40E2-861E-D10C90137AEF}" name="arrival_date_week_number"/>
    <tableColumn id="7" xr3:uid="{78893373-9292-4F65-A1AF-E8B472DC956B}" name="appointment_day"/>
    <tableColumn id="8" xr3:uid="{6FDC7FCA-1475-4847-A8E3-4D9D4DAE3C37}" name="stays_in_weekend_nights"/>
    <tableColumn id="9" xr3:uid="{63490866-FC99-4A50-9ACA-2C342D7B19B9}" name="stays_in_week_nights"/>
    <tableColumn id="10" xr3:uid="{A07832F8-4A34-4A50-97D0-9027819E084F}" name="visitors"/>
    <tableColumn id="11" xr3:uid="{9FB7879C-49D8-4BB8-9CC1-23A420B4FE82}" name="additional_visitors"/>
    <tableColumn id="12" xr3:uid="{AE87D21C-C0AD-42F2-9F64-C6E3874B48DB}" name="babies"/>
    <tableColumn id="13" xr3:uid="{C8CAB6F7-40AB-4F0D-95A8-6C0193C45A8D}" name="meal"/>
    <tableColumn id="14" xr3:uid="{3A45287E-E65D-4AC0-A4E8-D4147735F032}" name="visitor_country"/>
    <tableColumn id="15" xr3:uid="{24640CD8-FAF2-4ED1-870F-A101F87C1CB6}" name="visitor_source"/>
    <tableColumn id="16" xr3:uid="{E0D8577D-9150-4D1E-9CC7-2941CCF8FCB1}" name="appointment_channel"/>
    <tableColumn id="17" xr3:uid="{F68FE9C2-29C3-4187-B25F-1F72F203BC0B}" name="is_repeated_guest"/>
    <tableColumn id="18" xr3:uid="{1FB4C25F-BF99-437A-ADC7-21C9FB7A18A4}" name="previous_cancellations"/>
    <tableColumn id="19" xr3:uid="{53AFB5A7-2CB8-4CCC-83A8-CDAF5435BB83}" name="previous_bookings_not_canceled"/>
    <tableColumn id="20" xr3:uid="{9CF69D98-6045-4D4A-848A-35E8FD56523C}" name="reserved_meeting_room"/>
    <tableColumn id="21" xr3:uid="{CE74BC95-C0F8-4FB9-9ACF-ABDC021205C4}" name="assigned_meeting_room"/>
    <tableColumn id="22" xr3:uid="{8937EF22-22DD-45D7-A027-BF4AFB05E419}" name="appointment_changes"/>
    <tableColumn id="23" xr3:uid="{671B54D0-5274-4808-86CB-EA4A57230A43}" name="deposit_type"/>
    <tableColumn id="24" xr3:uid="{28313569-D03B-444B-AACF-4E48751E7BB1}" name="agent"/>
    <tableColumn id="25" xr3:uid="{0DFED88A-4BFB-43CD-8028-696DB1E6B74B}" name="company"/>
    <tableColumn id="26" xr3:uid="{5C57D35E-6A67-4974-86CF-45898DCCD834}" name="days_in_waiting_list"/>
    <tableColumn id="27" xr3:uid="{4CE50078-2476-4EE4-87B5-BD15BAE1C306}" name="visitor_type"/>
    <tableColumn id="28" xr3:uid="{A4581F39-B9D6-400F-B60A-680F28D48228}" name="meeting_cost"/>
    <tableColumn id="29" xr3:uid="{E1FDC76B-E243-4F4A-8EC1-B00066F2FA8A}" name="required_car_parking_spaces"/>
    <tableColumn id="30" xr3:uid="{FCF96D0C-5025-432F-9D02-AF41FC99DFDB}" name="total_of_special_requests"/>
    <tableColumn id="31" xr3:uid="{3FE553ED-DF40-4361-8F8B-1856898E7C2A}" name="appointment_status"/>
    <tableColumn id="32" xr3:uid="{DFFBBC4C-CE7D-4D3E-AE2D-B0CED43ACF38}" name="appointment_status_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0665C9-D3DB-4F3C-9077-F42865C47FAE}" name="Table2" displayName="Table2" ref="A1:AF1001" totalsRowShown="0" dataDxfId="125">
  <autoFilter ref="A1:AF1001" xr:uid="{C40665C9-D3DB-4F3C-9077-F42865C47FAE}"/>
  <sortState xmlns:xlrd2="http://schemas.microsoft.com/office/spreadsheetml/2017/richdata2" ref="A2:AF1001">
    <sortCondition ref="D1:D1001"/>
  </sortState>
  <tableColumns count="32">
    <tableColumn id="1" xr3:uid="{CEC4A1B1-2C79-40BA-B7F8-59477BD30471}" name="office_location" dataDxfId="124"/>
    <tableColumn id="2" xr3:uid="{0D3B899B-6A43-4E74-93A0-EF9CC1AFC844}" name="appointment_cancelled" dataDxfId="123"/>
    <tableColumn id="3" xr3:uid="{58792FA0-676F-4186-9188-53392AA99242}" name="days_before_appointment" dataDxfId="122"/>
    <tableColumn id="4" xr3:uid="{84C2EA63-374D-4DF1-842F-411123779EDB}" name="appointment_year" dataDxfId="121"/>
    <tableColumn id="5" xr3:uid="{4AA9FEDE-54F8-4161-9B3B-2910D69DB76E}" name="appointment_month" dataDxfId="120"/>
    <tableColumn id="6" xr3:uid="{FD05D1A1-9C5A-4AFB-91F0-1A8C1E474DE8}" name="arrival_date_week_number" dataDxfId="119"/>
    <tableColumn id="7" xr3:uid="{59E65CFE-1EC0-41C0-B78C-42BFA1722807}" name="appointment_day" dataDxfId="118"/>
    <tableColumn id="8" xr3:uid="{8F41B680-37C9-4953-AB47-F3A9DE42FDAA}" name="stays_in_weekend_nights" dataDxfId="117"/>
    <tableColumn id="9" xr3:uid="{1CB19279-071C-445B-8F90-86EDF92A547D}" name="stays_in_week_nights" dataDxfId="116"/>
    <tableColumn id="10" xr3:uid="{EE85A331-F6B2-431A-A2B5-59CDF1AD62C6}" name="visitors" dataDxfId="115"/>
    <tableColumn id="11" xr3:uid="{F7B5CD6D-113F-4C2C-B3F7-FF7B556A30F6}" name="additional_visitors" dataDxfId="114"/>
    <tableColumn id="12" xr3:uid="{4D3CAFAF-C684-4438-82F6-CCDEE5459FBA}" name="babies" dataDxfId="113"/>
    <tableColumn id="13" xr3:uid="{FB233A96-7530-4602-997F-ADB499C47D81}" name="meal" dataDxfId="112"/>
    <tableColumn id="14" xr3:uid="{B0614EB0-A2FB-4E13-B05A-B72431BDB830}" name="visitor_country" dataDxfId="111"/>
    <tableColumn id="15" xr3:uid="{F1B36A19-DB32-417E-8EC8-98C9101CEED1}" name="visitor_source" dataDxfId="110"/>
    <tableColumn id="16" xr3:uid="{19BD9639-F1A1-4229-9F34-BE70A8B5D501}" name="appointment_channel" dataDxfId="109"/>
    <tableColumn id="17" xr3:uid="{BCC5EAB1-BE3F-4870-9AAE-7B88EABD42F2}" name="is_repeated_guest" dataDxfId="108"/>
    <tableColumn id="18" xr3:uid="{3E3D7552-6F1B-4675-8830-95CEC01C56E6}" name="previous_cancellations" dataDxfId="107"/>
    <tableColumn id="19" xr3:uid="{F7AD4ED9-ED8C-4A7F-ACDD-3CD0945DD0EA}" name="previous_bookings_not_canceled" dataDxfId="106"/>
    <tableColumn id="20" xr3:uid="{2EB2E7F8-9C8A-4856-8E0E-13DB51D913C5}" name="reserved_meeting_room" dataDxfId="105"/>
    <tableColumn id="21" xr3:uid="{D307D57A-3518-4784-9978-39A7332892AA}" name="assigned_meeting_room" dataDxfId="104"/>
    <tableColumn id="22" xr3:uid="{2B5BB05E-BCBE-4520-BC8E-4B35E2530DBF}" name="appointment_changes" dataDxfId="103"/>
    <tableColumn id="23" xr3:uid="{C4A0DEBA-DF75-4226-A2F3-021C3F4C1D37}" name="deposit_type" dataDxfId="102"/>
    <tableColumn id="24" xr3:uid="{D50CB6AA-05D5-4839-8213-5B2076DC055D}" name="agent" dataDxfId="101"/>
    <tableColumn id="25" xr3:uid="{7DE6A63C-A45B-4D37-BA33-C168D2015202}" name="company" dataDxfId="100"/>
    <tableColumn id="26" xr3:uid="{4758AD1A-130A-4DD1-9CAC-39541A9FB3F9}" name="days_in_waiting_list" dataDxfId="99"/>
    <tableColumn id="27" xr3:uid="{7C696CD9-D009-4D77-A468-7EEE7AFC03EA}" name="visitor_type" dataDxfId="98"/>
    <tableColumn id="28" xr3:uid="{47ECB742-2083-414C-A990-E3020073B5CC}" name="meeting_cost" dataDxfId="97"/>
    <tableColumn id="29" xr3:uid="{9DCC0A5F-EB9C-4627-857C-A5731225E1E8}" name="required_car_parking_spaces" dataDxfId="96"/>
    <tableColumn id="30" xr3:uid="{3DFD4D0C-0FB8-4450-BD9E-3A2541394737}" name="total_of_special_requests" dataDxfId="95"/>
    <tableColumn id="31" xr3:uid="{2FDF58FB-4E4E-4580-97AD-FF194C6D6B18}" name="appointment_status" dataDxfId="94"/>
    <tableColumn id="32" xr3:uid="{417282B6-5798-4E1C-BF37-7C708EA275E0}" name="appointment_status_date" dataDxfId="9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96AD-F23B-4884-90C0-19254BFD7A2C}">
  <dimension ref="A1:AF1001"/>
  <sheetViews>
    <sheetView workbookViewId="0">
      <selection activeCell="J20" sqref="J20"/>
    </sheetView>
  </sheetViews>
  <sheetFormatPr defaultRowHeight="13.8" x14ac:dyDescent="0.25"/>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t="s">
        <v>32</v>
      </c>
      <c r="B2">
        <v>0</v>
      </c>
      <c r="C2">
        <v>203</v>
      </c>
      <c r="D2">
        <v>2016</v>
      </c>
      <c r="E2" t="s">
        <v>33</v>
      </c>
      <c r="F2">
        <v>49</v>
      </c>
      <c r="G2">
        <v>2</v>
      </c>
      <c r="H2">
        <v>2</v>
      </c>
      <c r="I2">
        <v>5</v>
      </c>
      <c r="J2">
        <v>2</v>
      </c>
      <c r="K2">
        <v>0</v>
      </c>
      <c r="L2">
        <v>0</v>
      </c>
      <c r="M2" t="s">
        <v>34</v>
      </c>
      <c r="N2" t="s">
        <v>35</v>
      </c>
      <c r="O2" t="s">
        <v>36</v>
      </c>
      <c r="P2" t="s">
        <v>36</v>
      </c>
      <c r="Q2">
        <v>0</v>
      </c>
      <c r="R2">
        <v>0</v>
      </c>
      <c r="S2">
        <v>0</v>
      </c>
      <c r="T2" t="s">
        <v>37</v>
      </c>
      <c r="U2" t="s">
        <v>37</v>
      </c>
      <c r="V2">
        <v>4</v>
      </c>
      <c r="W2" t="s">
        <v>38</v>
      </c>
      <c r="X2">
        <v>250</v>
      </c>
      <c r="Z2">
        <v>0</v>
      </c>
      <c r="AA2" t="s">
        <v>39</v>
      </c>
      <c r="AB2">
        <v>66.8</v>
      </c>
      <c r="AC2">
        <v>0</v>
      </c>
      <c r="AD2">
        <v>0</v>
      </c>
      <c r="AE2" t="s">
        <v>40</v>
      </c>
      <c r="AF2" s="1">
        <v>42713</v>
      </c>
    </row>
    <row r="3" spans="1:32" x14ac:dyDescent="0.25">
      <c r="A3" t="s">
        <v>41</v>
      </c>
      <c r="B3">
        <v>1</v>
      </c>
      <c r="C3">
        <v>82</v>
      </c>
      <c r="D3">
        <v>2015</v>
      </c>
      <c r="E3" t="s">
        <v>42</v>
      </c>
      <c r="F3">
        <v>29</v>
      </c>
      <c r="G3">
        <v>16</v>
      </c>
      <c r="H3">
        <v>0</v>
      </c>
      <c r="I3">
        <v>3</v>
      </c>
      <c r="J3">
        <v>2</v>
      </c>
      <c r="K3">
        <v>0</v>
      </c>
      <c r="L3">
        <v>0</v>
      </c>
      <c r="M3" t="s">
        <v>34</v>
      </c>
      <c r="N3" t="s">
        <v>43</v>
      </c>
      <c r="O3" t="s">
        <v>44</v>
      </c>
      <c r="P3" t="s">
        <v>45</v>
      </c>
      <c r="Q3">
        <v>0</v>
      </c>
      <c r="R3">
        <v>0</v>
      </c>
      <c r="S3">
        <v>0</v>
      </c>
      <c r="T3" t="s">
        <v>46</v>
      </c>
      <c r="U3" t="s">
        <v>46</v>
      </c>
      <c r="V3">
        <v>0</v>
      </c>
      <c r="W3" t="s">
        <v>38</v>
      </c>
      <c r="X3">
        <v>9</v>
      </c>
      <c r="Z3">
        <v>0</v>
      </c>
      <c r="AA3" t="s">
        <v>39</v>
      </c>
      <c r="AB3">
        <v>76.5</v>
      </c>
      <c r="AC3">
        <v>0</v>
      </c>
      <c r="AD3">
        <v>0</v>
      </c>
      <c r="AE3" t="s">
        <v>47</v>
      </c>
      <c r="AF3" s="1">
        <v>42201</v>
      </c>
    </row>
    <row r="4" spans="1:32" x14ac:dyDescent="0.25">
      <c r="A4" t="s">
        <v>41</v>
      </c>
      <c r="B4">
        <v>0</v>
      </c>
      <c r="C4">
        <v>25</v>
      </c>
      <c r="D4">
        <v>2016</v>
      </c>
      <c r="E4" t="s">
        <v>33</v>
      </c>
      <c r="F4">
        <v>53</v>
      </c>
      <c r="G4">
        <v>27</v>
      </c>
      <c r="H4">
        <v>0</v>
      </c>
      <c r="I4">
        <v>3</v>
      </c>
      <c r="J4">
        <v>3</v>
      </c>
      <c r="K4">
        <v>0</v>
      </c>
      <c r="L4">
        <v>0</v>
      </c>
      <c r="M4" t="s">
        <v>34</v>
      </c>
      <c r="N4" t="s">
        <v>48</v>
      </c>
      <c r="O4" t="s">
        <v>49</v>
      </c>
      <c r="P4" t="s">
        <v>45</v>
      </c>
      <c r="Q4">
        <v>0</v>
      </c>
      <c r="R4">
        <v>0</v>
      </c>
      <c r="S4">
        <v>0</v>
      </c>
      <c r="T4" t="s">
        <v>46</v>
      </c>
      <c r="U4" t="s">
        <v>50</v>
      </c>
      <c r="V4">
        <v>2</v>
      </c>
      <c r="W4" t="s">
        <v>38</v>
      </c>
      <c r="X4">
        <v>220</v>
      </c>
      <c r="Z4">
        <v>0</v>
      </c>
      <c r="AA4" t="s">
        <v>51</v>
      </c>
      <c r="AB4">
        <v>60</v>
      </c>
      <c r="AC4">
        <v>0</v>
      </c>
      <c r="AD4">
        <v>1</v>
      </c>
      <c r="AE4" t="s">
        <v>40</v>
      </c>
      <c r="AF4" s="1">
        <v>42734</v>
      </c>
    </row>
    <row r="5" spans="1:32" x14ac:dyDescent="0.25">
      <c r="A5" t="s">
        <v>41</v>
      </c>
      <c r="B5">
        <v>0</v>
      </c>
      <c r="C5">
        <v>1</v>
      </c>
      <c r="D5">
        <v>2016</v>
      </c>
      <c r="E5" t="s">
        <v>52</v>
      </c>
      <c r="F5">
        <v>11</v>
      </c>
      <c r="G5">
        <v>9</v>
      </c>
      <c r="H5">
        <v>0</v>
      </c>
      <c r="I5">
        <v>1</v>
      </c>
      <c r="J5">
        <v>1</v>
      </c>
      <c r="K5">
        <v>0</v>
      </c>
      <c r="L5">
        <v>0</v>
      </c>
      <c r="M5" t="s">
        <v>34</v>
      </c>
      <c r="N5" t="s">
        <v>53</v>
      </c>
      <c r="O5" t="s">
        <v>44</v>
      </c>
      <c r="P5" t="s">
        <v>45</v>
      </c>
      <c r="Q5">
        <v>0</v>
      </c>
      <c r="R5">
        <v>0</v>
      </c>
      <c r="S5">
        <v>0</v>
      </c>
      <c r="T5" t="s">
        <v>46</v>
      </c>
      <c r="U5" t="s">
        <v>46</v>
      </c>
      <c r="V5">
        <v>0</v>
      </c>
      <c r="W5" t="s">
        <v>38</v>
      </c>
      <c r="X5">
        <v>9</v>
      </c>
      <c r="Z5">
        <v>0</v>
      </c>
      <c r="AA5" t="s">
        <v>51</v>
      </c>
      <c r="AB5">
        <v>95</v>
      </c>
      <c r="AC5">
        <v>0</v>
      </c>
      <c r="AD5">
        <v>0</v>
      </c>
      <c r="AE5" t="s">
        <v>40</v>
      </c>
      <c r="AF5" s="1">
        <v>42439</v>
      </c>
    </row>
    <row r="6" spans="1:32" x14ac:dyDescent="0.25">
      <c r="A6" t="s">
        <v>41</v>
      </c>
      <c r="B6">
        <v>0</v>
      </c>
      <c r="C6">
        <v>70</v>
      </c>
      <c r="D6">
        <v>2017</v>
      </c>
      <c r="E6" t="s">
        <v>54</v>
      </c>
      <c r="F6">
        <v>16</v>
      </c>
      <c r="G6">
        <v>16</v>
      </c>
      <c r="H6">
        <v>2</v>
      </c>
      <c r="I6">
        <v>2</v>
      </c>
      <c r="J6">
        <v>2</v>
      </c>
      <c r="K6">
        <v>0</v>
      </c>
      <c r="L6">
        <v>0</v>
      </c>
      <c r="M6" t="s">
        <v>55</v>
      </c>
      <c r="N6" t="s">
        <v>35</v>
      </c>
      <c r="O6" t="s">
        <v>44</v>
      </c>
      <c r="P6" t="s">
        <v>45</v>
      </c>
      <c r="Q6">
        <v>0</v>
      </c>
      <c r="R6">
        <v>0</v>
      </c>
      <c r="S6">
        <v>0</v>
      </c>
      <c r="T6" t="s">
        <v>46</v>
      </c>
      <c r="U6" t="s">
        <v>46</v>
      </c>
      <c r="V6">
        <v>0</v>
      </c>
      <c r="W6" t="s">
        <v>38</v>
      </c>
      <c r="X6">
        <v>9</v>
      </c>
      <c r="Z6">
        <v>0</v>
      </c>
      <c r="AA6" t="s">
        <v>39</v>
      </c>
      <c r="AB6">
        <v>108</v>
      </c>
      <c r="AC6">
        <v>0</v>
      </c>
      <c r="AD6">
        <v>0</v>
      </c>
      <c r="AE6" t="s">
        <v>40</v>
      </c>
      <c r="AF6" s="1">
        <v>42845</v>
      </c>
    </row>
    <row r="7" spans="1:32" x14ac:dyDescent="0.25">
      <c r="A7" t="s">
        <v>41</v>
      </c>
      <c r="B7">
        <v>0</v>
      </c>
      <c r="C7">
        <v>170</v>
      </c>
      <c r="D7">
        <v>2017</v>
      </c>
      <c r="E7" t="s">
        <v>54</v>
      </c>
      <c r="F7">
        <v>17</v>
      </c>
      <c r="G7">
        <v>27</v>
      </c>
      <c r="H7">
        <v>0</v>
      </c>
      <c r="I7">
        <v>3</v>
      </c>
      <c r="J7">
        <v>2</v>
      </c>
      <c r="K7">
        <v>0</v>
      </c>
      <c r="L7">
        <v>0</v>
      </c>
      <c r="M7" t="s">
        <v>34</v>
      </c>
      <c r="N7" t="s">
        <v>56</v>
      </c>
      <c r="O7" t="s">
        <v>44</v>
      </c>
      <c r="P7" t="s">
        <v>45</v>
      </c>
      <c r="Q7">
        <v>0</v>
      </c>
      <c r="R7">
        <v>0</v>
      </c>
      <c r="S7">
        <v>0</v>
      </c>
      <c r="T7" t="s">
        <v>57</v>
      </c>
      <c r="U7" t="s">
        <v>57</v>
      </c>
      <c r="V7">
        <v>0</v>
      </c>
      <c r="W7" t="s">
        <v>38</v>
      </c>
      <c r="X7">
        <v>9</v>
      </c>
      <c r="Z7">
        <v>0</v>
      </c>
      <c r="AA7" t="s">
        <v>39</v>
      </c>
      <c r="AB7">
        <v>130.5</v>
      </c>
      <c r="AC7">
        <v>0</v>
      </c>
      <c r="AD7">
        <v>0</v>
      </c>
      <c r="AE7" t="s">
        <v>40</v>
      </c>
      <c r="AF7" s="1">
        <v>42855</v>
      </c>
    </row>
    <row r="8" spans="1:32" x14ac:dyDescent="0.25">
      <c r="A8" t="s">
        <v>41</v>
      </c>
      <c r="B8">
        <v>1</v>
      </c>
      <c r="C8">
        <v>21</v>
      </c>
      <c r="D8">
        <v>2016</v>
      </c>
      <c r="E8" t="s">
        <v>52</v>
      </c>
      <c r="F8">
        <v>10</v>
      </c>
      <c r="G8">
        <v>4</v>
      </c>
      <c r="H8">
        <v>0</v>
      </c>
      <c r="I8">
        <v>1</v>
      </c>
      <c r="J8">
        <v>1</v>
      </c>
      <c r="K8">
        <v>0</v>
      </c>
      <c r="L8">
        <v>0</v>
      </c>
      <c r="M8" t="s">
        <v>34</v>
      </c>
      <c r="N8" t="s">
        <v>58</v>
      </c>
      <c r="O8" t="s">
        <v>44</v>
      </c>
      <c r="P8" t="s">
        <v>45</v>
      </c>
      <c r="Q8">
        <v>0</v>
      </c>
      <c r="R8">
        <v>0</v>
      </c>
      <c r="S8">
        <v>0</v>
      </c>
      <c r="T8" t="s">
        <v>46</v>
      </c>
      <c r="U8" t="s">
        <v>46</v>
      </c>
      <c r="V8">
        <v>0</v>
      </c>
      <c r="W8" t="s">
        <v>38</v>
      </c>
      <c r="X8">
        <v>9</v>
      </c>
      <c r="Z8">
        <v>0</v>
      </c>
      <c r="AA8" t="s">
        <v>51</v>
      </c>
      <c r="AB8">
        <v>85</v>
      </c>
      <c r="AC8">
        <v>0</v>
      </c>
      <c r="AD8">
        <v>0</v>
      </c>
      <c r="AE8" t="s">
        <v>47</v>
      </c>
      <c r="AF8" s="1">
        <v>42426</v>
      </c>
    </row>
    <row r="9" spans="1:32" x14ac:dyDescent="0.25">
      <c r="A9" t="s">
        <v>41</v>
      </c>
      <c r="B9">
        <v>0</v>
      </c>
      <c r="C9">
        <v>102</v>
      </c>
      <c r="D9">
        <v>2015</v>
      </c>
      <c r="E9" t="s">
        <v>59</v>
      </c>
      <c r="F9">
        <v>42</v>
      </c>
      <c r="G9">
        <v>16</v>
      </c>
      <c r="H9">
        <v>0</v>
      </c>
      <c r="I9">
        <v>2</v>
      </c>
      <c r="J9">
        <v>2</v>
      </c>
      <c r="K9">
        <v>0</v>
      </c>
      <c r="L9">
        <v>0</v>
      </c>
      <c r="M9" t="s">
        <v>60</v>
      </c>
      <c r="N9" t="s">
        <v>56</v>
      </c>
      <c r="O9" t="s">
        <v>49</v>
      </c>
      <c r="P9" t="s">
        <v>45</v>
      </c>
      <c r="Q9">
        <v>0</v>
      </c>
      <c r="R9">
        <v>0</v>
      </c>
      <c r="S9">
        <v>0</v>
      </c>
      <c r="T9" t="s">
        <v>46</v>
      </c>
      <c r="U9" t="s">
        <v>57</v>
      </c>
      <c r="V9">
        <v>0</v>
      </c>
      <c r="W9" t="s">
        <v>38</v>
      </c>
      <c r="X9">
        <v>6</v>
      </c>
      <c r="Z9">
        <v>0</v>
      </c>
      <c r="AA9" t="s">
        <v>51</v>
      </c>
      <c r="AB9">
        <v>109</v>
      </c>
      <c r="AC9">
        <v>0</v>
      </c>
      <c r="AD9">
        <v>0</v>
      </c>
      <c r="AE9" t="s">
        <v>40</v>
      </c>
      <c r="AF9" s="1">
        <v>42295</v>
      </c>
    </row>
    <row r="10" spans="1:32" x14ac:dyDescent="0.25">
      <c r="A10" t="s">
        <v>32</v>
      </c>
      <c r="B10">
        <v>0</v>
      </c>
      <c r="C10">
        <v>55</v>
      </c>
      <c r="D10">
        <v>2016</v>
      </c>
      <c r="E10" t="s">
        <v>61</v>
      </c>
      <c r="F10">
        <v>47</v>
      </c>
      <c r="G10">
        <v>19</v>
      </c>
      <c r="H10">
        <v>2</v>
      </c>
      <c r="I10">
        <v>5</v>
      </c>
      <c r="J10">
        <v>2</v>
      </c>
      <c r="K10">
        <v>0</v>
      </c>
      <c r="L10">
        <v>0</v>
      </c>
      <c r="M10" t="s">
        <v>60</v>
      </c>
      <c r="N10" t="s">
        <v>35</v>
      </c>
      <c r="O10" t="s">
        <v>44</v>
      </c>
      <c r="P10" t="s">
        <v>45</v>
      </c>
      <c r="Q10">
        <v>0</v>
      </c>
      <c r="R10">
        <v>0</v>
      </c>
      <c r="S10">
        <v>0</v>
      </c>
      <c r="T10" t="s">
        <v>57</v>
      </c>
      <c r="U10" t="s">
        <v>57</v>
      </c>
      <c r="V10">
        <v>1</v>
      </c>
      <c r="W10" t="s">
        <v>38</v>
      </c>
      <c r="X10">
        <v>314</v>
      </c>
      <c r="Z10">
        <v>0</v>
      </c>
      <c r="AA10" t="s">
        <v>39</v>
      </c>
      <c r="AB10">
        <v>67.44</v>
      </c>
      <c r="AC10">
        <v>0</v>
      </c>
      <c r="AD10">
        <v>0</v>
      </c>
      <c r="AE10" t="s">
        <v>40</v>
      </c>
      <c r="AF10" s="1">
        <v>42700</v>
      </c>
    </row>
    <row r="11" spans="1:32" x14ac:dyDescent="0.25">
      <c r="A11" t="s">
        <v>32</v>
      </c>
      <c r="B11">
        <v>0</v>
      </c>
      <c r="C11">
        <v>222</v>
      </c>
      <c r="D11">
        <v>2015</v>
      </c>
      <c r="E11" t="s">
        <v>62</v>
      </c>
      <c r="F11">
        <v>38</v>
      </c>
      <c r="G11">
        <v>14</v>
      </c>
      <c r="H11">
        <v>1</v>
      </c>
      <c r="I11">
        <v>1</v>
      </c>
      <c r="J11">
        <v>2</v>
      </c>
      <c r="K11">
        <v>0</v>
      </c>
      <c r="L11">
        <v>0</v>
      </c>
      <c r="M11" t="s">
        <v>60</v>
      </c>
      <c r="N11" t="s">
        <v>63</v>
      </c>
      <c r="O11" t="s">
        <v>64</v>
      </c>
      <c r="P11" t="s">
        <v>45</v>
      </c>
      <c r="Q11">
        <v>0</v>
      </c>
      <c r="R11">
        <v>0</v>
      </c>
      <c r="S11">
        <v>0</v>
      </c>
      <c r="T11" t="s">
        <v>46</v>
      </c>
      <c r="U11" t="s">
        <v>46</v>
      </c>
      <c r="V11">
        <v>0</v>
      </c>
      <c r="W11" t="s">
        <v>38</v>
      </c>
      <c r="X11">
        <v>68</v>
      </c>
      <c r="Z11">
        <v>0</v>
      </c>
      <c r="AA11" t="s">
        <v>39</v>
      </c>
      <c r="AB11">
        <v>80</v>
      </c>
      <c r="AC11">
        <v>0</v>
      </c>
      <c r="AD11">
        <v>0</v>
      </c>
      <c r="AE11" t="s">
        <v>40</v>
      </c>
      <c r="AF11" s="1">
        <v>42263</v>
      </c>
    </row>
    <row r="12" spans="1:32" x14ac:dyDescent="0.25">
      <c r="A12" t="s">
        <v>32</v>
      </c>
      <c r="B12">
        <v>0</v>
      </c>
      <c r="C12">
        <v>120</v>
      </c>
      <c r="D12">
        <v>2016</v>
      </c>
      <c r="E12" t="s">
        <v>33</v>
      </c>
      <c r="F12">
        <v>53</v>
      </c>
      <c r="G12">
        <v>26</v>
      </c>
      <c r="H12">
        <v>1</v>
      </c>
      <c r="I12">
        <v>3</v>
      </c>
      <c r="J12">
        <v>2</v>
      </c>
      <c r="K12">
        <v>0</v>
      </c>
      <c r="L12">
        <v>0</v>
      </c>
      <c r="M12" t="s">
        <v>34</v>
      </c>
      <c r="N12" t="s">
        <v>65</v>
      </c>
      <c r="O12" t="s">
        <v>44</v>
      </c>
      <c r="P12" t="s">
        <v>45</v>
      </c>
      <c r="Q12">
        <v>0</v>
      </c>
      <c r="R12">
        <v>0</v>
      </c>
      <c r="S12">
        <v>0</v>
      </c>
      <c r="T12" t="s">
        <v>57</v>
      </c>
      <c r="U12" t="s">
        <v>57</v>
      </c>
      <c r="V12">
        <v>0</v>
      </c>
      <c r="W12" t="s">
        <v>38</v>
      </c>
      <c r="X12">
        <v>240</v>
      </c>
      <c r="Z12">
        <v>0</v>
      </c>
      <c r="AA12" t="s">
        <v>51</v>
      </c>
      <c r="AB12">
        <v>54.8</v>
      </c>
      <c r="AC12">
        <v>1</v>
      </c>
      <c r="AD12">
        <v>3</v>
      </c>
      <c r="AE12" t="s">
        <v>40</v>
      </c>
      <c r="AF12" s="1">
        <v>42734</v>
      </c>
    </row>
    <row r="13" spans="1:32" x14ac:dyDescent="0.25">
      <c r="A13" t="s">
        <v>41</v>
      </c>
      <c r="B13">
        <v>1</v>
      </c>
      <c r="C13">
        <v>88</v>
      </c>
      <c r="D13">
        <v>2017</v>
      </c>
      <c r="E13" t="s">
        <v>66</v>
      </c>
      <c r="F13">
        <v>7</v>
      </c>
      <c r="G13">
        <v>17</v>
      </c>
      <c r="H13">
        <v>0</v>
      </c>
      <c r="I13">
        <v>2</v>
      </c>
      <c r="J13">
        <v>2</v>
      </c>
      <c r="K13">
        <v>0</v>
      </c>
      <c r="L13">
        <v>0</v>
      </c>
      <c r="M13" t="s">
        <v>55</v>
      </c>
      <c r="N13" t="s">
        <v>56</v>
      </c>
      <c r="O13" t="s">
        <v>44</v>
      </c>
      <c r="P13" t="s">
        <v>45</v>
      </c>
      <c r="Q13">
        <v>0</v>
      </c>
      <c r="R13">
        <v>0</v>
      </c>
      <c r="S13">
        <v>0</v>
      </c>
      <c r="T13" t="s">
        <v>46</v>
      </c>
      <c r="U13" t="s">
        <v>46</v>
      </c>
      <c r="V13">
        <v>0</v>
      </c>
      <c r="W13" t="s">
        <v>38</v>
      </c>
      <c r="X13">
        <v>9</v>
      </c>
      <c r="Z13">
        <v>0</v>
      </c>
      <c r="AA13" t="s">
        <v>39</v>
      </c>
      <c r="AB13">
        <v>79.2</v>
      </c>
      <c r="AC13">
        <v>0</v>
      </c>
      <c r="AD13">
        <v>0</v>
      </c>
      <c r="AE13" t="s">
        <v>47</v>
      </c>
      <c r="AF13" s="1">
        <v>42699</v>
      </c>
    </row>
    <row r="14" spans="1:32" x14ac:dyDescent="0.25">
      <c r="A14" t="s">
        <v>32</v>
      </c>
      <c r="B14">
        <v>0</v>
      </c>
      <c r="C14">
        <v>79</v>
      </c>
      <c r="D14">
        <v>2015</v>
      </c>
      <c r="E14" t="s">
        <v>33</v>
      </c>
      <c r="F14">
        <v>52</v>
      </c>
      <c r="G14">
        <v>24</v>
      </c>
      <c r="H14">
        <v>2</v>
      </c>
      <c r="I14">
        <v>5</v>
      </c>
      <c r="J14">
        <v>2</v>
      </c>
      <c r="K14">
        <v>0</v>
      </c>
      <c r="L14">
        <v>0</v>
      </c>
      <c r="M14" t="s">
        <v>60</v>
      </c>
      <c r="N14" t="s">
        <v>35</v>
      </c>
      <c r="O14" t="s">
        <v>49</v>
      </c>
      <c r="P14" t="s">
        <v>45</v>
      </c>
      <c r="Q14">
        <v>0</v>
      </c>
      <c r="R14">
        <v>0</v>
      </c>
      <c r="S14">
        <v>0</v>
      </c>
      <c r="T14" t="s">
        <v>46</v>
      </c>
      <c r="U14" t="s">
        <v>46</v>
      </c>
      <c r="V14">
        <v>0</v>
      </c>
      <c r="W14" t="s">
        <v>38</v>
      </c>
      <c r="X14">
        <v>156</v>
      </c>
      <c r="Z14">
        <v>0</v>
      </c>
      <c r="AA14" t="s">
        <v>39</v>
      </c>
      <c r="AB14">
        <v>57.29</v>
      </c>
      <c r="AC14">
        <v>0</v>
      </c>
      <c r="AD14">
        <v>2</v>
      </c>
      <c r="AE14" t="s">
        <v>40</v>
      </c>
      <c r="AF14" s="1">
        <v>42369</v>
      </c>
    </row>
    <row r="15" spans="1:32" x14ac:dyDescent="0.25">
      <c r="A15" t="s">
        <v>41</v>
      </c>
      <c r="B15">
        <v>0</v>
      </c>
      <c r="C15">
        <v>41</v>
      </c>
      <c r="D15">
        <v>2016</v>
      </c>
      <c r="E15" t="s">
        <v>67</v>
      </c>
      <c r="F15">
        <v>34</v>
      </c>
      <c r="G15">
        <v>15</v>
      </c>
      <c r="H15">
        <v>1</v>
      </c>
      <c r="I15">
        <v>2</v>
      </c>
      <c r="J15">
        <v>2</v>
      </c>
      <c r="K15">
        <v>0</v>
      </c>
      <c r="L15">
        <v>0</v>
      </c>
      <c r="M15" t="s">
        <v>34</v>
      </c>
      <c r="N15" t="s">
        <v>43</v>
      </c>
      <c r="O15" t="s">
        <v>49</v>
      </c>
      <c r="P15" t="s">
        <v>45</v>
      </c>
      <c r="Q15">
        <v>0</v>
      </c>
      <c r="R15">
        <v>0</v>
      </c>
      <c r="S15">
        <v>0</v>
      </c>
      <c r="T15" t="s">
        <v>46</v>
      </c>
      <c r="U15" t="s">
        <v>46</v>
      </c>
      <c r="V15">
        <v>0</v>
      </c>
      <c r="W15" t="s">
        <v>38</v>
      </c>
      <c r="X15">
        <v>28</v>
      </c>
      <c r="Z15">
        <v>0</v>
      </c>
      <c r="AA15" t="s">
        <v>39</v>
      </c>
      <c r="AB15">
        <v>76.5</v>
      </c>
      <c r="AC15">
        <v>0</v>
      </c>
      <c r="AD15">
        <v>0</v>
      </c>
      <c r="AE15" t="s">
        <v>40</v>
      </c>
      <c r="AF15" s="1">
        <v>42600</v>
      </c>
    </row>
    <row r="16" spans="1:32" x14ac:dyDescent="0.25">
      <c r="A16" t="s">
        <v>41</v>
      </c>
      <c r="B16">
        <v>1</v>
      </c>
      <c r="C16">
        <v>239</v>
      </c>
      <c r="D16">
        <v>2015</v>
      </c>
      <c r="E16" t="s">
        <v>59</v>
      </c>
      <c r="F16">
        <v>42</v>
      </c>
      <c r="G16">
        <v>17</v>
      </c>
      <c r="H16">
        <v>0</v>
      </c>
      <c r="I16">
        <v>1</v>
      </c>
      <c r="J16">
        <v>2</v>
      </c>
      <c r="K16">
        <v>0</v>
      </c>
      <c r="L16">
        <v>0</v>
      </c>
      <c r="M16" t="s">
        <v>34</v>
      </c>
      <c r="N16" t="s">
        <v>43</v>
      </c>
      <c r="O16" t="s">
        <v>64</v>
      </c>
      <c r="P16" t="s">
        <v>45</v>
      </c>
      <c r="Q16">
        <v>0</v>
      </c>
      <c r="R16">
        <v>1</v>
      </c>
      <c r="S16">
        <v>0</v>
      </c>
      <c r="T16" t="s">
        <v>46</v>
      </c>
      <c r="U16" t="s">
        <v>46</v>
      </c>
      <c r="V16">
        <v>0</v>
      </c>
      <c r="W16" t="s">
        <v>68</v>
      </c>
      <c r="X16">
        <v>1</v>
      </c>
      <c r="Z16">
        <v>0</v>
      </c>
      <c r="AA16" t="s">
        <v>39</v>
      </c>
      <c r="AB16">
        <v>60</v>
      </c>
      <c r="AC16">
        <v>0</v>
      </c>
      <c r="AD16">
        <v>0</v>
      </c>
      <c r="AE16" t="s">
        <v>47</v>
      </c>
      <c r="AF16" s="1">
        <v>42233</v>
      </c>
    </row>
    <row r="17" spans="1:32" x14ac:dyDescent="0.25">
      <c r="A17" t="s">
        <v>32</v>
      </c>
      <c r="B17">
        <v>0</v>
      </c>
      <c r="C17">
        <v>23</v>
      </c>
      <c r="D17">
        <v>2017</v>
      </c>
      <c r="E17" t="s">
        <v>54</v>
      </c>
      <c r="F17">
        <v>16</v>
      </c>
      <c r="G17">
        <v>20</v>
      </c>
      <c r="H17">
        <v>0</v>
      </c>
      <c r="I17">
        <v>2</v>
      </c>
      <c r="J17">
        <v>2</v>
      </c>
      <c r="K17">
        <v>0</v>
      </c>
      <c r="L17">
        <v>0</v>
      </c>
      <c r="M17" t="s">
        <v>34</v>
      </c>
      <c r="N17" t="s">
        <v>35</v>
      </c>
      <c r="O17" t="s">
        <v>64</v>
      </c>
      <c r="P17" t="s">
        <v>36</v>
      </c>
      <c r="Q17">
        <v>0</v>
      </c>
      <c r="R17">
        <v>0</v>
      </c>
      <c r="S17">
        <v>0</v>
      </c>
      <c r="T17" t="s">
        <v>46</v>
      </c>
      <c r="U17" t="s">
        <v>46</v>
      </c>
      <c r="V17">
        <v>0</v>
      </c>
      <c r="W17" t="s">
        <v>38</v>
      </c>
      <c r="Z17">
        <v>0</v>
      </c>
      <c r="AA17" t="s">
        <v>51</v>
      </c>
      <c r="AB17">
        <v>99</v>
      </c>
      <c r="AC17">
        <v>1</v>
      </c>
      <c r="AD17">
        <v>0</v>
      </c>
      <c r="AE17" t="s">
        <v>40</v>
      </c>
      <c r="AF17" s="1">
        <v>42847</v>
      </c>
    </row>
    <row r="18" spans="1:32" x14ac:dyDescent="0.25">
      <c r="A18" t="s">
        <v>32</v>
      </c>
      <c r="B18">
        <v>0</v>
      </c>
      <c r="C18">
        <v>34</v>
      </c>
      <c r="D18">
        <v>2016</v>
      </c>
      <c r="E18" t="s">
        <v>33</v>
      </c>
      <c r="F18">
        <v>50</v>
      </c>
      <c r="G18">
        <v>9</v>
      </c>
      <c r="H18">
        <v>0</v>
      </c>
      <c r="I18">
        <v>1</v>
      </c>
      <c r="J18">
        <v>2</v>
      </c>
      <c r="K18">
        <v>0</v>
      </c>
      <c r="L18">
        <v>0</v>
      </c>
      <c r="M18" t="s">
        <v>34</v>
      </c>
      <c r="N18" t="s">
        <v>43</v>
      </c>
      <c r="O18" t="s">
        <v>44</v>
      </c>
      <c r="P18" t="s">
        <v>45</v>
      </c>
      <c r="Q18">
        <v>0</v>
      </c>
      <c r="R18">
        <v>0</v>
      </c>
      <c r="S18">
        <v>0</v>
      </c>
      <c r="T18" t="s">
        <v>46</v>
      </c>
      <c r="U18" t="s">
        <v>57</v>
      </c>
      <c r="V18">
        <v>0</v>
      </c>
      <c r="W18" t="s">
        <v>38</v>
      </c>
      <c r="X18">
        <v>240</v>
      </c>
      <c r="Z18">
        <v>0</v>
      </c>
      <c r="AA18" t="s">
        <v>39</v>
      </c>
      <c r="AB18">
        <v>48</v>
      </c>
      <c r="AC18">
        <v>0</v>
      </c>
      <c r="AD18">
        <v>1</v>
      </c>
      <c r="AE18" t="s">
        <v>40</v>
      </c>
      <c r="AF18" s="1">
        <v>42714</v>
      </c>
    </row>
    <row r="19" spans="1:32" x14ac:dyDescent="0.25">
      <c r="A19" t="s">
        <v>41</v>
      </c>
      <c r="B19">
        <v>1</v>
      </c>
      <c r="C19">
        <v>38</v>
      </c>
      <c r="D19">
        <v>2016</v>
      </c>
      <c r="E19" t="s">
        <v>69</v>
      </c>
      <c r="F19">
        <v>19</v>
      </c>
      <c r="G19">
        <v>6</v>
      </c>
      <c r="H19">
        <v>2</v>
      </c>
      <c r="I19">
        <v>3</v>
      </c>
      <c r="J19">
        <v>2</v>
      </c>
      <c r="K19">
        <v>1</v>
      </c>
      <c r="L19">
        <v>0</v>
      </c>
      <c r="M19" t="s">
        <v>60</v>
      </c>
      <c r="N19" t="s">
        <v>70</v>
      </c>
      <c r="O19" t="s">
        <v>44</v>
      </c>
      <c r="P19" t="s">
        <v>45</v>
      </c>
      <c r="Q19">
        <v>0</v>
      </c>
      <c r="R19">
        <v>0</v>
      </c>
      <c r="S19">
        <v>0</v>
      </c>
      <c r="T19" t="s">
        <v>46</v>
      </c>
      <c r="U19" t="s">
        <v>46</v>
      </c>
      <c r="V19">
        <v>0</v>
      </c>
      <c r="W19" t="s">
        <v>38</v>
      </c>
      <c r="X19">
        <v>9</v>
      </c>
      <c r="Z19">
        <v>0</v>
      </c>
      <c r="AA19" t="s">
        <v>39</v>
      </c>
      <c r="AB19">
        <v>149.68</v>
      </c>
      <c r="AC19">
        <v>0</v>
      </c>
      <c r="AD19">
        <v>0</v>
      </c>
      <c r="AE19" t="s">
        <v>47</v>
      </c>
      <c r="AF19" s="1">
        <v>42491</v>
      </c>
    </row>
    <row r="20" spans="1:32" x14ac:dyDescent="0.25">
      <c r="A20" t="s">
        <v>41</v>
      </c>
      <c r="B20">
        <v>0</v>
      </c>
      <c r="C20">
        <v>160</v>
      </c>
      <c r="D20">
        <v>2017</v>
      </c>
      <c r="E20" t="s">
        <v>42</v>
      </c>
      <c r="F20">
        <v>28</v>
      </c>
      <c r="G20">
        <v>15</v>
      </c>
      <c r="H20">
        <v>2</v>
      </c>
      <c r="I20">
        <v>5</v>
      </c>
      <c r="J20">
        <v>2</v>
      </c>
      <c r="K20">
        <v>0</v>
      </c>
      <c r="L20">
        <v>0</v>
      </c>
      <c r="M20" t="s">
        <v>34</v>
      </c>
      <c r="N20" t="s">
        <v>70</v>
      </c>
      <c r="O20" t="s">
        <v>44</v>
      </c>
      <c r="P20" t="s">
        <v>45</v>
      </c>
      <c r="Q20">
        <v>0</v>
      </c>
      <c r="R20">
        <v>0</v>
      </c>
      <c r="S20">
        <v>0</v>
      </c>
      <c r="T20" t="s">
        <v>46</v>
      </c>
      <c r="U20" t="s">
        <v>46</v>
      </c>
      <c r="V20">
        <v>0</v>
      </c>
      <c r="W20" t="s">
        <v>38</v>
      </c>
      <c r="X20">
        <v>7</v>
      </c>
      <c r="Z20">
        <v>0</v>
      </c>
      <c r="AA20" t="s">
        <v>39</v>
      </c>
      <c r="AB20">
        <v>78.349999999999994</v>
      </c>
      <c r="AC20">
        <v>0</v>
      </c>
      <c r="AD20">
        <v>1</v>
      </c>
      <c r="AE20" t="s">
        <v>40</v>
      </c>
      <c r="AF20" s="1">
        <v>42938</v>
      </c>
    </row>
    <row r="21" spans="1:32" x14ac:dyDescent="0.25">
      <c r="A21" t="s">
        <v>32</v>
      </c>
      <c r="B21">
        <v>0</v>
      </c>
      <c r="C21">
        <v>32</v>
      </c>
      <c r="D21">
        <v>2016</v>
      </c>
      <c r="E21" t="s">
        <v>59</v>
      </c>
      <c r="F21">
        <v>44</v>
      </c>
      <c r="G21">
        <v>27</v>
      </c>
      <c r="H21">
        <v>2</v>
      </c>
      <c r="I21">
        <v>5</v>
      </c>
      <c r="J21">
        <v>2</v>
      </c>
      <c r="K21">
        <v>0</v>
      </c>
      <c r="L21">
        <v>0</v>
      </c>
      <c r="M21" t="s">
        <v>34</v>
      </c>
      <c r="N21" t="s">
        <v>70</v>
      </c>
      <c r="O21" t="s">
        <v>36</v>
      </c>
      <c r="P21" t="s">
        <v>36</v>
      </c>
      <c r="Q21">
        <v>0</v>
      </c>
      <c r="R21">
        <v>0</v>
      </c>
      <c r="S21">
        <v>0</v>
      </c>
      <c r="T21" t="s">
        <v>37</v>
      </c>
      <c r="U21" t="s">
        <v>37</v>
      </c>
      <c r="V21">
        <v>0</v>
      </c>
      <c r="W21" t="s">
        <v>38</v>
      </c>
      <c r="X21">
        <v>250</v>
      </c>
      <c r="Z21">
        <v>0</v>
      </c>
      <c r="AA21" t="s">
        <v>39</v>
      </c>
      <c r="AB21">
        <v>91.85</v>
      </c>
      <c r="AC21">
        <v>1</v>
      </c>
      <c r="AD21">
        <v>0</v>
      </c>
      <c r="AE21" t="s">
        <v>40</v>
      </c>
      <c r="AF21" s="1">
        <v>42677</v>
      </c>
    </row>
    <row r="22" spans="1:32" x14ac:dyDescent="0.25">
      <c r="A22" t="s">
        <v>32</v>
      </c>
      <c r="B22">
        <v>0</v>
      </c>
      <c r="C22">
        <v>56</v>
      </c>
      <c r="D22">
        <v>2016</v>
      </c>
      <c r="E22" t="s">
        <v>52</v>
      </c>
      <c r="F22">
        <v>14</v>
      </c>
      <c r="G22">
        <v>29</v>
      </c>
      <c r="H22">
        <v>0</v>
      </c>
      <c r="I22">
        <v>4</v>
      </c>
      <c r="J22">
        <v>2</v>
      </c>
      <c r="K22">
        <v>0</v>
      </c>
      <c r="L22">
        <v>0</v>
      </c>
      <c r="M22" t="s">
        <v>34</v>
      </c>
      <c r="N22" t="s">
        <v>43</v>
      </c>
      <c r="O22" t="s">
        <v>44</v>
      </c>
      <c r="P22" t="s">
        <v>45</v>
      </c>
      <c r="Q22">
        <v>0</v>
      </c>
      <c r="R22">
        <v>0</v>
      </c>
      <c r="S22">
        <v>0</v>
      </c>
      <c r="T22" t="s">
        <v>46</v>
      </c>
      <c r="U22" t="s">
        <v>46</v>
      </c>
      <c r="V22">
        <v>0</v>
      </c>
      <c r="W22" t="s">
        <v>38</v>
      </c>
      <c r="X22">
        <v>240</v>
      </c>
      <c r="Z22">
        <v>0</v>
      </c>
      <c r="AA22" t="s">
        <v>39</v>
      </c>
      <c r="AB22">
        <v>58</v>
      </c>
      <c r="AC22">
        <v>1</v>
      </c>
      <c r="AD22">
        <v>1</v>
      </c>
      <c r="AE22" t="s">
        <v>40</v>
      </c>
      <c r="AF22" s="1">
        <v>42462</v>
      </c>
    </row>
    <row r="23" spans="1:32" x14ac:dyDescent="0.25">
      <c r="A23" t="s">
        <v>41</v>
      </c>
      <c r="B23">
        <v>1</v>
      </c>
      <c r="C23">
        <v>97</v>
      </c>
      <c r="D23">
        <v>2015</v>
      </c>
      <c r="E23" t="s">
        <v>59</v>
      </c>
      <c r="F23">
        <v>41</v>
      </c>
      <c r="G23">
        <v>5</v>
      </c>
      <c r="H23">
        <v>1</v>
      </c>
      <c r="I23">
        <v>3</v>
      </c>
      <c r="J23">
        <v>1</v>
      </c>
      <c r="K23">
        <v>0</v>
      </c>
      <c r="L23">
        <v>0</v>
      </c>
      <c r="M23" t="s">
        <v>34</v>
      </c>
      <c r="N23" t="s">
        <v>43</v>
      </c>
      <c r="O23" t="s">
        <v>64</v>
      </c>
      <c r="P23" t="s">
        <v>45</v>
      </c>
      <c r="Q23">
        <v>0</v>
      </c>
      <c r="R23">
        <v>0</v>
      </c>
      <c r="S23">
        <v>0</v>
      </c>
      <c r="T23" t="s">
        <v>46</v>
      </c>
      <c r="U23" t="s">
        <v>46</v>
      </c>
      <c r="V23">
        <v>0</v>
      </c>
      <c r="W23" t="s">
        <v>68</v>
      </c>
      <c r="X23">
        <v>29</v>
      </c>
      <c r="Z23">
        <v>0</v>
      </c>
      <c r="AA23" t="s">
        <v>39</v>
      </c>
      <c r="AB23">
        <v>140</v>
      </c>
      <c r="AC23">
        <v>0</v>
      </c>
      <c r="AD23">
        <v>0</v>
      </c>
      <c r="AE23" t="s">
        <v>47</v>
      </c>
      <c r="AF23" s="1">
        <v>42188</v>
      </c>
    </row>
    <row r="24" spans="1:32" x14ac:dyDescent="0.25">
      <c r="A24" t="s">
        <v>32</v>
      </c>
      <c r="B24">
        <v>0</v>
      </c>
      <c r="C24">
        <v>85</v>
      </c>
      <c r="D24">
        <v>2017</v>
      </c>
      <c r="E24" t="s">
        <v>54</v>
      </c>
      <c r="F24">
        <v>16</v>
      </c>
      <c r="G24">
        <v>19</v>
      </c>
      <c r="H24">
        <v>1</v>
      </c>
      <c r="I24">
        <v>4</v>
      </c>
      <c r="J24">
        <v>2</v>
      </c>
      <c r="K24">
        <v>0</v>
      </c>
      <c r="L24">
        <v>0</v>
      </c>
      <c r="M24" t="s">
        <v>34</v>
      </c>
      <c r="N24" t="s">
        <v>71</v>
      </c>
      <c r="O24" t="s">
        <v>36</v>
      </c>
      <c r="P24" t="s">
        <v>36</v>
      </c>
      <c r="Q24">
        <v>0</v>
      </c>
      <c r="R24">
        <v>0</v>
      </c>
      <c r="S24">
        <v>0</v>
      </c>
      <c r="T24" t="s">
        <v>72</v>
      </c>
      <c r="U24" t="s">
        <v>72</v>
      </c>
      <c r="V24">
        <v>2</v>
      </c>
      <c r="W24" t="s">
        <v>38</v>
      </c>
      <c r="Z24">
        <v>0</v>
      </c>
      <c r="AA24" t="s">
        <v>51</v>
      </c>
      <c r="AB24">
        <v>74.599999999999994</v>
      </c>
      <c r="AC24">
        <v>0</v>
      </c>
      <c r="AD24">
        <v>1</v>
      </c>
      <c r="AE24" t="s">
        <v>40</v>
      </c>
      <c r="AF24" s="1">
        <v>42849</v>
      </c>
    </row>
    <row r="25" spans="1:32" x14ac:dyDescent="0.25">
      <c r="A25" t="s">
        <v>41</v>
      </c>
      <c r="B25">
        <v>0</v>
      </c>
      <c r="C25">
        <v>278</v>
      </c>
      <c r="D25">
        <v>2017</v>
      </c>
      <c r="E25" t="s">
        <v>42</v>
      </c>
      <c r="F25">
        <v>30</v>
      </c>
      <c r="G25">
        <v>26</v>
      </c>
      <c r="H25">
        <v>0</v>
      </c>
      <c r="I25">
        <v>4</v>
      </c>
      <c r="J25">
        <v>3</v>
      </c>
      <c r="K25">
        <v>0</v>
      </c>
      <c r="L25">
        <v>0</v>
      </c>
      <c r="M25" t="s">
        <v>34</v>
      </c>
      <c r="N25" t="s">
        <v>56</v>
      </c>
      <c r="O25" t="s">
        <v>44</v>
      </c>
      <c r="P25" t="s">
        <v>45</v>
      </c>
      <c r="Q25">
        <v>0</v>
      </c>
      <c r="R25">
        <v>0</v>
      </c>
      <c r="S25">
        <v>0</v>
      </c>
      <c r="T25" t="s">
        <v>57</v>
      </c>
      <c r="U25" t="s">
        <v>57</v>
      </c>
      <c r="V25">
        <v>0</v>
      </c>
      <c r="W25" t="s">
        <v>38</v>
      </c>
      <c r="X25">
        <v>9</v>
      </c>
      <c r="Z25">
        <v>0</v>
      </c>
      <c r="AA25" t="s">
        <v>39</v>
      </c>
      <c r="AB25">
        <v>165.6</v>
      </c>
      <c r="AC25">
        <v>0</v>
      </c>
      <c r="AD25">
        <v>2</v>
      </c>
      <c r="AE25" t="s">
        <v>40</v>
      </c>
      <c r="AF25" s="1">
        <v>42946</v>
      </c>
    </row>
    <row r="26" spans="1:32" x14ac:dyDescent="0.25">
      <c r="A26" t="s">
        <v>41</v>
      </c>
      <c r="B26">
        <v>1</v>
      </c>
      <c r="C26">
        <v>175</v>
      </c>
      <c r="D26">
        <v>2016</v>
      </c>
      <c r="E26" t="s">
        <v>67</v>
      </c>
      <c r="F26">
        <v>33</v>
      </c>
      <c r="G26">
        <v>10</v>
      </c>
      <c r="H26">
        <v>0</v>
      </c>
      <c r="I26">
        <v>4</v>
      </c>
      <c r="J26">
        <v>2</v>
      </c>
      <c r="K26">
        <v>0</v>
      </c>
      <c r="L26">
        <v>0</v>
      </c>
      <c r="M26" t="s">
        <v>34</v>
      </c>
      <c r="N26" t="s">
        <v>35</v>
      </c>
      <c r="O26" t="s">
        <v>44</v>
      </c>
      <c r="P26" t="s">
        <v>45</v>
      </c>
      <c r="Q26">
        <v>0</v>
      </c>
      <c r="R26">
        <v>0</v>
      </c>
      <c r="S26">
        <v>0</v>
      </c>
      <c r="T26" t="s">
        <v>46</v>
      </c>
      <c r="U26" t="s">
        <v>46</v>
      </c>
      <c r="V26">
        <v>0</v>
      </c>
      <c r="W26" t="s">
        <v>38</v>
      </c>
      <c r="X26">
        <v>9</v>
      </c>
      <c r="Z26">
        <v>0</v>
      </c>
      <c r="AA26" t="s">
        <v>39</v>
      </c>
      <c r="AB26">
        <v>99.45</v>
      </c>
      <c r="AC26">
        <v>0</v>
      </c>
      <c r="AD26">
        <v>0</v>
      </c>
      <c r="AE26" t="s">
        <v>47</v>
      </c>
      <c r="AF26" s="1">
        <v>42430</v>
      </c>
    </row>
    <row r="27" spans="1:32" x14ac:dyDescent="0.25">
      <c r="A27" t="s">
        <v>41</v>
      </c>
      <c r="B27">
        <v>1</v>
      </c>
      <c r="C27">
        <v>26</v>
      </c>
      <c r="D27">
        <v>2017</v>
      </c>
      <c r="E27" t="s">
        <v>69</v>
      </c>
      <c r="F27">
        <v>21</v>
      </c>
      <c r="G27">
        <v>22</v>
      </c>
      <c r="H27">
        <v>1</v>
      </c>
      <c r="I27">
        <v>1</v>
      </c>
      <c r="J27">
        <v>2</v>
      </c>
      <c r="K27">
        <v>0</v>
      </c>
      <c r="L27">
        <v>0</v>
      </c>
      <c r="M27" t="s">
        <v>34</v>
      </c>
      <c r="N27" t="s">
        <v>43</v>
      </c>
      <c r="O27" t="s">
        <v>49</v>
      </c>
      <c r="P27" t="s">
        <v>45</v>
      </c>
      <c r="Q27">
        <v>0</v>
      </c>
      <c r="R27">
        <v>0</v>
      </c>
      <c r="S27">
        <v>0</v>
      </c>
      <c r="T27" t="s">
        <v>46</v>
      </c>
      <c r="U27" t="s">
        <v>46</v>
      </c>
      <c r="V27">
        <v>0</v>
      </c>
      <c r="W27" t="s">
        <v>68</v>
      </c>
      <c r="X27">
        <v>3</v>
      </c>
      <c r="Z27">
        <v>0</v>
      </c>
      <c r="AA27" t="s">
        <v>39</v>
      </c>
      <c r="AB27">
        <v>128</v>
      </c>
      <c r="AC27">
        <v>0</v>
      </c>
      <c r="AD27">
        <v>0</v>
      </c>
      <c r="AE27" t="s">
        <v>47</v>
      </c>
      <c r="AF27" s="1">
        <v>42851</v>
      </c>
    </row>
    <row r="28" spans="1:32" x14ac:dyDescent="0.25">
      <c r="A28" t="s">
        <v>41</v>
      </c>
      <c r="B28">
        <v>1</v>
      </c>
      <c r="C28">
        <v>360</v>
      </c>
      <c r="D28">
        <v>2015</v>
      </c>
      <c r="E28" t="s">
        <v>59</v>
      </c>
      <c r="F28">
        <v>42</v>
      </c>
      <c r="G28">
        <v>12</v>
      </c>
      <c r="H28">
        <v>1</v>
      </c>
      <c r="I28">
        <v>1</v>
      </c>
      <c r="J28">
        <v>2</v>
      </c>
      <c r="K28">
        <v>0</v>
      </c>
      <c r="L28">
        <v>0</v>
      </c>
      <c r="M28" t="s">
        <v>34</v>
      </c>
      <c r="N28" t="s">
        <v>43</v>
      </c>
      <c r="O28" t="s">
        <v>64</v>
      </c>
      <c r="P28" t="s">
        <v>45</v>
      </c>
      <c r="Q28">
        <v>0</v>
      </c>
      <c r="R28">
        <v>1</v>
      </c>
      <c r="S28">
        <v>0</v>
      </c>
      <c r="T28" t="s">
        <v>46</v>
      </c>
      <c r="U28" t="s">
        <v>46</v>
      </c>
      <c r="V28">
        <v>0</v>
      </c>
      <c r="W28" t="s">
        <v>68</v>
      </c>
      <c r="X28">
        <v>1</v>
      </c>
      <c r="Z28">
        <v>0</v>
      </c>
      <c r="AA28" t="s">
        <v>73</v>
      </c>
      <c r="AB28">
        <v>62</v>
      </c>
      <c r="AC28">
        <v>0</v>
      </c>
      <c r="AD28">
        <v>0</v>
      </c>
      <c r="AE28" t="s">
        <v>47</v>
      </c>
      <c r="AF28" s="1">
        <v>42005</v>
      </c>
    </row>
    <row r="29" spans="1:32" x14ac:dyDescent="0.25">
      <c r="A29" t="s">
        <v>32</v>
      </c>
      <c r="B29">
        <v>1</v>
      </c>
      <c r="C29">
        <v>378</v>
      </c>
      <c r="D29">
        <v>2016</v>
      </c>
      <c r="E29" t="s">
        <v>61</v>
      </c>
      <c r="F29">
        <v>45</v>
      </c>
      <c r="G29">
        <v>1</v>
      </c>
      <c r="H29">
        <v>0</v>
      </c>
      <c r="I29">
        <v>2</v>
      </c>
      <c r="J29">
        <v>2</v>
      </c>
      <c r="K29">
        <v>0</v>
      </c>
      <c r="L29">
        <v>0</v>
      </c>
      <c r="M29" t="s">
        <v>34</v>
      </c>
      <c r="N29" t="s">
        <v>43</v>
      </c>
      <c r="O29" t="s">
        <v>64</v>
      </c>
      <c r="P29" t="s">
        <v>45</v>
      </c>
      <c r="Q29">
        <v>0</v>
      </c>
      <c r="R29">
        <v>0</v>
      </c>
      <c r="S29">
        <v>0</v>
      </c>
      <c r="T29" t="s">
        <v>46</v>
      </c>
      <c r="U29" t="s">
        <v>46</v>
      </c>
      <c r="V29">
        <v>0</v>
      </c>
      <c r="W29" t="s">
        <v>68</v>
      </c>
      <c r="X29">
        <v>248</v>
      </c>
      <c r="Z29">
        <v>0</v>
      </c>
      <c r="AA29" t="s">
        <v>39</v>
      </c>
      <c r="AB29">
        <v>46</v>
      </c>
      <c r="AC29">
        <v>0</v>
      </c>
      <c r="AD29">
        <v>0</v>
      </c>
      <c r="AE29" t="s">
        <v>47</v>
      </c>
      <c r="AF29" s="1">
        <v>42661</v>
      </c>
    </row>
    <row r="30" spans="1:32" x14ac:dyDescent="0.25">
      <c r="A30" t="s">
        <v>41</v>
      </c>
      <c r="B30">
        <v>0</v>
      </c>
      <c r="C30">
        <v>32</v>
      </c>
      <c r="D30">
        <v>2016</v>
      </c>
      <c r="E30" t="s">
        <v>74</v>
      </c>
      <c r="F30">
        <v>5</v>
      </c>
      <c r="G30">
        <v>24</v>
      </c>
      <c r="H30">
        <v>2</v>
      </c>
      <c r="I30">
        <v>1</v>
      </c>
      <c r="J30">
        <v>2</v>
      </c>
      <c r="K30">
        <v>0</v>
      </c>
      <c r="L30">
        <v>0</v>
      </c>
      <c r="M30" t="s">
        <v>34</v>
      </c>
      <c r="N30" t="s">
        <v>75</v>
      </c>
      <c r="O30" t="s">
        <v>76</v>
      </c>
      <c r="P30" t="s">
        <v>76</v>
      </c>
      <c r="Q30">
        <v>0</v>
      </c>
      <c r="R30">
        <v>0</v>
      </c>
      <c r="S30">
        <v>0</v>
      </c>
      <c r="T30" t="s">
        <v>46</v>
      </c>
      <c r="U30" t="s">
        <v>46</v>
      </c>
      <c r="V30">
        <v>1</v>
      </c>
      <c r="W30" t="s">
        <v>38</v>
      </c>
      <c r="X30">
        <v>38</v>
      </c>
      <c r="Z30">
        <v>15</v>
      </c>
      <c r="AA30" t="s">
        <v>51</v>
      </c>
      <c r="AB30">
        <v>64</v>
      </c>
      <c r="AC30">
        <v>0</v>
      </c>
      <c r="AD30">
        <v>0</v>
      </c>
      <c r="AE30" t="s">
        <v>40</v>
      </c>
      <c r="AF30" s="1">
        <v>42396</v>
      </c>
    </row>
    <row r="31" spans="1:32" x14ac:dyDescent="0.25">
      <c r="A31" t="s">
        <v>32</v>
      </c>
      <c r="B31">
        <v>0</v>
      </c>
      <c r="C31">
        <v>165</v>
      </c>
      <c r="D31">
        <v>2015</v>
      </c>
      <c r="E31" t="s">
        <v>33</v>
      </c>
      <c r="F31">
        <v>53</v>
      </c>
      <c r="G31">
        <v>30</v>
      </c>
      <c r="H31">
        <v>0</v>
      </c>
      <c r="I31">
        <v>4</v>
      </c>
      <c r="J31">
        <v>1</v>
      </c>
      <c r="K31">
        <v>0</v>
      </c>
      <c r="L31">
        <v>0</v>
      </c>
      <c r="M31" t="s">
        <v>77</v>
      </c>
      <c r="N31" t="s">
        <v>43</v>
      </c>
      <c r="O31" t="s">
        <v>64</v>
      </c>
      <c r="P31" t="s">
        <v>45</v>
      </c>
      <c r="Q31">
        <v>0</v>
      </c>
      <c r="R31">
        <v>0</v>
      </c>
      <c r="S31">
        <v>0</v>
      </c>
      <c r="T31" t="s">
        <v>46</v>
      </c>
      <c r="U31" t="s">
        <v>46</v>
      </c>
      <c r="V31">
        <v>0</v>
      </c>
      <c r="W31" t="s">
        <v>38</v>
      </c>
      <c r="X31">
        <v>308</v>
      </c>
      <c r="Z31">
        <v>122</v>
      </c>
      <c r="AA31" t="s">
        <v>51</v>
      </c>
      <c r="AB31">
        <v>0</v>
      </c>
      <c r="AC31">
        <v>0</v>
      </c>
      <c r="AD31">
        <v>0</v>
      </c>
      <c r="AE31" t="s">
        <v>40</v>
      </c>
      <c r="AF31" s="1">
        <v>42372</v>
      </c>
    </row>
    <row r="32" spans="1:32" x14ac:dyDescent="0.25">
      <c r="A32" t="s">
        <v>41</v>
      </c>
      <c r="B32">
        <v>0</v>
      </c>
      <c r="C32">
        <v>4</v>
      </c>
      <c r="D32">
        <v>2015</v>
      </c>
      <c r="E32" t="s">
        <v>67</v>
      </c>
      <c r="F32">
        <v>35</v>
      </c>
      <c r="G32">
        <v>25</v>
      </c>
      <c r="H32">
        <v>0</v>
      </c>
      <c r="I32">
        <v>4</v>
      </c>
      <c r="J32">
        <v>2</v>
      </c>
      <c r="K32">
        <v>0</v>
      </c>
      <c r="L32">
        <v>0</v>
      </c>
      <c r="M32" t="s">
        <v>34</v>
      </c>
      <c r="N32" t="s">
        <v>43</v>
      </c>
      <c r="O32" t="s">
        <v>64</v>
      </c>
      <c r="P32" t="s">
        <v>45</v>
      </c>
      <c r="Q32">
        <v>0</v>
      </c>
      <c r="R32">
        <v>0</v>
      </c>
      <c r="S32">
        <v>0</v>
      </c>
      <c r="T32" t="s">
        <v>46</v>
      </c>
      <c r="U32" t="s">
        <v>46</v>
      </c>
      <c r="V32">
        <v>0</v>
      </c>
      <c r="W32" t="s">
        <v>38</v>
      </c>
      <c r="X32">
        <v>1</v>
      </c>
      <c r="Z32">
        <v>0</v>
      </c>
      <c r="AA32" t="s">
        <v>51</v>
      </c>
      <c r="AB32">
        <v>62</v>
      </c>
      <c r="AC32">
        <v>0</v>
      </c>
      <c r="AD32">
        <v>0</v>
      </c>
      <c r="AE32" t="s">
        <v>40</v>
      </c>
      <c r="AF32" s="1">
        <v>42245</v>
      </c>
    </row>
    <row r="33" spans="1:32" x14ac:dyDescent="0.25">
      <c r="A33" t="s">
        <v>41</v>
      </c>
      <c r="B33">
        <v>1</v>
      </c>
      <c r="C33">
        <v>179</v>
      </c>
      <c r="D33">
        <v>2016</v>
      </c>
      <c r="E33" t="s">
        <v>42</v>
      </c>
      <c r="F33">
        <v>27</v>
      </c>
      <c r="G33">
        <v>1</v>
      </c>
      <c r="H33">
        <v>0</v>
      </c>
      <c r="I33">
        <v>2</v>
      </c>
      <c r="J33">
        <v>2</v>
      </c>
      <c r="K33">
        <v>0</v>
      </c>
      <c r="L33">
        <v>0</v>
      </c>
      <c r="M33" t="s">
        <v>34</v>
      </c>
      <c r="N33" t="s">
        <v>43</v>
      </c>
      <c r="O33" t="s">
        <v>64</v>
      </c>
      <c r="P33" t="s">
        <v>45</v>
      </c>
      <c r="Q33">
        <v>0</v>
      </c>
      <c r="R33">
        <v>0</v>
      </c>
      <c r="S33">
        <v>0</v>
      </c>
      <c r="T33" t="s">
        <v>46</v>
      </c>
      <c r="U33" t="s">
        <v>46</v>
      </c>
      <c r="V33">
        <v>0</v>
      </c>
      <c r="W33" t="s">
        <v>68</v>
      </c>
      <c r="X33">
        <v>1</v>
      </c>
      <c r="Z33">
        <v>0</v>
      </c>
      <c r="AA33" t="s">
        <v>39</v>
      </c>
      <c r="AB33">
        <v>65</v>
      </c>
      <c r="AC33">
        <v>0</v>
      </c>
      <c r="AD33">
        <v>0</v>
      </c>
      <c r="AE33" t="s">
        <v>47</v>
      </c>
      <c r="AF33" s="1">
        <v>42500</v>
      </c>
    </row>
    <row r="34" spans="1:32" x14ac:dyDescent="0.25">
      <c r="A34" t="s">
        <v>41</v>
      </c>
      <c r="B34">
        <v>0</v>
      </c>
      <c r="C34">
        <v>349</v>
      </c>
      <c r="D34">
        <v>2016</v>
      </c>
      <c r="E34" t="s">
        <v>59</v>
      </c>
      <c r="F34">
        <v>41</v>
      </c>
      <c r="G34">
        <v>4</v>
      </c>
      <c r="H34">
        <v>1</v>
      </c>
      <c r="I34">
        <v>5</v>
      </c>
      <c r="J34">
        <v>2</v>
      </c>
      <c r="K34">
        <v>0</v>
      </c>
      <c r="L34">
        <v>0</v>
      </c>
      <c r="M34" t="s">
        <v>34</v>
      </c>
      <c r="N34" t="s">
        <v>56</v>
      </c>
      <c r="O34" t="s">
        <v>49</v>
      </c>
      <c r="P34" t="s">
        <v>45</v>
      </c>
      <c r="Q34">
        <v>0</v>
      </c>
      <c r="R34">
        <v>0</v>
      </c>
      <c r="S34">
        <v>0</v>
      </c>
      <c r="T34" t="s">
        <v>46</v>
      </c>
      <c r="U34" t="s">
        <v>46</v>
      </c>
      <c r="V34">
        <v>0</v>
      </c>
      <c r="W34" t="s">
        <v>38</v>
      </c>
      <c r="X34">
        <v>58</v>
      </c>
      <c r="Z34">
        <v>162</v>
      </c>
      <c r="AA34" t="s">
        <v>51</v>
      </c>
      <c r="AB34">
        <v>123.33</v>
      </c>
      <c r="AC34">
        <v>0</v>
      </c>
      <c r="AD34">
        <v>0</v>
      </c>
      <c r="AE34" t="s">
        <v>40</v>
      </c>
      <c r="AF34" s="1">
        <v>42653</v>
      </c>
    </row>
    <row r="35" spans="1:32" x14ac:dyDescent="0.25">
      <c r="A35" t="s">
        <v>41</v>
      </c>
      <c r="B35">
        <v>0</v>
      </c>
      <c r="C35">
        <v>47</v>
      </c>
      <c r="D35">
        <v>2016</v>
      </c>
      <c r="E35" t="s">
        <v>66</v>
      </c>
      <c r="F35">
        <v>8</v>
      </c>
      <c r="G35">
        <v>18</v>
      </c>
      <c r="H35">
        <v>0</v>
      </c>
      <c r="I35">
        <v>3</v>
      </c>
      <c r="J35">
        <v>2</v>
      </c>
      <c r="K35">
        <v>0</v>
      </c>
      <c r="L35">
        <v>0</v>
      </c>
      <c r="M35" t="s">
        <v>34</v>
      </c>
      <c r="N35" t="s">
        <v>78</v>
      </c>
      <c r="O35" t="s">
        <v>44</v>
      </c>
      <c r="P35" t="s">
        <v>45</v>
      </c>
      <c r="Q35">
        <v>0</v>
      </c>
      <c r="R35">
        <v>0</v>
      </c>
      <c r="S35">
        <v>0</v>
      </c>
      <c r="T35" t="s">
        <v>57</v>
      </c>
      <c r="U35" t="s">
        <v>57</v>
      </c>
      <c r="V35">
        <v>0</v>
      </c>
      <c r="W35" t="s">
        <v>38</v>
      </c>
      <c r="X35">
        <v>9</v>
      </c>
      <c r="Z35">
        <v>0</v>
      </c>
      <c r="AA35" t="s">
        <v>39</v>
      </c>
      <c r="AB35">
        <v>90.3</v>
      </c>
      <c r="AC35">
        <v>0</v>
      </c>
      <c r="AD35">
        <v>0</v>
      </c>
      <c r="AE35" t="s">
        <v>40</v>
      </c>
      <c r="AF35" s="1">
        <v>42421</v>
      </c>
    </row>
    <row r="36" spans="1:32" x14ac:dyDescent="0.25">
      <c r="A36" t="s">
        <v>41</v>
      </c>
      <c r="B36">
        <v>0</v>
      </c>
      <c r="C36">
        <v>237</v>
      </c>
      <c r="D36">
        <v>2015</v>
      </c>
      <c r="E36" t="s">
        <v>62</v>
      </c>
      <c r="F36">
        <v>38</v>
      </c>
      <c r="G36">
        <v>14</v>
      </c>
      <c r="H36">
        <v>1</v>
      </c>
      <c r="I36">
        <v>2</v>
      </c>
      <c r="J36">
        <v>1</v>
      </c>
      <c r="K36">
        <v>0</v>
      </c>
      <c r="L36">
        <v>0</v>
      </c>
      <c r="M36" t="s">
        <v>34</v>
      </c>
      <c r="N36" t="s">
        <v>56</v>
      </c>
      <c r="O36" t="s">
        <v>44</v>
      </c>
      <c r="P36" t="s">
        <v>45</v>
      </c>
      <c r="Q36">
        <v>0</v>
      </c>
      <c r="R36">
        <v>0</v>
      </c>
      <c r="S36">
        <v>0</v>
      </c>
      <c r="T36" t="s">
        <v>46</v>
      </c>
      <c r="U36" t="s">
        <v>46</v>
      </c>
      <c r="V36">
        <v>0</v>
      </c>
      <c r="W36" t="s">
        <v>38</v>
      </c>
      <c r="X36">
        <v>9</v>
      </c>
      <c r="Z36">
        <v>0</v>
      </c>
      <c r="AA36" t="s">
        <v>51</v>
      </c>
      <c r="AB36">
        <v>80.75</v>
      </c>
      <c r="AC36">
        <v>0</v>
      </c>
      <c r="AD36">
        <v>0</v>
      </c>
      <c r="AE36" t="s">
        <v>40</v>
      </c>
      <c r="AF36" s="1">
        <v>42264</v>
      </c>
    </row>
    <row r="37" spans="1:32" x14ac:dyDescent="0.25">
      <c r="A37" t="s">
        <v>41</v>
      </c>
      <c r="B37">
        <v>0</v>
      </c>
      <c r="C37">
        <v>31</v>
      </c>
      <c r="D37">
        <v>2016</v>
      </c>
      <c r="E37" t="s">
        <v>62</v>
      </c>
      <c r="F37">
        <v>40</v>
      </c>
      <c r="G37">
        <v>27</v>
      </c>
      <c r="H37">
        <v>0</v>
      </c>
      <c r="I37">
        <v>1</v>
      </c>
      <c r="J37">
        <v>2</v>
      </c>
      <c r="K37">
        <v>0</v>
      </c>
      <c r="L37">
        <v>0</v>
      </c>
      <c r="M37" t="s">
        <v>34</v>
      </c>
      <c r="N37" t="s">
        <v>79</v>
      </c>
      <c r="O37" t="s">
        <v>44</v>
      </c>
      <c r="P37" t="s">
        <v>45</v>
      </c>
      <c r="Q37">
        <v>0</v>
      </c>
      <c r="R37">
        <v>0</v>
      </c>
      <c r="S37">
        <v>0</v>
      </c>
      <c r="T37" t="s">
        <v>46</v>
      </c>
      <c r="U37" t="s">
        <v>57</v>
      </c>
      <c r="V37">
        <v>0</v>
      </c>
      <c r="W37" t="s">
        <v>38</v>
      </c>
      <c r="X37">
        <v>9</v>
      </c>
      <c r="Z37">
        <v>0</v>
      </c>
      <c r="AA37" t="s">
        <v>39</v>
      </c>
      <c r="AB37">
        <v>126</v>
      </c>
      <c r="AC37">
        <v>0</v>
      </c>
      <c r="AD37">
        <v>0</v>
      </c>
      <c r="AE37" t="s">
        <v>40</v>
      </c>
      <c r="AF37" s="1">
        <v>42641</v>
      </c>
    </row>
    <row r="38" spans="1:32" x14ac:dyDescent="0.25">
      <c r="A38" t="s">
        <v>41</v>
      </c>
      <c r="B38">
        <v>0</v>
      </c>
      <c r="C38">
        <v>158</v>
      </c>
      <c r="D38">
        <v>2016</v>
      </c>
      <c r="E38" t="s">
        <v>42</v>
      </c>
      <c r="F38">
        <v>27</v>
      </c>
      <c r="G38">
        <v>1</v>
      </c>
      <c r="H38">
        <v>1</v>
      </c>
      <c r="I38">
        <v>2</v>
      </c>
      <c r="J38">
        <v>2</v>
      </c>
      <c r="K38">
        <v>2</v>
      </c>
      <c r="L38">
        <v>0</v>
      </c>
      <c r="M38" t="s">
        <v>34</v>
      </c>
      <c r="N38" t="s">
        <v>65</v>
      </c>
      <c r="O38" t="s">
        <v>44</v>
      </c>
      <c r="P38" t="s">
        <v>45</v>
      </c>
      <c r="Q38">
        <v>0</v>
      </c>
      <c r="R38">
        <v>0</v>
      </c>
      <c r="S38">
        <v>0</v>
      </c>
      <c r="T38" t="s">
        <v>37</v>
      </c>
      <c r="U38" t="s">
        <v>37</v>
      </c>
      <c r="V38">
        <v>0</v>
      </c>
      <c r="W38" t="s">
        <v>38</v>
      </c>
      <c r="X38">
        <v>9</v>
      </c>
      <c r="Z38">
        <v>0</v>
      </c>
      <c r="AA38" t="s">
        <v>39</v>
      </c>
      <c r="AB38">
        <v>168.3</v>
      </c>
      <c r="AC38">
        <v>0</v>
      </c>
      <c r="AD38">
        <v>1</v>
      </c>
      <c r="AE38" t="s">
        <v>40</v>
      </c>
      <c r="AF38" s="1">
        <v>42555</v>
      </c>
    </row>
    <row r="39" spans="1:32" x14ac:dyDescent="0.25">
      <c r="A39" t="s">
        <v>41</v>
      </c>
      <c r="B39">
        <v>0</v>
      </c>
      <c r="C39">
        <v>25</v>
      </c>
      <c r="D39">
        <v>2016</v>
      </c>
      <c r="E39" t="s">
        <v>33</v>
      </c>
      <c r="F39">
        <v>51</v>
      </c>
      <c r="G39">
        <v>13</v>
      </c>
      <c r="H39">
        <v>0</v>
      </c>
      <c r="I39">
        <v>4</v>
      </c>
      <c r="J39">
        <v>1</v>
      </c>
      <c r="K39">
        <v>0</v>
      </c>
      <c r="L39">
        <v>0</v>
      </c>
      <c r="M39" t="s">
        <v>34</v>
      </c>
      <c r="N39" t="s">
        <v>80</v>
      </c>
      <c r="O39" t="s">
        <v>44</v>
      </c>
      <c r="P39" t="s">
        <v>45</v>
      </c>
      <c r="Q39">
        <v>0</v>
      </c>
      <c r="R39">
        <v>0</v>
      </c>
      <c r="S39">
        <v>0</v>
      </c>
      <c r="T39" t="s">
        <v>46</v>
      </c>
      <c r="U39" t="s">
        <v>46</v>
      </c>
      <c r="V39">
        <v>0</v>
      </c>
      <c r="W39" t="s">
        <v>38</v>
      </c>
      <c r="X39">
        <v>8</v>
      </c>
      <c r="Z39">
        <v>0</v>
      </c>
      <c r="AA39" t="s">
        <v>39</v>
      </c>
      <c r="AB39">
        <v>79.900000000000006</v>
      </c>
      <c r="AC39">
        <v>0</v>
      </c>
      <c r="AD39">
        <v>1</v>
      </c>
      <c r="AE39" t="s">
        <v>40</v>
      </c>
      <c r="AF39" s="1">
        <v>42721</v>
      </c>
    </row>
    <row r="40" spans="1:32" x14ac:dyDescent="0.25">
      <c r="A40" t="s">
        <v>41</v>
      </c>
      <c r="B40">
        <v>0</v>
      </c>
      <c r="C40">
        <v>386</v>
      </c>
      <c r="D40">
        <v>2016</v>
      </c>
      <c r="E40" t="s">
        <v>59</v>
      </c>
      <c r="F40">
        <v>44</v>
      </c>
      <c r="G40">
        <v>23</v>
      </c>
      <c r="H40">
        <v>2</v>
      </c>
      <c r="I40">
        <v>0</v>
      </c>
      <c r="J40">
        <v>2</v>
      </c>
      <c r="K40">
        <v>0</v>
      </c>
      <c r="L40">
        <v>0</v>
      </c>
      <c r="M40" t="s">
        <v>60</v>
      </c>
      <c r="N40" t="s">
        <v>56</v>
      </c>
      <c r="O40" t="s">
        <v>49</v>
      </c>
      <c r="P40" t="s">
        <v>45</v>
      </c>
      <c r="Q40">
        <v>0</v>
      </c>
      <c r="R40">
        <v>0</v>
      </c>
      <c r="S40">
        <v>0</v>
      </c>
      <c r="T40" t="s">
        <v>46</v>
      </c>
      <c r="U40" t="s">
        <v>46</v>
      </c>
      <c r="V40">
        <v>0</v>
      </c>
      <c r="W40" t="s">
        <v>38</v>
      </c>
      <c r="X40">
        <v>6</v>
      </c>
      <c r="Z40">
        <v>0</v>
      </c>
      <c r="AA40" t="s">
        <v>51</v>
      </c>
      <c r="AB40">
        <v>115</v>
      </c>
      <c r="AC40">
        <v>0</v>
      </c>
      <c r="AD40">
        <v>1</v>
      </c>
      <c r="AE40" t="s">
        <v>40</v>
      </c>
      <c r="AF40" s="1">
        <v>42668</v>
      </c>
    </row>
    <row r="41" spans="1:32" x14ac:dyDescent="0.25">
      <c r="A41" t="s">
        <v>32</v>
      </c>
      <c r="B41">
        <v>0</v>
      </c>
      <c r="C41">
        <v>10</v>
      </c>
      <c r="D41">
        <v>2016</v>
      </c>
      <c r="E41" t="s">
        <v>62</v>
      </c>
      <c r="F41">
        <v>38</v>
      </c>
      <c r="G41">
        <v>13</v>
      </c>
      <c r="H41">
        <v>0</v>
      </c>
      <c r="I41">
        <v>2</v>
      </c>
      <c r="J41">
        <v>2</v>
      </c>
      <c r="K41">
        <v>0</v>
      </c>
      <c r="L41">
        <v>0</v>
      </c>
      <c r="M41" t="s">
        <v>34</v>
      </c>
      <c r="N41" t="s">
        <v>81</v>
      </c>
      <c r="O41" t="s">
        <v>44</v>
      </c>
      <c r="P41" t="s">
        <v>45</v>
      </c>
      <c r="Q41">
        <v>0</v>
      </c>
      <c r="R41">
        <v>0</v>
      </c>
      <c r="S41">
        <v>0</v>
      </c>
      <c r="T41" t="s">
        <v>46</v>
      </c>
      <c r="U41" t="s">
        <v>46</v>
      </c>
      <c r="V41">
        <v>0</v>
      </c>
      <c r="W41" t="s">
        <v>38</v>
      </c>
      <c r="X41">
        <v>240</v>
      </c>
      <c r="Z41">
        <v>0</v>
      </c>
      <c r="AA41" t="s">
        <v>39</v>
      </c>
      <c r="AB41">
        <v>109</v>
      </c>
      <c r="AC41">
        <v>0</v>
      </c>
      <c r="AD41">
        <v>0</v>
      </c>
      <c r="AE41" t="s">
        <v>40</v>
      </c>
      <c r="AF41" s="1">
        <v>42628</v>
      </c>
    </row>
    <row r="42" spans="1:32" x14ac:dyDescent="0.25">
      <c r="A42" t="s">
        <v>41</v>
      </c>
      <c r="B42">
        <v>0</v>
      </c>
      <c r="C42">
        <v>76</v>
      </c>
      <c r="D42">
        <v>2016</v>
      </c>
      <c r="E42" t="s">
        <v>52</v>
      </c>
      <c r="F42">
        <v>13</v>
      </c>
      <c r="G42">
        <v>20</v>
      </c>
      <c r="H42">
        <v>2</v>
      </c>
      <c r="I42">
        <v>3</v>
      </c>
      <c r="J42">
        <v>2</v>
      </c>
      <c r="K42">
        <v>0</v>
      </c>
      <c r="L42">
        <v>0</v>
      </c>
      <c r="M42" t="s">
        <v>34</v>
      </c>
      <c r="N42" t="s">
        <v>82</v>
      </c>
      <c r="O42" t="s">
        <v>44</v>
      </c>
      <c r="P42" t="s">
        <v>45</v>
      </c>
      <c r="Q42">
        <v>0</v>
      </c>
      <c r="R42">
        <v>0</v>
      </c>
      <c r="S42">
        <v>0</v>
      </c>
      <c r="T42" t="s">
        <v>57</v>
      </c>
      <c r="U42" t="s">
        <v>57</v>
      </c>
      <c r="V42">
        <v>1</v>
      </c>
      <c r="W42" t="s">
        <v>38</v>
      </c>
      <c r="X42">
        <v>9</v>
      </c>
      <c r="Z42">
        <v>0</v>
      </c>
      <c r="AA42" t="s">
        <v>39</v>
      </c>
      <c r="AB42">
        <v>110.15</v>
      </c>
      <c r="AC42">
        <v>0</v>
      </c>
      <c r="AD42">
        <v>1</v>
      </c>
      <c r="AE42" t="s">
        <v>40</v>
      </c>
      <c r="AF42" s="1">
        <v>42454</v>
      </c>
    </row>
    <row r="43" spans="1:32" x14ac:dyDescent="0.25">
      <c r="A43" t="s">
        <v>41</v>
      </c>
      <c r="B43">
        <v>0</v>
      </c>
      <c r="C43">
        <v>42</v>
      </c>
      <c r="D43">
        <v>2017</v>
      </c>
      <c r="E43" t="s">
        <v>54</v>
      </c>
      <c r="F43">
        <v>16</v>
      </c>
      <c r="G43">
        <v>21</v>
      </c>
      <c r="H43">
        <v>1</v>
      </c>
      <c r="I43">
        <v>2</v>
      </c>
      <c r="J43">
        <v>2</v>
      </c>
      <c r="K43">
        <v>0</v>
      </c>
      <c r="L43">
        <v>0</v>
      </c>
      <c r="M43" t="s">
        <v>34</v>
      </c>
      <c r="N43" t="s">
        <v>48</v>
      </c>
      <c r="O43" t="s">
        <v>44</v>
      </c>
      <c r="P43" t="s">
        <v>45</v>
      </c>
      <c r="Q43">
        <v>0</v>
      </c>
      <c r="R43">
        <v>0</v>
      </c>
      <c r="S43">
        <v>0</v>
      </c>
      <c r="T43" t="s">
        <v>57</v>
      </c>
      <c r="U43" t="s">
        <v>57</v>
      </c>
      <c r="V43">
        <v>0</v>
      </c>
      <c r="W43" t="s">
        <v>38</v>
      </c>
      <c r="X43">
        <v>9</v>
      </c>
      <c r="Z43">
        <v>0</v>
      </c>
      <c r="AA43" t="s">
        <v>39</v>
      </c>
      <c r="AB43">
        <v>156.66999999999999</v>
      </c>
      <c r="AC43">
        <v>0</v>
      </c>
      <c r="AD43">
        <v>2</v>
      </c>
      <c r="AE43" t="s">
        <v>40</v>
      </c>
      <c r="AF43" s="1">
        <v>42849</v>
      </c>
    </row>
    <row r="44" spans="1:32" x14ac:dyDescent="0.25">
      <c r="A44" t="s">
        <v>32</v>
      </c>
      <c r="B44">
        <v>1</v>
      </c>
      <c r="C44">
        <v>210</v>
      </c>
      <c r="D44">
        <v>2016</v>
      </c>
      <c r="E44" t="s">
        <v>67</v>
      </c>
      <c r="F44">
        <v>35</v>
      </c>
      <c r="G44">
        <v>22</v>
      </c>
      <c r="H44">
        <v>3</v>
      </c>
      <c r="I44">
        <v>8</v>
      </c>
      <c r="J44">
        <v>2</v>
      </c>
      <c r="K44">
        <v>0</v>
      </c>
      <c r="L44">
        <v>0</v>
      </c>
      <c r="M44" t="s">
        <v>60</v>
      </c>
      <c r="N44" t="s">
        <v>43</v>
      </c>
      <c r="O44" t="s">
        <v>44</v>
      </c>
      <c r="P44" t="s">
        <v>45</v>
      </c>
      <c r="Q44">
        <v>0</v>
      </c>
      <c r="R44">
        <v>0</v>
      </c>
      <c r="S44">
        <v>0</v>
      </c>
      <c r="T44" t="s">
        <v>72</v>
      </c>
      <c r="U44" t="s">
        <v>72</v>
      </c>
      <c r="V44">
        <v>0</v>
      </c>
      <c r="W44" t="s">
        <v>38</v>
      </c>
      <c r="X44">
        <v>240</v>
      </c>
      <c r="Z44">
        <v>0</v>
      </c>
      <c r="AA44" t="s">
        <v>39</v>
      </c>
      <c r="AB44">
        <v>192.73</v>
      </c>
      <c r="AC44">
        <v>0</v>
      </c>
      <c r="AD44">
        <v>2</v>
      </c>
      <c r="AE44" t="s">
        <v>47</v>
      </c>
      <c r="AF44" s="1">
        <v>42415</v>
      </c>
    </row>
    <row r="45" spans="1:32" x14ac:dyDescent="0.25">
      <c r="A45" t="s">
        <v>41</v>
      </c>
      <c r="B45">
        <v>0</v>
      </c>
      <c r="C45">
        <v>4</v>
      </c>
      <c r="D45">
        <v>2016</v>
      </c>
      <c r="E45" t="s">
        <v>83</v>
      </c>
      <c r="F45">
        <v>27</v>
      </c>
      <c r="G45">
        <v>26</v>
      </c>
      <c r="H45">
        <v>2</v>
      </c>
      <c r="I45">
        <v>0</v>
      </c>
      <c r="J45">
        <v>1</v>
      </c>
      <c r="K45">
        <v>0</v>
      </c>
      <c r="L45">
        <v>0</v>
      </c>
      <c r="M45" t="s">
        <v>55</v>
      </c>
      <c r="N45" t="s">
        <v>78</v>
      </c>
      <c r="O45" t="s">
        <v>44</v>
      </c>
      <c r="P45" t="s">
        <v>45</v>
      </c>
      <c r="Q45">
        <v>0</v>
      </c>
      <c r="R45">
        <v>0</v>
      </c>
      <c r="S45">
        <v>0</v>
      </c>
      <c r="T45" t="s">
        <v>46</v>
      </c>
      <c r="U45" t="s">
        <v>46</v>
      </c>
      <c r="V45">
        <v>0</v>
      </c>
      <c r="W45" t="s">
        <v>38</v>
      </c>
      <c r="X45">
        <v>9</v>
      </c>
      <c r="Z45">
        <v>0</v>
      </c>
      <c r="AA45" t="s">
        <v>39</v>
      </c>
      <c r="AB45">
        <v>113</v>
      </c>
      <c r="AC45">
        <v>0</v>
      </c>
      <c r="AD45">
        <v>1</v>
      </c>
      <c r="AE45" t="s">
        <v>40</v>
      </c>
      <c r="AF45" s="1">
        <v>42549</v>
      </c>
    </row>
    <row r="46" spans="1:32" x14ac:dyDescent="0.25">
      <c r="A46" t="s">
        <v>41</v>
      </c>
      <c r="B46">
        <v>0</v>
      </c>
      <c r="C46">
        <v>33</v>
      </c>
      <c r="D46">
        <v>2016</v>
      </c>
      <c r="E46" t="s">
        <v>69</v>
      </c>
      <c r="F46">
        <v>23</v>
      </c>
      <c r="G46">
        <v>29</v>
      </c>
      <c r="H46">
        <v>2</v>
      </c>
      <c r="I46">
        <v>1</v>
      </c>
      <c r="J46">
        <v>2</v>
      </c>
      <c r="K46">
        <v>0</v>
      </c>
      <c r="L46">
        <v>0</v>
      </c>
      <c r="M46" t="s">
        <v>34</v>
      </c>
      <c r="N46" t="s">
        <v>43</v>
      </c>
      <c r="O46" t="s">
        <v>49</v>
      </c>
      <c r="P46" t="s">
        <v>45</v>
      </c>
      <c r="Q46">
        <v>0</v>
      </c>
      <c r="R46">
        <v>0</v>
      </c>
      <c r="S46">
        <v>0</v>
      </c>
      <c r="T46" t="s">
        <v>46</v>
      </c>
      <c r="U46" t="s">
        <v>46</v>
      </c>
      <c r="V46">
        <v>0</v>
      </c>
      <c r="W46" t="s">
        <v>38</v>
      </c>
      <c r="X46">
        <v>42</v>
      </c>
      <c r="Z46">
        <v>0</v>
      </c>
      <c r="AA46" t="s">
        <v>39</v>
      </c>
      <c r="AB46">
        <v>85.5</v>
      </c>
      <c r="AC46">
        <v>0</v>
      </c>
      <c r="AD46">
        <v>0</v>
      </c>
      <c r="AE46" t="s">
        <v>40</v>
      </c>
      <c r="AF46" s="1">
        <v>42522</v>
      </c>
    </row>
    <row r="47" spans="1:32" x14ac:dyDescent="0.25">
      <c r="A47" t="s">
        <v>41</v>
      </c>
      <c r="B47">
        <v>0</v>
      </c>
      <c r="C47">
        <v>7</v>
      </c>
      <c r="D47">
        <v>2016</v>
      </c>
      <c r="E47" t="s">
        <v>33</v>
      </c>
      <c r="F47">
        <v>51</v>
      </c>
      <c r="G47">
        <v>17</v>
      </c>
      <c r="H47">
        <v>1</v>
      </c>
      <c r="I47">
        <v>1</v>
      </c>
      <c r="J47">
        <v>2</v>
      </c>
      <c r="K47">
        <v>0</v>
      </c>
      <c r="L47">
        <v>0</v>
      </c>
      <c r="M47" t="s">
        <v>55</v>
      </c>
      <c r="N47" t="s">
        <v>43</v>
      </c>
      <c r="O47" t="s">
        <v>44</v>
      </c>
      <c r="P47" t="s">
        <v>45</v>
      </c>
      <c r="Q47">
        <v>0</v>
      </c>
      <c r="R47">
        <v>0</v>
      </c>
      <c r="S47">
        <v>0</v>
      </c>
      <c r="T47" t="s">
        <v>46</v>
      </c>
      <c r="U47" t="s">
        <v>46</v>
      </c>
      <c r="V47">
        <v>0</v>
      </c>
      <c r="W47" t="s">
        <v>38</v>
      </c>
      <c r="X47">
        <v>9</v>
      </c>
      <c r="Z47">
        <v>0</v>
      </c>
      <c r="AA47" t="s">
        <v>39</v>
      </c>
      <c r="AB47">
        <v>78</v>
      </c>
      <c r="AC47">
        <v>0</v>
      </c>
      <c r="AD47">
        <v>1</v>
      </c>
      <c r="AE47" t="s">
        <v>40</v>
      </c>
      <c r="AF47" s="1">
        <v>42723</v>
      </c>
    </row>
    <row r="48" spans="1:32" x14ac:dyDescent="0.25">
      <c r="A48" t="s">
        <v>41</v>
      </c>
      <c r="B48">
        <v>0</v>
      </c>
      <c r="C48">
        <v>21</v>
      </c>
      <c r="D48">
        <v>2015</v>
      </c>
      <c r="E48" t="s">
        <v>33</v>
      </c>
      <c r="F48">
        <v>51</v>
      </c>
      <c r="G48">
        <v>17</v>
      </c>
      <c r="H48">
        <v>0</v>
      </c>
      <c r="I48">
        <v>2</v>
      </c>
      <c r="J48">
        <v>1</v>
      </c>
      <c r="K48">
        <v>0</v>
      </c>
      <c r="L48">
        <v>0</v>
      </c>
      <c r="M48" t="s">
        <v>34</v>
      </c>
      <c r="N48" t="s">
        <v>43</v>
      </c>
      <c r="O48" t="s">
        <v>76</v>
      </c>
      <c r="P48" t="s">
        <v>76</v>
      </c>
      <c r="Q48">
        <v>0</v>
      </c>
      <c r="R48">
        <v>0</v>
      </c>
      <c r="S48">
        <v>0</v>
      </c>
      <c r="T48" t="s">
        <v>46</v>
      </c>
      <c r="U48" t="s">
        <v>46</v>
      </c>
      <c r="V48">
        <v>0</v>
      </c>
      <c r="W48" t="s">
        <v>38</v>
      </c>
      <c r="Y48">
        <v>40</v>
      </c>
      <c r="Z48">
        <v>0</v>
      </c>
      <c r="AA48" t="s">
        <v>51</v>
      </c>
      <c r="AB48">
        <v>65</v>
      </c>
      <c r="AC48">
        <v>0</v>
      </c>
      <c r="AD48">
        <v>0</v>
      </c>
      <c r="AE48" t="s">
        <v>40</v>
      </c>
      <c r="AF48" s="1">
        <v>42357</v>
      </c>
    </row>
    <row r="49" spans="1:32" x14ac:dyDescent="0.25">
      <c r="A49" t="s">
        <v>41</v>
      </c>
      <c r="B49">
        <v>1</v>
      </c>
      <c r="C49">
        <v>160</v>
      </c>
      <c r="D49">
        <v>2015</v>
      </c>
      <c r="E49" t="s">
        <v>33</v>
      </c>
      <c r="F49">
        <v>53</v>
      </c>
      <c r="G49">
        <v>30</v>
      </c>
      <c r="H49">
        <v>0</v>
      </c>
      <c r="I49">
        <v>3</v>
      </c>
      <c r="J49">
        <v>2</v>
      </c>
      <c r="K49">
        <v>0</v>
      </c>
      <c r="L49">
        <v>0</v>
      </c>
      <c r="M49" t="s">
        <v>34</v>
      </c>
      <c r="N49" t="s">
        <v>43</v>
      </c>
      <c r="O49" t="s">
        <v>49</v>
      </c>
      <c r="P49" t="s">
        <v>45</v>
      </c>
      <c r="Q49">
        <v>0</v>
      </c>
      <c r="R49">
        <v>0</v>
      </c>
      <c r="S49">
        <v>0</v>
      </c>
      <c r="T49" t="s">
        <v>46</v>
      </c>
      <c r="U49" t="s">
        <v>46</v>
      </c>
      <c r="V49">
        <v>0</v>
      </c>
      <c r="W49" t="s">
        <v>38</v>
      </c>
      <c r="X49">
        <v>3</v>
      </c>
      <c r="Z49">
        <v>111</v>
      </c>
      <c r="AA49" t="s">
        <v>51</v>
      </c>
      <c r="AB49">
        <v>70</v>
      </c>
      <c r="AC49">
        <v>0</v>
      </c>
      <c r="AD49">
        <v>0</v>
      </c>
      <c r="AE49" t="s">
        <v>47</v>
      </c>
      <c r="AF49" s="1">
        <v>42361</v>
      </c>
    </row>
    <row r="50" spans="1:32" x14ac:dyDescent="0.25">
      <c r="A50" t="s">
        <v>32</v>
      </c>
      <c r="B50">
        <v>0</v>
      </c>
      <c r="C50">
        <v>28</v>
      </c>
      <c r="D50">
        <v>2016</v>
      </c>
      <c r="E50" t="s">
        <v>69</v>
      </c>
      <c r="F50">
        <v>21</v>
      </c>
      <c r="G50">
        <v>19</v>
      </c>
      <c r="H50">
        <v>2</v>
      </c>
      <c r="I50">
        <v>5</v>
      </c>
      <c r="J50">
        <v>3</v>
      </c>
      <c r="K50">
        <v>0</v>
      </c>
      <c r="L50">
        <v>0</v>
      </c>
      <c r="M50" t="s">
        <v>34</v>
      </c>
      <c r="N50" t="s">
        <v>70</v>
      </c>
      <c r="O50" t="s">
        <v>49</v>
      </c>
      <c r="P50" t="s">
        <v>45</v>
      </c>
      <c r="Q50">
        <v>0</v>
      </c>
      <c r="R50">
        <v>0</v>
      </c>
      <c r="S50">
        <v>0</v>
      </c>
      <c r="T50" t="s">
        <v>46</v>
      </c>
      <c r="U50" t="s">
        <v>46</v>
      </c>
      <c r="V50">
        <v>0</v>
      </c>
      <c r="W50" t="s">
        <v>38</v>
      </c>
      <c r="X50">
        <v>8</v>
      </c>
      <c r="Z50">
        <v>0</v>
      </c>
      <c r="AA50" t="s">
        <v>39</v>
      </c>
      <c r="AB50">
        <v>79.900000000000006</v>
      </c>
      <c r="AC50">
        <v>0</v>
      </c>
      <c r="AD50">
        <v>2</v>
      </c>
      <c r="AE50" t="s">
        <v>40</v>
      </c>
      <c r="AF50" s="1">
        <v>42516</v>
      </c>
    </row>
    <row r="51" spans="1:32" x14ac:dyDescent="0.25">
      <c r="A51" t="s">
        <v>41</v>
      </c>
      <c r="B51">
        <v>1</v>
      </c>
      <c r="C51">
        <v>274</v>
      </c>
      <c r="D51">
        <v>2015</v>
      </c>
      <c r="E51" t="s">
        <v>42</v>
      </c>
      <c r="F51">
        <v>29</v>
      </c>
      <c r="G51">
        <v>18</v>
      </c>
      <c r="H51">
        <v>2</v>
      </c>
      <c r="I51">
        <v>2</v>
      </c>
      <c r="J51">
        <v>2</v>
      </c>
      <c r="K51">
        <v>0</v>
      </c>
      <c r="L51">
        <v>0</v>
      </c>
      <c r="M51" t="s">
        <v>34</v>
      </c>
      <c r="N51" t="s">
        <v>43</v>
      </c>
      <c r="O51" t="s">
        <v>64</v>
      </c>
      <c r="P51" t="s">
        <v>45</v>
      </c>
      <c r="Q51">
        <v>0</v>
      </c>
      <c r="R51">
        <v>1</v>
      </c>
      <c r="S51">
        <v>0</v>
      </c>
      <c r="T51" t="s">
        <v>46</v>
      </c>
      <c r="U51" t="s">
        <v>46</v>
      </c>
      <c r="V51">
        <v>0</v>
      </c>
      <c r="W51" t="s">
        <v>38</v>
      </c>
      <c r="X51">
        <v>1</v>
      </c>
      <c r="Z51">
        <v>0</v>
      </c>
      <c r="AA51" t="s">
        <v>51</v>
      </c>
      <c r="AB51">
        <v>62</v>
      </c>
      <c r="AC51">
        <v>0</v>
      </c>
      <c r="AD51">
        <v>0</v>
      </c>
      <c r="AE51" t="s">
        <v>47</v>
      </c>
      <c r="AF51" s="1">
        <v>42191</v>
      </c>
    </row>
    <row r="52" spans="1:32" x14ac:dyDescent="0.25">
      <c r="A52" t="s">
        <v>41</v>
      </c>
      <c r="B52">
        <v>1</v>
      </c>
      <c r="C52">
        <v>155</v>
      </c>
      <c r="D52">
        <v>2017</v>
      </c>
      <c r="E52" t="s">
        <v>42</v>
      </c>
      <c r="F52">
        <v>29</v>
      </c>
      <c r="G52">
        <v>17</v>
      </c>
      <c r="H52">
        <v>1</v>
      </c>
      <c r="I52">
        <v>1</v>
      </c>
      <c r="J52">
        <v>2</v>
      </c>
      <c r="K52">
        <v>0</v>
      </c>
      <c r="L52">
        <v>0</v>
      </c>
      <c r="M52" t="s">
        <v>55</v>
      </c>
      <c r="N52" t="s">
        <v>71</v>
      </c>
      <c r="O52" t="s">
        <v>44</v>
      </c>
      <c r="P52" t="s">
        <v>45</v>
      </c>
      <c r="Q52">
        <v>0</v>
      </c>
      <c r="R52">
        <v>0</v>
      </c>
      <c r="S52">
        <v>0</v>
      </c>
      <c r="T52" t="s">
        <v>46</v>
      </c>
      <c r="U52" t="s">
        <v>46</v>
      </c>
      <c r="V52">
        <v>0</v>
      </c>
      <c r="W52" t="s">
        <v>38</v>
      </c>
      <c r="X52">
        <v>9</v>
      </c>
      <c r="Z52">
        <v>0</v>
      </c>
      <c r="AA52" t="s">
        <v>39</v>
      </c>
      <c r="AB52">
        <v>89.1</v>
      </c>
      <c r="AC52">
        <v>0</v>
      </c>
      <c r="AD52">
        <v>1</v>
      </c>
      <c r="AE52" t="s">
        <v>47</v>
      </c>
      <c r="AF52" s="1">
        <v>42802</v>
      </c>
    </row>
    <row r="53" spans="1:32" x14ac:dyDescent="0.25">
      <c r="A53" t="s">
        <v>32</v>
      </c>
      <c r="B53">
        <v>1</v>
      </c>
      <c r="C53">
        <v>48</v>
      </c>
      <c r="D53">
        <v>2016</v>
      </c>
      <c r="E53" t="s">
        <v>62</v>
      </c>
      <c r="F53">
        <v>40</v>
      </c>
      <c r="G53">
        <v>30</v>
      </c>
      <c r="H53">
        <v>2</v>
      </c>
      <c r="I53">
        <v>3</v>
      </c>
      <c r="J53">
        <v>2</v>
      </c>
      <c r="K53">
        <v>0</v>
      </c>
      <c r="L53">
        <v>0</v>
      </c>
      <c r="M53" t="s">
        <v>34</v>
      </c>
      <c r="N53" t="s">
        <v>63</v>
      </c>
      <c r="O53" t="s">
        <v>44</v>
      </c>
      <c r="P53" t="s">
        <v>45</v>
      </c>
      <c r="Q53">
        <v>0</v>
      </c>
      <c r="R53">
        <v>0</v>
      </c>
      <c r="S53">
        <v>0</v>
      </c>
      <c r="T53" t="s">
        <v>72</v>
      </c>
      <c r="U53" t="s">
        <v>72</v>
      </c>
      <c r="V53">
        <v>0</v>
      </c>
      <c r="W53" t="s">
        <v>38</v>
      </c>
      <c r="X53">
        <v>240</v>
      </c>
      <c r="Z53">
        <v>0</v>
      </c>
      <c r="AA53" t="s">
        <v>39</v>
      </c>
      <c r="AB53">
        <v>107</v>
      </c>
      <c r="AC53">
        <v>0</v>
      </c>
      <c r="AD53">
        <v>0</v>
      </c>
      <c r="AE53" t="s">
        <v>47</v>
      </c>
      <c r="AF53" s="1">
        <v>42596</v>
      </c>
    </row>
    <row r="54" spans="1:32" x14ac:dyDescent="0.25">
      <c r="A54" t="s">
        <v>32</v>
      </c>
      <c r="B54">
        <v>0</v>
      </c>
      <c r="C54">
        <v>25</v>
      </c>
      <c r="D54">
        <v>2016</v>
      </c>
      <c r="E54" t="s">
        <v>74</v>
      </c>
      <c r="F54">
        <v>3</v>
      </c>
      <c r="G54">
        <v>14</v>
      </c>
      <c r="H54">
        <v>0</v>
      </c>
      <c r="I54">
        <v>2</v>
      </c>
      <c r="J54">
        <v>2</v>
      </c>
      <c r="K54">
        <v>2</v>
      </c>
      <c r="L54">
        <v>0</v>
      </c>
      <c r="M54" t="s">
        <v>34</v>
      </c>
      <c r="N54" t="s">
        <v>63</v>
      </c>
      <c r="O54" t="s">
        <v>44</v>
      </c>
      <c r="P54" t="s">
        <v>45</v>
      </c>
      <c r="Q54">
        <v>0</v>
      </c>
      <c r="R54">
        <v>0</v>
      </c>
      <c r="S54">
        <v>0</v>
      </c>
      <c r="T54" t="s">
        <v>84</v>
      </c>
      <c r="U54" t="s">
        <v>84</v>
      </c>
      <c r="V54">
        <v>0</v>
      </c>
      <c r="W54" t="s">
        <v>38</v>
      </c>
      <c r="X54">
        <v>240</v>
      </c>
      <c r="Z54">
        <v>0</v>
      </c>
      <c r="AA54" t="s">
        <v>39</v>
      </c>
      <c r="AB54">
        <v>79</v>
      </c>
      <c r="AC54">
        <v>0</v>
      </c>
      <c r="AD54">
        <v>1</v>
      </c>
      <c r="AE54" t="s">
        <v>40</v>
      </c>
      <c r="AF54" s="1">
        <v>42385</v>
      </c>
    </row>
    <row r="55" spans="1:32" x14ac:dyDescent="0.25">
      <c r="A55" t="s">
        <v>32</v>
      </c>
      <c r="B55">
        <v>0</v>
      </c>
      <c r="C55">
        <v>154</v>
      </c>
      <c r="D55">
        <v>2016</v>
      </c>
      <c r="E55" t="s">
        <v>42</v>
      </c>
      <c r="F55">
        <v>29</v>
      </c>
      <c r="G55">
        <v>11</v>
      </c>
      <c r="H55">
        <v>1</v>
      </c>
      <c r="I55">
        <v>2</v>
      </c>
      <c r="J55">
        <v>2</v>
      </c>
      <c r="K55">
        <v>0</v>
      </c>
      <c r="L55">
        <v>0</v>
      </c>
      <c r="M55" t="s">
        <v>34</v>
      </c>
      <c r="N55" t="s">
        <v>85</v>
      </c>
      <c r="O55" t="s">
        <v>49</v>
      </c>
      <c r="P55" t="s">
        <v>45</v>
      </c>
      <c r="Q55">
        <v>0</v>
      </c>
      <c r="R55">
        <v>0</v>
      </c>
      <c r="S55">
        <v>0</v>
      </c>
      <c r="T55" t="s">
        <v>46</v>
      </c>
      <c r="U55" t="s">
        <v>86</v>
      </c>
      <c r="V55">
        <v>0</v>
      </c>
      <c r="W55" t="s">
        <v>38</v>
      </c>
      <c r="X55">
        <v>327</v>
      </c>
      <c r="Z55">
        <v>0</v>
      </c>
      <c r="AA55" t="s">
        <v>39</v>
      </c>
      <c r="AB55">
        <v>64.8</v>
      </c>
      <c r="AC55">
        <v>0</v>
      </c>
      <c r="AD55">
        <v>0</v>
      </c>
      <c r="AE55" t="s">
        <v>40</v>
      </c>
      <c r="AF55" s="1">
        <v>42565</v>
      </c>
    </row>
    <row r="56" spans="1:32" x14ac:dyDescent="0.25">
      <c r="A56" t="s">
        <v>41</v>
      </c>
      <c r="B56">
        <v>1</v>
      </c>
      <c r="C56">
        <v>1</v>
      </c>
      <c r="D56">
        <v>2015</v>
      </c>
      <c r="E56" t="s">
        <v>33</v>
      </c>
      <c r="F56">
        <v>53</v>
      </c>
      <c r="G56">
        <v>29</v>
      </c>
      <c r="H56">
        <v>0</v>
      </c>
      <c r="I56">
        <v>4</v>
      </c>
      <c r="J56">
        <v>2</v>
      </c>
      <c r="K56">
        <v>0</v>
      </c>
      <c r="L56">
        <v>1</v>
      </c>
      <c r="M56" t="s">
        <v>34</v>
      </c>
      <c r="N56" t="s">
        <v>43</v>
      </c>
      <c r="O56" t="s">
        <v>64</v>
      </c>
      <c r="P56" t="s">
        <v>45</v>
      </c>
      <c r="Q56">
        <v>0</v>
      </c>
      <c r="R56">
        <v>0</v>
      </c>
      <c r="S56">
        <v>0</v>
      </c>
      <c r="T56" t="s">
        <v>86</v>
      </c>
      <c r="U56" t="s">
        <v>86</v>
      </c>
      <c r="V56">
        <v>2</v>
      </c>
      <c r="W56" t="s">
        <v>38</v>
      </c>
      <c r="X56">
        <v>29</v>
      </c>
      <c r="Z56">
        <v>0</v>
      </c>
      <c r="AA56" t="s">
        <v>39</v>
      </c>
      <c r="AB56">
        <v>72.5</v>
      </c>
      <c r="AC56">
        <v>0</v>
      </c>
      <c r="AD56">
        <v>2</v>
      </c>
      <c r="AE56" t="s">
        <v>47</v>
      </c>
      <c r="AF56" s="1">
        <v>42367</v>
      </c>
    </row>
    <row r="57" spans="1:32" x14ac:dyDescent="0.25">
      <c r="A57" t="s">
        <v>41</v>
      </c>
      <c r="B57">
        <v>1</v>
      </c>
      <c r="C57">
        <v>364</v>
      </c>
      <c r="D57">
        <v>2015</v>
      </c>
      <c r="E57" t="s">
        <v>59</v>
      </c>
      <c r="F57">
        <v>42</v>
      </c>
      <c r="G57">
        <v>16</v>
      </c>
      <c r="H57">
        <v>0</v>
      </c>
      <c r="I57">
        <v>2</v>
      </c>
      <c r="J57">
        <v>2</v>
      </c>
      <c r="K57">
        <v>0</v>
      </c>
      <c r="L57">
        <v>0</v>
      </c>
      <c r="M57" t="s">
        <v>60</v>
      </c>
      <c r="N57" t="s">
        <v>43</v>
      </c>
      <c r="O57" t="s">
        <v>49</v>
      </c>
      <c r="P57" t="s">
        <v>45</v>
      </c>
      <c r="Q57">
        <v>0</v>
      </c>
      <c r="R57">
        <v>1</v>
      </c>
      <c r="S57">
        <v>0</v>
      </c>
      <c r="T57" t="s">
        <v>46</v>
      </c>
      <c r="U57" t="s">
        <v>46</v>
      </c>
      <c r="V57">
        <v>0</v>
      </c>
      <c r="W57" t="s">
        <v>68</v>
      </c>
      <c r="X57">
        <v>6</v>
      </c>
      <c r="Z57">
        <v>0</v>
      </c>
      <c r="AA57" t="s">
        <v>51</v>
      </c>
      <c r="AB57">
        <v>101.5</v>
      </c>
      <c r="AC57">
        <v>0</v>
      </c>
      <c r="AD57">
        <v>0</v>
      </c>
      <c r="AE57" t="s">
        <v>47</v>
      </c>
      <c r="AF57" s="1">
        <v>42191</v>
      </c>
    </row>
    <row r="58" spans="1:32" x14ac:dyDescent="0.25">
      <c r="A58" t="s">
        <v>41</v>
      </c>
      <c r="B58">
        <v>0</v>
      </c>
      <c r="C58">
        <v>18</v>
      </c>
      <c r="D58">
        <v>2016</v>
      </c>
      <c r="E58" t="s">
        <v>33</v>
      </c>
      <c r="F58">
        <v>51</v>
      </c>
      <c r="G58">
        <v>11</v>
      </c>
      <c r="H58">
        <v>1</v>
      </c>
      <c r="I58">
        <v>0</v>
      </c>
      <c r="J58">
        <v>2</v>
      </c>
      <c r="K58">
        <v>0</v>
      </c>
      <c r="L58">
        <v>0</v>
      </c>
      <c r="M58" t="s">
        <v>34</v>
      </c>
      <c r="N58" t="s">
        <v>43</v>
      </c>
      <c r="O58" t="s">
        <v>49</v>
      </c>
      <c r="P58" t="s">
        <v>45</v>
      </c>
      <c r="Q58">
        <v>0</v>
      </c>
      <c r="R58">
        <v>0</v>
      </c>
      <c r="S58">
        <v>0</v>
      </c>
      <c r="T58" t="s">
        <v>46</v>
      </c>
      <c r="U58" t="s">
        <v>46</v>
      </c>
      <c r="V58">
        <v>0</v>
      </c>
      <c r="W58" t="s">
        <v>38</v>
      </c>
      <c r="X58">
        <v>378</v>
      </c>
      <c r="Z58">
        <v>0</v>
      </c>
      <c r="AA58" t="s">
        <v>51</v>
      </c>
      <c r="AB58">
        <v>80</v>
      </c>
      <c r="AC58">
        <v>0</v>
      </c>
      <c r="AD58">
        <v>0</v>
      </c>
      <c r="AE58" t="s">
        <v>40</v>
      </c>
      <c r="AF58" s="1">
        <v>42716</v>
      </c>
    </row>
    <row r="59" spans="1:32" x14ac:dyDescent="0.25">
      <c r="A59" t="s">
        <v>41</v>
      </c>
      <c r="B59">
        <v>1</v>
      </c>
      <c r="C59">
        <v>21</v>
      </c>
      <c r="D59">
        <v>2017</v>
      </c>
      <c r="E59" t="s">
        <v>74</v>
      </c>
      <c r="F59">
        <v>1</v>
      </c>
      <c r="G59">
        <v>2</v>
      </c>
      <c r="H59">
        <v>1</v>
      </c>
      <c r="I59">
        <v>3</v>
      </c>
      <c r="J59">
        <v>2</v>
      </c>
      <c r="K59">
        <v>0</v>
      </c>
      <c r="L59">
        <v>0</v>
      </c>
      <c r="M59" t="s">
        <v>34</v>
      </c>
      <c r="N59" t="s">
        <v>87</v>
      </c>
      <c r="O59" t="s">
        <v>44</v>
      </c>
      <c r="P59" t="s">
        <v>45</v>
      </c>
      <c r="Q59">
        <v>0</v>
      </c>
      <c r="R59">
        <v>0</v>
      </c>
      <c r="S59">
        <v>0</v>
      </c>
      <c r="T59" t="s">
        <v>46</v>
      </c>
      <c r="U59" t="s">
        <v>46</v>
      </c>
      <c r="V59">
        <v>0</v>
      </c>
      <c r="W59" t="s">
        <v>38</v>
      </c>
      <c r="X59">
        <v>9</v>
      </c>
      <c r="Z59">
        <v>0</v>
      </c>
      <c r="AA59" t="s">
        <v>39</v>
      </c>
      <c r="AB59">
        <v>90.1</v>
      </c>
      <c r="AC59">
        <v>0</v>
      </c>
      <c r="AD59">
        <v>2</v>
      </c>
      <c r="AE59" t="s">
        <v>47</v>
      </c>
      <c r="AF59" s="1">
        <v>42720</v>
      </c>
    </row>
    <row r="60" spans="1:32" x14ac:dyDescent="0.25">
      <c r="A60" t="s">
        <v>41</v>
      </c>
      <c r="B60">
        <v>1</v>
      </c>
      <c r="C60">
        <v>15</v>
      </c>
      <c r="D60">
        <v>2017</v>
      </c>
      <c r="E60" t="s">
        <v>66</v>
      </c>
      <c r="F60">
        <v>7</v>
      </c>
      <c r="G60">
        <v>17</v>
      </c>
      <c r="H60">
        <v>0</v>
      </c>
      <c r="I60">
        <v>2</v>
      </c>
      <c r="J60">
        <v>2</v>
      </c>
      <c r="K60">
        <v>0</v>
      </c>
      <c r="L60">
        <v>0</v>
      </c>
      <c r="M60" t="s">
        <v>34</v>
      </c>
      <c r="N60" t="s">
        <v>43</v>
      </c>
      <c r="O60" t="s">
        <v>49</v>
      </c>
      <c r="P60" t="s">
        <v>45</v>
      </c>
      <c r="Q60">
        <v>0</v>
      </c>
      <c r="R60">
        <v>0</v>
      </c>
      <c r="S60">
        <v>0</v>
      </c>
      <c r="T60" t="s">
        <v>46</v>
      </c>
      <c r="U60" t="s">
        <v>46</v>
      </c>
      <c r="V60">
        <v>0</v>
      </c>
      <c r="W60" t="s">
        <v>68</v>
      </c>
      <c r="X60">
        <v>19</v>
      </c>
      <c r="Z60">
        <v>0</v>
      </c>
      <c r="AA60" t="s">
        <v>39</v>
      </c>
      <c r="AB60">
        <v>95</v>
      </c>
      <c r="AC60">
        <v>0</v>
      </c>
      <c r="AD60">
        <v>0</v>
      </c>
      <c r="AE60" t="s">
        <v>47</v>
      </c>
      <c r="AF60" s="1">
        <v>42768</v>
      </c>
    </row>
    <row r="61" spans="1:32" x14ac:dyDescent="0.25">
      <c r="A61" t="s">
        <v>41</v>
      </c>
      <c r="B61">
        <v>0</v>
      </c>
      <c r="C61">
        <v>22</v>
      </c>
      <c r="D61">
        <v>2017</v>
      </c>
      <c r="E61" t="s">
        <v>52</v>
      </c>
      <c r="F61">
        <v>11</v>
      </c>
      <c r="G61">
        <v>16</v>
      </c>
      <c r="H61">
        <v>2</v>
      </c>
      <c r="I61">
        <v>5</v>
      </c>
      <c r="J61">
        <v>2</v>
      </c>
      <c r="K61">
        <v>0</v>
      </c>
      <c r="L61">
        <v>0</v>
      </c>
      <c r="M61" t="s">
        <v>34</v>
      </c>
      <c r="N61" t="s">
        <v>35</v>
      </c>
      <c r="O61" t="s">
        <v>49</v>
      </c>
      <c r="P61" t="s">
        <v>45</v>
      </c>
      <c r="Q61">
        <v>0</v>
      </c>
      <c r="R61">
        <v>0</v>
      </c>
      <c r="S61">
        <v>0</v>
      </c>
      <c r="T61" t="s">
        <v>46</v>
      </c>
      <c r="U61" t="s">
        <v>46</v>
      </c>
      <c r="V61">
        <v>0</v>
      </c>
      <c r="W61" t="s">
        <v>38</v>
      </c>
      <c r="X61">
        <v>85</v>
      </c>
      <c r="Z61">
        <v>0</v>
      </c>
      <c r="AA61" t="s">
        <v>39</v>
      </c>
      <c r="AB61">
        <v>68</v>
      </c>
      <c r="AC61">
        <v>0</v>
      </c>
      <c r="AD61">
        <v>1</v>
      </c>
      <c r="AE61" t="s">
        <v>40</v>
      </c>
      <c r="AF61" s="1">
        <v>42817</v>
      </c>
    </row>
    <row r="62" spans="1:32" x14ac:dyDescent="0.25">
      <c r="A62" t="s">
        <v>32</v>
      </c>
      <c r="B62">
        <v>1</v>
      </c>
      <c r="C62">
        <v>80</v>
      </c>
      <c r="D62">
        <v>2017</v>
      </c>
      <c r="E62" t="s">
        <v>67</v>
      </c>
      <c r="F62">
        <v>34</v>
      </c>
      <c r="G62">
        <v>26</v>
      </c>
      <c r="H62">
        <v>2</v>
      </c>
      <c r="I62">
        <v>2</v>
      </c>
      <c r="J62">
        <v>2</v>
      </c>
      <c r="K62">
        <v>0</v>
      </c>
      <c r="L62">
        <v>0</v>
      </c>
      <c r="M62" t="s">
        <v>34</v>
      </c>
      <c r="N62" t="s">
        <v>43</v>
      </c>
      <c r="O62" t="s">
        <v>49</v>
      </c>
      <c r="P62" t="s">
        <v>45</v>
      </c>
      <c r="Q62">
        <v>0</v>
      </c>
      <c r="R62">
        <v>0</v>
      </c>
      <c r="S62">
        <v>0</v>
      </c>
      <c r="T62" t="s">
        <v>57</v>
      </c>
      <c r="U62" t="s">
        <v>57</v>
      </c>
      <c r="V62">
        <v>0</v>
      </c>
      <c r="W62" t="s">
        <v>38</v>
      </c>
      <c r="X62">
        <v>40</v>
      </c>
      <c r="Z62">
        <v>0</v>
      </c>
      <c r="AA62" t="s">
        <v>73</v>
      </c>
      <c r="AB62">
        <v>135</v>
      </c>
      <c r="AC62">
        <v>0</v>
      </c>
      <c r="AD62">
        <v>1</v>
      </c>
      <c r="AE62" t="s">
        <v>47</v>
      </c>
      <c r="AF62" s="1">
        <v>42931</v>
      </c>
    </row>
    <row r="63" spans="1:32" x14ac:dyDescent="0.25">
      <c r="A63" t="s">
        <v>41</v>
      </c>
      <c r="B63">
        <v>1</v>
      </c>
      <c r="C63">
        <v>25</v>
      </c>
      <c r="D63">
        <v>2015</v>
      </c>
      <c r="E63" t="s">
        <v>33</v>
      </c>
      <c r="F63">
        <v>50</v>
      </c>
      <c r="G63">
        <v>8</v>
      </c>
      <c r="H63">
        <v>0</v>
      </c>
      <c r="I63">
        <v>2</v>
      </c>
      <c r="J63">
        <v>1</v>
      </c>
      <c r="K63">
        <v>0</v>
      </c>
      <c r="L63">
        <v>0</v>
      </c>
      <c r="M63" t="s">
        <v>34</v>
      </c>
      <c r="N63" t="s">
        <v>43</v>
      </c>
      <c r="O63" t="s">
        <v>49</v>
      </c>
      <c r="P63" t="s">
        <v>45</v>
      </c>
      <c r="Q63">
        <v>0</v>
      </c>
      <c r="R63">
        <v>1</v>
      </c>
      <c r="S63">
        <v>0</v>
      </c>
      <c r="T63" t="s">
        <v>46</v>
      </c>
      <c r="U63" t="s">
        <v>46</v>
      </c>
      <c r="V63">
        <v>0</v>
      </c>
      <c r="W63" t="s">
        <v>68</v>
      </c>
      <c r="X63">
        <v>19</v>
      </c>
      <c r="Z63">
        <v>0</v>
      </c>
      <c r="AA63" t="s">
        <v>39</v>
      </c>
      <c r="AB63">
        <v>90</v>
      </c>
      <c r="AC63">
        <v>0</v>
      </c>
      <c r="AD63">
        <v>0</v>
      </c>
      <c r="AE63" t="s">
        <v>47</v>
      </c>
      <c r="AF63" s="1">
        <v>42325</v>
      </c>
    </row>
    <row r="64" spans="1:32" x14ac:dyDescent="0.25">
      <c r="A64" t="s">
        <v>32</v>
      </c>
      <c r="B64">
        <v>0</v>
      </c>
      <c r="C64">
        <v>164</v>
      </c>
      <c r="D64">
        <v>2015</v>
      </c>
      <c r="E64" t="s">
        <v>61</v>
      </c>
      <c r="F64">
        <v>46</v>
      </c>
      <c r="G64">
        <v>9</v>
      </c>
      <c r="H64">
        <v>2</v>
      </c>
      <c r="I64">
        <v>5</v>
      </c>
      <c r="J64">
        <v>2</v>
      </c>
      <c r="K64">
        <v>0</v>
      </c>
      <c r="L64">
        <v>0</v>
      </c>
      <c r="M64" t="s">
        <v>60</v>
      </c>
      <c r="N64" t="s">
        <v>70</v>
      </c>
      <c r="O64" t="s">
        <v>44</v>
      </c>
      <c r="P64" t="s">
        <v>45</v>
      </c>
      <c r="Q64">
        <v>0</v>
      </c>
      <c r="R64">
        <v>0</v>
      </c>
      <c r="S64">
        <v>0</v>
      </c>
      <c r="T64" t="s">
        <v>46</v>
      </c>
      <c r="U64" t="s">
        <v>57</v>
      </c>
      <c r="V64">
        <v>0</v>
      </c>
      <c r="W64" t="s">
        <v>38</v>
      </c>
      <c r="X64">
        <v>240</v>
      </c>
      <c r="Z64">
        <v>0</v>
      </c>
      <c r="AA64" t="s">
        <v>39</v>
      </c>
      <c r="AB64">
        <v>61.2</v>
      </c>
      <c r="AC64">
        <v>1</v>
      </c>
      <c r="AD64">
        <v>0</v>
      </c>
      <c r="AE64" t="s">
        <v>40</v>
      </c>
      <c r="AF64" s="1">
        <v>42324</v>
      </c>
    </row>
    <row r="65" spans="1:32" x14ac:dyDescent="0.25">
      <c r="A65" t="s">
        <v>41</v>
      </c>
      <c r="B65">
        <v>0</v>
      </c>
      <c r="C65">
        <v>69</v>
      </c>
      <c r="D65">
        <v>2016</v>
      </c>
      <c r="E65" t="s">
        <v>69</v>
      </c>
      <c r="F65">
        <v>20</v>
      </c>
      <c r="G65">
        <v>14</v>
      </c>
      <c r="H65">
        <v>2</v>
      </c>
      <c r="I65">
        <v>1</v>
      </c>
      <c r="J65">
        <v>3</v>
      </c>
      <c r="K65">
        <v>0</v>
      </c>
      <c r="L65">
        <v>0</v>
      </c>
      <c r="M65" t="s">
        <v>34</v>
      </c>
      <c r="N65" t="s">
        <v>56</v>
      </c>
      <c r="O65" t="s">
        <v>44</v>
      </c>
      <c r="P65" t="s">
        <v>45</v>
      </c>
      <c r="Q65">
        <v>0</v>
      </c>
      <c r="R65">
        <v>0</v>
      </c>
      <c r="S65">
        <v>0</v>
      </c>
      <c r="T65" t="s">
        <v>46</v>
      </c>
      <c r="U65" t="s">
        <v>57</v>
      </c>
      <c r="V65">
        <v>0</v>
      </c>
      <c r="W65" t="s">
        <v>38</v>
      </c>
      <c r="X65">
        <v>9</v>
      </c>
      <c r="Z65">
        <v>0</v>
      </c>
      <c r="AA65" t="s">
        <v>39</v>
      </c>
      <c r="AB65">
        <v>159.30000000000001</v>
      </c>
      <c r="AC65">
        <v>0</v>
      </c>
      <c r="AD65">
        <v>1</v>
      </c>
      <c r="AE65" t="s">
        <v>40</v>
      </c>
      <c r="AF65" s="1">
        <v>42507</v>
      </c>
    </row>
    <row r="66" spans="1:32" x14ac:dyDescent="0.25">
      <c r="A66" t="s">
        <v>32</v>
      </c>
      <c r="B66">
        <v>0</v>
      </c>
      <c r="C66">
        <v>3</v>
      </c>
      <c r="D66">
        <v>2016</v>
      </c>
      <c r="E66" t="s">
        <v>69</v>
      </c>
      <c r="F66">
        <v>21</v>
      </c>
      <c r="G66">
        <v>20</v>
      </c>
      <c r="H66">
        <v>0</v>
      </c>
      <c r="I66">
        <v>2</v>
      </c>
      <c r="J66">
        <v>2</v>
      </c>
      <c r="K66">
        <v>0</v>
      </c>
      <c r="L66">
        <v>0</v>
      </c>
      <c r="M66" t="s">
        <v>34</v>
      </c>
      <c r="N66" t="s">
        <v>63</v>
      </c>
      <c r="O66" t="s">
        <v>44</v>
      </c>
      <c r="P66" t="s">
        <v>45</v>
      </c>
      <c r="Q66">
        <v>0</v>
      </c>
      <c r="R66">
        <v>0</v>
      </c>
      <c r="S66">
        <v>0</v>
      </c>
      <c r="T66" t="s">
        <v>46</v>
      </c>
      <c r="U66" t="s">
        <v>37</v>
      </c>
      <c r="V66">
        <v>0</v>
      </c>
      <c r="W66" t="s">
        <v>38</v>
      </c>
      <c r="X66">
        <v>240</v>
      </c>
      <c r="Z66">
        <v>0</v>
      </c>
      <c r="AA66" t="s">
        <v>39</v>
      </c>
      <c r="AB66">
        <v>89</v>
      </c>
      <c r="AC66">
        <v>0</v>
      </c>
      <c r="AD66">
        <v>0</v>
      </c>
      <c r="AE66" t="s">
        <v>40</v>
      </c>
      <c r="AF66" s="1">
        <v>42512</v>
      </c>
    </row>
    <row r="67" spans="1:32" x14ac:dyDescent="0.25">
      <c r="A67" t="s">
        <v>32</v>
      </c>
      <c r="B67">
        <v>1</v>
      </c>
      <c r="C67">
        <v>206</v>
      </c>
      <c r="D67">
        <v>2016</v>
      </c>
      <c r="E67" t="s">
        <v>52</v>
      </c>
      <c r="F67">
        <v>13</v>
      </c>
      <c r="G67">
        <v>21</v>
      </c>
      <c r="H67">
        <v>2</v>
      </c>
      <c r="I67">
        <v>5</v>
      </c>
      <c r="J67">
        <v>2</v>
      </c>
      <c r="K67">
        <v>0</v>
      </c>
      <c r="L67">
        <v>0</v>
      </c>
      <c r="M67" t="s">
        <v>34</v>
      </c>
      <c r="N67" t="s">
        <v>43</v>
      </c>
      <c r="O67" t="s">
        <v>44</v>
      </c>
      <c r="P67" t="s">
        <v>45</v>
      </c>
      <c r="Q67">
        <v>0</v>
      </c>
      <c r="R67">
        <v>0</v>
      </c>
      <c r="S67">
        <v>0</v>
      </c>
      <c r="T67" t="s">
        <v>46</v>
      </c>
      <c r="U67" t="s">
        <v>46</v>
      </c>
      <c r="V67">
        <v>0</v>
      </c>
      <c r="W67" t="s">
        <v>38</v>
      </c>
      <c r="X67">
        <v>240</v>
      </c>
      <c r="Z67">
        <v>0</v>
      </c>
      <c r="AA67" t="s">
        <v>39</v>
      </c>
      <c r="AB67">
        <v>42.69</v>
      </c>
      <c r="AC67">
        <v>0</v>
      </c>
      <c r="AD67">
        <v>1</v>
      </c>
      <c r="AE67" t="s">
        <v>47</v>
      </c>
      <c r="AF67" s="1">
        <v>42247</v>
      </c>
    </row>
    <row r="68" spans="1:32" x14ac:dyDescent="0.25">
      <c r="A68" t="s">
        <v>41</v>
      </c>
      <c r="B68">
        <v>1</v>
      </c>
      <c r="C68">
        <v>157</v>
      </c>
      <c r="D68">
        <v>2017</v>
      </c>
      <c r="E68" t="s">
        <v>69</v>
      </c>
      <c r="F68">
        <v>18</v>
      </c>
      <c r="G68">
        <v>1</v>
      </c>
      <c r="H68">
        <v>1</v>
      </c>
      <c r="I68">
        <v>3</v>
      </c>
      <c r="J68">
        <v>2</v>
      </c>
      <c r="K68">
        <v>0</v>
      </c>
      <c r="L68">
        <v>0</v>
      </c>
      <c r="M68" t="s">
        <v>34</v>
      </c>
      <c r="N68" t="s">
        <v>43</v>
      </c>
      <c r="O68" t="s">
        <v>64</v>
      </c>
      <c r="P68" t="s">
        <v>45</v>
      </c>
      <c r="Q68">
        <v>0</v>
      </c>
      <c r="R68">
        <v>0</v>
      </c>
      <c r="S68">
        <v>0</v>
      </c>
      <c r="T68" t="s">
        <v>46</v>
      </c>
      <c r="U68" t="s">
        <v>46</v>
      </c>
      <c r="V68">
        <v>0</v>
      </c>
      <c r="W68" t="s">
        <v>68</v>
      </c>
      <c r="X68">
        <v>3</v>
      </c>
      <c r="Z68">
        <v>0</v>
      </c>
      <c r="AA68" t="s">
        <v>39</v>
      </c>
      <c r="AB68">
        <v>130</v>
      </c>
      <c r="AC68">
        <v>0</v>
      </c>
      <c r="AD68">
        <v>0</v>
      </c>
      <c r="AE68" t="s">
        <v>47</v>
      </c>
      <c r="AF68" s="1">
        <v>42699</v>
      </c>
    </row>
    <row r="69" spans="1:32" x14ac:dyDescent="0.25">
      <c r="A69" t="s">
        <v>41</v>
      </c>
      <c r="B69">
        <v>0</v>
      </c>
      <c r="C69">
        <v>30</v>
      </c>
      <c r="D69">
        <v>2016</v>
      </c>
      <c r="E69" t="s">
        <v>69</v>
      </c>
      <c r="F69">
        <v>21</v>
      </c>
      <c r="G69">
        <v>21</v>
      </c>
      <c r="H69">
        <v>2</v>
      </c>
      <c r="I69">
        <v>2</v>
      </c>
      <c r="J69">
        <v>2</v>
      </c>
      <c r="K69">
        <v>1</v>
      </c>
      <c r="L69">
        <v>0</v>
      </c>
      <c r="M69" t="s">
        <v>34</v>
      </c>
      <c r="N69" t="s">
        <v>48</v>
      </c>
      <c r="O69" t="s">
        <v>44</v>
      </c>
      <c r="P69" t="s">
        <v>45</v>
      </c>
      <c r="Q69">
        <v>0</v>
      </c>
      <c r="R69">
        <v>0</v>
      </c>
      <c r="S69">
        <v>0</v>
      </c>
      <c r="T69" t="s">
        <v>46</v>
      </c>
      <c r="U69" t="s">
        <v>86</v>
      </c>
      <c r="V69">
        <v>0</v>
      </c>
      <c r="W69" t="s">
        <v>38</v>
      </c>
      <c r="X69">
        <v>9</v>
      </c>
      <c r="Z69">
        <v>0</v>
      </c>
      <c r="AA69" t="s">
        <v>39</v>
      </c>
      <c r="AB69">
        <v>133.58000000000001</v>
      </c>
      <c r="AC69">
        <v>0</v>
      </c>
      <c r="AD69">
        <v>0</v>
      </c>
      <c r="AE69" t="s">
        <v>40</v>
      </c>
      <c r="AF69" s="1">
        <v>42515</v>
      </c>
    </row>
    <row r="70" spans="1:32" x14ac:dyDescent="0.25">
      <c r="A70" t="s">
        <v>41</v>
      </c>
      <c r="B70">
        <v>0</v>
      </c>
      <c r="C70">
        <v>1</v>
      </c>
      <c r="D70">
        <v>2017</v>
      </c>
      <c r="E70" t="s">
        <v>69</v>
      </c>
      <c r="F70">
        <v>19</v>
      </c>
      <c r="G70">
        <v>9</v>
      </c>
      <c r="H70">
        <v>0</v>
      </c>
      <c r="I70">
        <v>1</v>
      </c>
      <c r="J70">
        <v>1</v>
      </c>
      <c r="K70">
        <v>0</v>
      </c>
      <c r="L70">
        <v>0</v>
      </c>
      <c r="M70" t="s">
        <v>55</v>
      </c>
      <c r="N70" t="s">
        <v>63</v>
      </c>
      <c r="O70" t="s">
        <v>44</v>
      </c>
      <c r="P70" t="s">
        <v>45</v>
      </c>
      <c r="Q70">
        <v>0</v>
      </c>
      <c r="R70">
        <v>0</v>
      </c>
      <c r="S70">
        <v>0</v>
      </c>
      <c r="T70" t="s">
        <v>46</v>
      </c>
      <c r="U70" t="s">
        <v>46</v>
      </c>
      <c r="V70">
        <v>0</v>
      </c>
      <c r="W70" t="s">
        <v>38</v>
      </c>
      <c r="X70">
        <v>10</v>
      </c>
      <c r="Z70">
        <v>0</v>
      </c>
      <c r="AA70" t="s">
        <v>39</v>
      </c>
      <c r="AB70">
        <v>95</v>
      </c>
      <c r="AC70">
        <v>0</v>
      </c>
      <c r="AD70">
        <v>0</v>
      </c>
      <c r="AE70" t="s">
        <v>40</v>
      </c>
      <c r="AF70" s="1">
        <v>42865</v>
      </c>
    </row>
    <row r="71" spans="1:32" x14ac:dyDescent="0.25">
      <c r="A71" t="s">
        <v>32</v>
      </c>
      <c r="B71">
        <v>0</v>
      </c>
      <c r="C71">
        <v>32</v>
      </c>
      <c r="D71">
        <v>2016</v>
      </c>
      <c r="E71" t="s">
        <v>54</v>
      </c>
      <c r="F71">
        <v>17</v>
      </c>
      <c r="G71">
        <v>19</v>
      </c>
      <c r="H71">
        <v>2</v>
      </c>
      <c r="I71">
        <v>5</v>
      </c>
      <c r="J71">
        <v>2</v>
      </c>
      <c r="K71">
        <v>0</v>
      </c>
      <c r="L71">
        <v>0</v>
      </c>
      <c r="M71" t="s">
        <v>60</v>
      </c>
      <c r="N71" t="s">
        <v>35</v>
      </c>
      <c r="O71" t="s">
        <v>64</v>
      </c>
      <c r="P71" t="s">
        <v>36</v>
      </c>
      <c r="Q71">
        <v>0</v>
      </c>
      <c r="R71">
        <v>0</v>
      </c>
      <c r="S71">
        <v>0</v>
      </c>
      <c r="T71" t="s">
        <v>57</v>
      </c>
      <c r="U71" t="s">
        <v>57</v>
      </c>
      <c r="V71">
        <v>0</v>
      </c>
      <c r="W71" t="s">
        <v>38</v>
      </c>
      <c r="X71">
        <v>273</v>
      </c>
      <c r="Z71">
        <v>0</v>
      </c>
      <c r="AA71" t="s">
        <v>51</v>
      </c>
      <c r="AB71">
        <v>38.22</v>
      </c>
      <c r="AC71">
        <v>0</v>
      </c>
      <c r="AD71">
        <v>0</v>
      </c>
      <c r="AE71" t="s">
        <v>40</v>
      </c>
      <c r="AF71" s="1">
        <v>42486</v>
      </c>
    </row>
    <row r="72" spans="1:32" x14ac:dyDescent="0.25">
      <c r="A72" t="s">
        <v>32</v>
      </c>
      <c r="B72">
        <v>0</v>
      </c>
      <c r="C72">
        <v>53</v>
      </c>
      <c r="D72">
        <v>2016</v>
      </c>
      <c r="E72" t="s">
        <v>83</v>
      </c>
      <c r="F72">
        <v>24</v>
      </c>
      <c r="G72">
        <v>7</v>
      </c>
      <c r="H72">
        <v>0</v>
      </c>
      <c r="I72">
        <v>2</v>
      </c>
      <c r="J72">
        <v>2</v>
      </c>
      <c r="K72">
        <v>0</v>
      </c>
      <c r="L72">
        <v>0</v>
      </c>
      <c r="M72" t="s">
        <v>34</v>
      </c>
      <c r="N72" t="s">
        <v>88</v>
      </c>
      <c r="O72" t="s">
        <v>44</v>
      </c>
      <c r="P72" t="s">
        <v>45</v>
      </c>
      <c r="Q72">
        <v>0</v>
      </c>
      <c r="R72">
        <v>0</v>
      </c>
      <c r="S72">
        <v>0</v>
      </c>
      <c r="T72" t="s">
        <v>46</v>
      </c>
      <c r="U72" t="s">
        <v>46</v>
      </c>
      <c r="V72">
        <v>0</v>
      </c>
      <c r="W72" t="s">
        <v>38</v>
      </c>
      <c r="X72">
        <v>240</v>
      </c>
      <c r="Z72">
        <v>0</v>
      </c>
      <c r="AA72" t="s">
        <v>39</v>
      </c>
      <c r="AB72">
        <v>129</v>
      </c>
      <c r="AC72">
        <v>0</v>
      </c>
      <c r="AD72">
        <v>1</v>
      </c>
      <c r="AE72" t="s">
        <v>40</v>
      </c>
      <c r="AF72" s="1">
        <v>42530</v>
      </c>
    </row>
    <row r="73" spans="1:32" x14ac:dyDescent="0.25">
      <c r="A73" t="s">
        <v>32</v>
      </c>
      <c r="B73">
        <v>1</v>
      </c>
      <c r="C73">
        <v>246</v>
      </c>
      <c r="D73">
        <v>2015</v>
      </c>
      <c r="E73" t="s">
        <v>62</v>
      </c>
      <c r="F73">
        <v>36</v>
      </c>
      <c r="G73">
        <v>5</v>
      </c>
      <c r="H73">
        <v>2</v>
      </c>
      <c r="I73">
        <v>5</v>
      </c>
      <c r="J73">
        <v>2</v>
      </c>
      <c r="K73">
        <v>0</v>
      </c>
      <c r="L73">
        <v>0</v>
      </c>
      <c r="M73" t="s">
        <v>34</v>
      </c>
      <c r="O73" t="s">
        <v>49</v>
      </c>
      <c r="P73" t="s">
        <v>45</v>
      </c>
      <c r="Q73">
        <v>0</v>
      </c>
      <c r="R73">
        <v>1</v>
      </c>
      <c r="S73">
        <v>0</v>
      </c>
      <c r="T73" t="s">
        <v>46</v>
      </c>
      <c r="U73" t="s">
        <v>46</v>
      </c>
      <c r="V73">
        <v>0</v>
      </c>
      <c r="W73" t="s">
        <v>38</v>
      </c>
      <c r="X73">
        <v>96</v>
      </c>
      <c r="Z73">
        <v>0</v>
      </c>
      <c r="AA73" t="s">
        <v>51</v>
      </c>
      <c r="AB73">
        <v>58.95</v>
      </c>
      <c r="AC73">
        <v>0</v>
      </c>
      <c r="AD73">
        <v>0</v>
      </c>
      <c r="AE73" t="s">
        <v>47</v>
      </c>
      <c r="AF73" s="1">
        <v>42172</v>
      </c>
    </row>
    <row r="74" spans="1:32" x14ac:dyDescent="0.25">
      <c r="A74" t="s">
        <v>41</v>
      </c>
      <c r="B74">
        <v>1</v>
      </c>
      <c r="C74">
        <v>304</v>
      </c>
      <c r="D74">
        <v>2016</v>
      </c>
      <c r="E74" t="s">
        <v>61</v>
      </c>
      <c r="F74">
        <v>45</v>
      </c>
      <c r="G74">
        <v>3</v>
      </c>
      <c r="H74">
        <v>0</v>
      </c>
      <c r="I74">
        <v>3</v>
      </c>
      <c r="J74">
        <v>2</v>
      </c>
      <c r="K74">
        <v>0</v>
      </c>
      <c r="L74">
        <v>0</v>
      </c>
      <c r="M74" t="s">
        <v>34</v>
      </c>
      <c r="N74" t="s">
        <v>43</v>
      </c>
      <c r="O74" t="s">
        <v>49</v>
      </c>
      <c r="P74" t="s">
        <v>45</v>
      </c>
      <c r="Q74">
        <v>0</v>
      </c>
      <c r="R74">
        <v>0</v>
      </c>
      <c r="S74">
        <v>0</v>
      </c>
      <c r="T74" t="s">
        <v>46</v>
      </c>
      <c r="U74" t="s">
        <v>46</v>
      </c>
      <c r="V74">
        <v>0</v>
      </c>
      <c r="W74" t="s">
        <v>68</v>
      </c>
      <c r="X74">
        <v>21</v>
      </c>
      <c r="Z74">
        <v>0</v>
      </c>
      <c r="AA74" t="s">
        <v>39</v>
      </c>
      <c r="AB74">
        <v>89</v>
      </c>
      <c r="AC74">
        <v>0</v>
      </c>
      <c r="AD74">
        <v>0</v>
      </c>
      <c r="AE74" t="s">
        <v>47</v>
      </c>
      <c r="AF74" s="1">
        <v>42401</v>
      </c>
    </row>
    <row r="75" spans="1:32" x14ac:dyDescent="0.25">
      <c r="A75" t="s">
        <v>41</v>
      </c>
      <c r="B75">
        <v>0</v>
      </c>
      <c r="C75">
        <v>127</v>
      </c>
      <c r="D75">
        <v>2017</v>
      </c>
      <c r="E75" t="s">
        <v>42</v>
      </c>
      <c r="F75">
        <v>30</v>
      </c>
      <c r="G75">
        <v>25</v>
      </c>
      <c r="H75">
        <v>0</v>
      </c>
      <c r="I75">
        <v>3</v>
      </c>
      <c r="J75">
        <v>2</v>
      </c>
      <c r="K75">
        <v>0</v>
      </c>
      <c r="L75">
        <v>0</v>
      </c>
      <c r="M75" t="s">
        <v>34</v>
      </c>
      <c r="N75" t="s">
        <v>82</v>
      </c>
      <c r="O75" t="s">
        <v>49</v>
      </c>
      <c r="P75" t="s">
        <v>45</v>
      </c>
      <c r="Q75">
        <v>0</v>
      </c>
      <c r="R75">
        <v>0</v>
      </c>
      <c r="S75">
        <v>0</v>
      </c>
      <c r="T75" t="s">
        <v>57</v>
      </c>
      <c r="U75" t="s">
        <v>57</v>
      </c>
      <c r="V75">
        <v>0</v>
      </c>
      <c r="W75" t="s">
        <v>38</v>
      </c>
      <c r="X75">
        <v>16</v>
      </c>
      <c r="Z75">
        <v>0</v>
      </c>
      <c r="AA75" t="s">
        <v>39</v>
      </c>
      <c r="AB75">
        <v>98.1</v>
      </c>
      <c r="AC75">
        <v>0</v>
      </c>
      <c r="AD75">
        <v>0</v>
      </c>
      <c r="AE75" t="s">
        <v>40</v>
      </c>
      <c r="AF75" s="1">
        <v>42944</v>
      </c>
    </row>
    <row r="76" spans="1:32" x14ac:dyDescent="0.25">
      <c r="A76" t="s">
        <v>32</v>
      </c>
      <c r="B76">
        <v>0</v>
      </c>
      <c r="C76">
        <v>0</v>
      </c>
      <c r="D76">
        <v>2017</v>
      </c>
      <c r="E76" t="s">
        <v>74</v>
      </c>
      <c r="F76">
        <v>3</v>
      </c>
      <c r="G76">
        <v>17</v>
      </c>
      <c r="H76">
        <v>0</v>
      </c>
      <c r="I76">
        <v>1</v>
      </c>
      <c r="J76">
        <v>1</v>
      </c>
      <c r="K76">
        <v>0</v>
      </c>
      <c r="L76">
        <v>0</v>
      </c>
      <c r="M76" t="s">
        <v>34</v>
      </c>
      <c r="N76" t="s">
        <v>63</v>
      </c>
      <c r="O76" t="s">
        <v>36</v>
      </c>
      <c r="P76" t="s">
        <v>36</v>
      </c>
      <c r="Q76">
        <v>1</v>
      </c>
      <c r="R76">
        <v>0</v>
      </c>
      <c r="S76">
        <v>1</v>
      </c>
      <c r="T76" t="s">
        <v>46</v>
      </c>
      <c r="U76" t="s">
        <v>46</v>
      </c>
      <c r="V76">
        <v>0</v>
      </c>
      <c r="W76" t="s">
        <v>38</v>
      </c>
      <c r="Z76">
        <v>0</v>
      </c>
      <c r="AA76" t="s">
        <v>39</v>
      </c>
      <c r="AB76">
        <v>57</v>
      </c>
      <c r="AC76">
        <v>0</v>
      </c>
      <c r="AD76">
        <v>0</v>
      </c>
      <c r="AE76" t="s">
        <v>40</v>
      </c>
      <c r="AF76" s="1">
        <v>42753</v>
      </c>
    </row>
    <row r="77" spans="1:32" x14ac:dyDescent="0.25">
      <c r="A77" t="s">
        <v>41</v>
      </c>
      <c r="B77">
        <v>1</v>
      </c>
      <c r="C77">
        <v>113</v>
      </c>
      <c r="D77">
        <v>2016</v>
      </c>
      <c r="E77" t="s">
        <v>62</v>
      </c>
      <c r="F77">
        <v>37</v>
      </c>
      <c r="G77">
        <v>7</v>
      </c>
      <c r="H77">
        <v>1</v>
      </c>
      <c r="I77">
        <v>4</v>
      </c>
      <c r="J77">
        <v>2</v>
      </c>
      <c r="K77">
        <v>0</v>
      </c>
      <c r="L77">
        <v>0</v>
      </c>
      <c r="M77" t="s">
        <v>34</v>
      </c>
      <c r="N77" t="s">
        <v>43</v>
      </c>
      <c r="O77" t="s">
        <v>49</v>
      </c>
      <c r="P77" t="s">
        <v>45</v>
      </c>
      <c r="Q77">
        <v>0</v>
      </c>
      <c r="R77">
        <v>0</v>
      </c>
      <c r="S77">
        <v>0</v>
      </c>
      <c r="T77" t="s">
        <v>46</v>
      </c>
      <c r="U77" t="s">
        <v>46</v>
      </c>
      <c r="V77">
        <v>0</v>
      </c>
      <c r="W77" t="s">
        <v>38</v>
      </c>
      <c r="X77">
        <v>6</v>
      </c>
      <c r="Z77">
        <v>0</v>
      </c>
      <c r="AA77" t="s">
        <v>39</v>
      </c>
      <c r="AB77">
        <v>118.8</v>
      </c>
      <c r="AC77">
        <v>0</v>
      </c>
      <c r="AD77">
        <v>0</v>
      </c>
      <c r="AE77" t="s">
        <v>47</v>
      </c>
      <c r="AF77" s="1">
        <v>42513</v>
      </c>
    </row>
    <row r="78" spans="1:32" x14ac:dyDescent="0.25">
      <c r="A78" t="s">
        <v>41</v>
      </c>
      <c r="B78">
        <v>0</v>
      </c>
      <c r="C78">
        <v>272</v>
      </c>
      <c r="D78">
        <v>2017</v>
      </c>
      <c r="E78" t="s">
        <v>42</v>
      </c>
      <c r="F78">
        <v>28</v>
      </c>
      <c r="G78">
        <v>12</v>
      </c>
      <c r="H78">
        <v>0</v>
      </c>
      <c r="I78">
        <v>3</v>
      </c>
      <c r="J78">
        <v>2</v>
      </c>
      <c r="K78">
        <v>2</v>
      </c>
      <c r="L78">
        <v>0</v>
      </c>
      <c r="M78" t="s">
        <v>34</v>
      </c>
      <c r="N78" t="s">
        <v>82</v>
      </c>
      <c r="O78" t="s">
        <v>44</v>
      </c>
      <c r="P78" t="s">
        <v>45</v>
      </c>
      <c r="Q78">
        <v>0</v>
      </c>
      <c r="R78">
        <v>0</v>
      </c>
      <c r="S78">
        <v>0</v>
      </c>
      <c r="T78" t="s">
        <v>37</v>
      </c>
      <c r="U78" t="s">
        <v>37</v>
      </c>
      <c r="V78">
        <v>3</v>
      </c>
      <c r="W78" t="s">
        <v>38</v>
      </c>
      <c r="X78">
        <v>9</v>
      </c>
      <c r="Z78">
        <v>0</v>
      </c>
      <c r="AA78" t="s">
        <v>51</v>
      </c>
      <c r="AB78">
        <v>179.1</v>
      </c>
      <c r="AC78">
        <v>0</v>
      </c>
      <c r="AD78">
        <v>2</v>
      </c>
      <c r="AE78" t="s">
        <v>40</v>
      </c>
      <c r="AF78" s="1">
        <v>42931</v>
      </c>
    </row>
    <row r="79" spans="1:32" x14ac:dyDescent="0.25">
      <c r="A79" t="s">
        <v>41</v>
      </c>
      <c r="B79">
        <v>1</v>
      </c>
      <c r="C79">
        <v>11</v>
      </c>
      <c r="D79">
        <v>2016</v>
      </c>
      <c r="E79" t="s">
        <v>61</v>
      </c>
      <c r="F79">
        <v>45</v>
      </c>
      <c r="G79">
        <v>5</v>
      </c>
      <c r="H79">
        <v>0</v>
      </c>
      <c r="I79">
        <v>1</v>
      </c>
      <c r="J79">
        <v>2</v>
      </c>
      <c r="K79">
        <v>1</v>
      </c>
      <c r="L79">
        <v>0</v>
      </c>
      <c r="M79" t="s">
        <v>34</v>
      </c>
      <c r="N79" t="s">
        <v>35</v>
      </c>
      <c r="O79" t="s">
        <v>44</v>
      </c>
      <c r="P79" t="s">
        <v>45</v>
      </c>
      <c r="Q79">
        <v>0</v>
      </c>
      <c r="R79">
        <v>0</v>
      </c>
      <c r="S79">
        <v>0</v>
      </c>
      <c r="T79" t="s">
        <v>46</v>
      </c>
      <c r="U79" t="s">
        <v>46</v>
      </c>
      <c r="V79">
        <v>0</v>
      </c>
      <c r="W79" t="s">
        <v>38</v>
      </c>
      <c r="X79">
        <v>9</v>
      </c>
      <c r="Z79">
        <v>0</v>
      </c>
      <c r="AA79" t="s">
        <v>39</v>
      </c>
      <c r="AB79">
        <v>150</v>
      </c>
      <c r="AC79">
        <v>0</v>
      </c>
      <c r="AD79">
        <v>1</v>
      </c>
      <c r="AE79" t="s">
        <v>47</v>
      </c>
      <c r="AF79" s="1">
        <v>42671</v>
      </c>
    </row>
    <row r="80" spans="1:32" x14ac:dyDescent="0.25">
      <c r="A80" t="s">
        <v>41</v>
      </c>
      <c r="B80">
        <v>1</v>
      </c>
      <c r="C80">
        <v>98</v>
      </c>
      <c r="D80">
        <v>2015</v>
      </c>
      <c r="E80" t="s">
        <v>61</v>
      </c>
      <c r="F80">
        <v>48</v>
      </c>
      <c r="G80">
        <v>23</v>
      </c>
      <c r="H80">
        <v>1</v>
      </c>
      <c r="I80">
        <v>2</v>
      </c>
      <c r="J80">
        <v>1</v>
      </c>
      <c r="K80">
        <v>0</v>
      </c>
      <c r="L80">
        <v>0</v>
      </c>
      <c r="M80" t="s">
        <v>34</v>
      </c>
      <c r="N80" t="s">
        <v>43</v>
      </c>
      <c r="O80" t="s">
        <v>64</v>
      </c>
      <c r="P80" t="s">
        <v>45</v>
      </c>
      <c r="Q80">
        <v>0</v>
      </c>
      <c r="R80">
        <v>0</v>
      </c>
      <c r="S80">
        <v>0</v>
      </c>
      <c r="T80" t="s">
        <v>46</v>
      </c>
      <c r="U80" t="s">
        <v>46</v>
      </c>
      <c r="V80">
        <v>0</v>
      </c>
      <c r="W80" t="s">
        <v>38</v>
      </c>
      <c r="X80">
        <v>37</v>
      </c>
      <c r="Z80">
        <v>0</v>
      </c>
      <c r="AA80" t="s">
        <v>51</v>
      </c>
      <c r="AB80">
        <v>70</v>
      </c>
      <c r="AC80">
        <v>0</v>
      </c>
      <c r="AD80">
        <v>0</v>
      </c>
      <c r="AE80" t="s">
        <v>89</v>
      </c>
      <c r="AF80" s="1">
        <v>42331</v>
      </c>
    </row>
    <row r="81" spans="1:32" x14ac:dyDescent="0.25">
      <c r="A81" t="s">
        <v>41</v>
      </c>
      <c r="B81">
        <v>1</v>
      </c>
      <c r="C81">
        <v>292</v>
      </c>
      <c r="D81">
        <v>2015</v>
      </c>
      <c r="E81" t="s">
        <v>67</v>
      </c>
      <c r="F81">
        <v>32</v>
      </c>
      <c r="G81">
        <v>5</v>
      </c>
      <c r="H81">
        <v>0</v>
      </c>
      <c r="I81">
        <v>2</v>
      </c>
      <c r="J81">
        <v>2</v>
      </c>
      <c r="K81">
        <v>0</v>
      </c>
      <c r="L81">
        <v>0</v>
      </c>
      <c r="M81" t="s">
        <v>34</v>
      </c>
      <c r="N81" t="s">
        <v>43</v>
      </c>
      <c r="O81" t="s">
        <v>64</v>
      </c>
      <c r="P81" t="s">
        <v>45</v>
      </c>
      <c r="Q81">
        <v>0</v>
      </c>
      <c r="R81">
        <v>1</v>
      </c>
      <c r="S81">
        <v>0</v>
      </c>
      <c r="T81" t="s">
        <v>46</v>
      </c>
      <c r="U81" t="s">
        <v>46</v>
      </c>
      <c r="V81">
        <v>0</v>
      </c>
      <c r="W81" t="s">
        <v>68</v>
      </c>
      <c r="X81">
        <v>1</v>
      </c>
      <c r="Z81">
        <v>0</v>
      </c>
      <c r="AA81" t="s">
        <v>51</v>
      </c>
      <c r="AB81">
        <v>62</v>
      </c>
      <c r="AC81">
        <v>0</v>
      </c>
      <c r="AD81">
        <v>0</v>
      </c>
      <c r="AE81" t="s">
        <v>47</v>
      </c>
      <c r="AF81" s="1">
        <v>42187</v>
      </c>
    </row>
    <row r="82" spans="1:32" x14ac:dyDescent="0.25">
      <c r="A82" t="s">
        <v>41</v>
      </c>
      <c r="B82">
        <v>0</v>
      </c>
      <c r="C82">
        <v>16</v>
      </c>
      <c r="D82">
        <v>2016</v>
      </c>
      <c r="E82" t="s">
        <v>33</v>
      </c>
      <c r="F82">
        <v>50</v>
      </c>
      <c r="G82">
        <v>4</v>
      </c>
      <c r="H82">
        <v>2</v>
      </c>
      <c r="I82">
        <v>0</v>
      </c>
      <c r="J82">
        <v>2</v>
      </c>
      <c r="K82">
        <v>1</v>
      </c>
      <c r="L82">
        <v>0</v>
      </c>
      <c r="M82" t="s">
        <v>34</v>
      </c>
      <c r="N82" t="s">
        <v>63</v>
      </c>
      <c r="O82" t="s">
        <v>44</v>
      </c>
      <c r="P82" t="s">
        <v>45</v>
      </c>
      <c r="Q82">
        <v>0</v>
      </c>
      <c r="R82">
        <v>0</v>
      </c>
      <c r="S82">
        <v>0</v>
      </c>
      <c r="T82" t="s">
        <v>46</v>
      </c>
      <c r="U82" t="s">
        <v>46</v>
      </c>
      <c r="V82">
        <v>0</v>
      </c>
      <c r="W82" t="s">
        <v>38</v>
      </c>
      <c r="X82">
        <v>9</v>
      </c>
      <c r="Z82">
        <v>0</v>
      </c>
      <c r="AA82" t="s">
        <v>39</v>
      </c>
      <c r="AB82">
        <v>118.8</v>
      </c>
      <c r="AC82">
        <v>0</v>
      </c>
      <c r="AD82">
        <v>1</v>
      </c>
      <c r="AE82" t="s">
        <v>40</v>
      </c>
      <c r="AF82" s="1">
        <v>42710</v>
      </c>
    </row>
    <row r="83" spans="1:32" x14ac:dyDescent="0.25">
      <c r="A83" t="s">
        <v>41</v>
      </c>
      <c r="B83">
        <v>0</v>
      </c>
      <c r="C83">
        <v>70</v>
      </c>
      <c r="D83">
        <v>2016</v>
      </c>
      <c r="E83" t="s">
        <v>54</v>
      </c>
      <c r="F83">
        <v>17</v>
      </c>
      <c r="G83">
        <v>22</v>
      </c>
      <c r="H83">
        <v>2</v>
      </c>
      <c r="I83">
        <v>2</v>
      </c>
      <c r="J83">
        <v>2</v>
      </c>
      <c r="K83">
        <v>0</v>
      </c>
      <c r="L83">
        <v>0</v>
      </c>
      <c r="M83" t="s">
        <v>34</v>
      </c>
      <c r="N83" t="s">
        <v>78</v>
      </c>
      <c r="O83" t="s">
        <v>44</v>
      </c>
      <c r="P83" t="s">
        <v>45</v>
      </c>
      <c r="Q83">
        <v>0</v>
      </c>
      <c r="R83">
        <v>0</v>
      </c>
      <c r="S83">
        <v>0</v>
      </c>
      <c r="T83" t="s">
        <v>46</v>
      </c>
      <c r="U83" t="s">
        <v>46</v>
      </c>
      <c r="V83">
        <v>0</v>
      </c>
      <c r="W83" t="s">
        <v>38</v>
      </c>
      <c r="X83">
        <v>9</v>
      </c>
      <c r="Z83">
        <v>0</v>
      </c>
      <c r="AA83" t="s">
        <v>39</v>
      </c>
      <c r="AB83">
        <v>97.33</v>
      </c>
      <c r="AC83">
        <v>0</v>
      </c>
      <c r="AD83">
        <v>0</v>
      </c>
      <c r="AE83" t="s">
        <v>40</v>
      </c>
      <c r="AF83" s="1">
        <v>42486</v>
      </c>
    </row>
    <row r="84" spans="1:32" x14ac:dyDescent="0.25">
      <c r="A84" t="s">
        <v>32</v>
      </c>
      <c r="B84">
        <v>1</v>
      </c>
      <c r="C84">
        <v>49</v>
      </c>
      <c r="D84">
        <v>2015</v>
      </c>
      <c r="E84" t="s">
        <v>42</v>
      </c>
      <c r="F84">
        <v>30</v>
      </c>
      <c r="G84">
        <v>20</v>
      </c>
      <c r="H84">
        <v>3</v>
      </c>
      <c r="I84">
        <v>6</v>
      </c>
      <c r="J84">
        <v>2</v>
      </c>
      <c r="K84">
        <v>0</v>
      </c>
      <c r="L84">
        <v>0</v>
      </c>
      <c r="M84" t="s">
        <v>90</v>
      </c>
      <c r="N84" t="s">
        <v>43</v>
      </c>
      <c r="O84" t="s">
        <v>49</v>
      </c>
      <c r="P84" t="s">
        <v>45</v>
      </c>
      <c r="Q84">
        <v>0</v>
      </c>
      <c r="R84">
        <v>0</v>
      </c>
      <c r="S84">
        <v>0</v>
      </c>
      <c r="T84" t="s">
        <v>57</v>
      </c>
      <c r="U84" t="s">
        <v>57</v>
      </c>
      <c r="V84">
        <v>0</v>
      </c>
      <c r="W84" t="s">
        <v>38</v>
      </c>
      <c r="X84">
        <v>15</v>
      </c>
      <c r="Z84">
        <v>0</v>
      </c>
      <c r="AA84" t="s">
        <v>39</v>
      </c>
      <c r="AB84">
        <v>111.2</v>
      </c>
      <c r="AC84">
        <v>0</v>
      </c>
      <c r="AD84">
        <v>0</v>
      </c>
      <c r="AE84" t="s">
        <v>47</v>
      </c>
      <c r="AF84" s="1">
        <v>42156</v>
      </c>
    </row>
    <row r="85" spans="1:32" x14ac:dyDescent="0.25">
      <c r="A85" t="s">
        <v>41</v>
      </c>
      <c r="B85">
        <v>1</v>
      </c>
      <c r="C85">
        <v>379</v>
      </c>
      <c r="D85">
        <v>2015</v>
      </c>
      <c r="E85" t="s">
        <v>59</v>
      </c>
      <c r="F85">
        <v>44</v>
      </c>
      <c r="G85">
        <v>31</v>
      </c>
      <c r="H85">
        <v>1</v>
      </c>
      <c r="I85">
        <v>1</v>
      </c>
      <c r="J85">
        <v>2</v>
      </c>
      <c r="K85">
        <v>0</v>
      </c>
      <c r="L85">
        <v>0</v>
      </c>
      <c r="M85" t="s">
        <v>34</v>
      </c>
      <c r="N85" t="s">
        <v>43</v>
      </c>
      <c r="O85" t="s">
        <v>64</v>
      </c>
      <c r="P85" t="s">
        <v>45</v>
      </c>
      <c r="Q85">
        <v>0</v>
      </c>
      <c r="R85">
        <v>1</v>
      </c>
      <c r="S85">
        <v>0</v>
      </c>
      <c r="T85" t="s">
        <v>46</v>
      </c>
      <c r="U85" t="s">
        <v>46</v>
      </c>
      <c r="V85">
        <v>0</v>
      </c>
      <c r="W85" t="s">
        <v>68</v>
      </c>
      <c r="X85">
        <v>1</v>
      </c>
      <c r="Z85">
        <v>0</v>
      </c>
      <c r="AA85" t="s">
        <v>39</v>
      </c>
      <c r="AB85">
        <v>62</v>
      </c>
      <c r="AC85">
        <v>0</v>
      </c>
      <c r="AD85">
        <v>0</v>
      </c>
      <c r="AE85" t="s">
        <v>47</v>
      </c>
      <c r="AF85" s="1">
        <v>42208</v>
      </c>
    </row>
    <row r="86" spans="1:32" x14ac:dyDescent="0.25">
      <c r="A86" t="s">
        <v>32</v>
      </c>
      <c r="B86">
        <v>1</v>
      </c>
      <c r="C86">
        <v>289</v>
      </c>
      <c r="D86">
        <v>2017</v>
      </c>
      <c r="E86" t="s">
        <v>42</v>
      </c>
      <c r="F86">
        <v>30</v>
      </c>
      <c r="G86">
        <v>25</v>
      </c>
      <c r="H86">
        <v>0</v>
      </c>
      <c r="I86">
        <v>4</v>
      </c>
      <c r="J86">
        <v>2</v>
      </c>
      <c r="K86">
        <v>1</v>
      </c>
      <c r="L86">
        <v>0</v>
      </c>
      <c r="M86" t="s">
        <v>34</v>
      </c>
      <c r="N86" t="s">
        <v>91</v>
      </c>
      <c r="O86" t="s">
        <v>44</v>
      </c>
      <c r="P86" t="s">
        <v>45</v>
      </c>
      <c r="Q86">
        <v>0</v>
      </c>
      <c r="R86">
        <v>0</v>
      </c>
      <c r="S86">
        <v>0</v>
      </c>
      <c r="T86" t="s">
        <v>72</v>
      </c>
      <c r="U86" t="s">
        <v>72</v>
      </c>
      <c r="V86">
        <v>0</v>
      </c>
      <c r="W86" t="s">
        <v>38</v>
      </c>
      <c r="X86">
        <v>240</v>
      </c>
      <c r="Z86">
        <v>0</v>
      </c>
      <c r="AA86" t="s">
        <v>39</v>
      </c>
      <c r="AB86">
        <v>172.8</v>
      </c>
      <c r="AC86">
        <v>0</v>
      </c>
      <c r="AD86">
        <v>0</v>
      </c>
      <c r="AE86" t="s">
        <v>47</v>
      </c>
      <c r="AF86" s="1">
        <v>42844</v>
      </c>
    </row>
    <row r="87" spans="1:32" x14ac:dyDescent="0.25">
      <c r="A87" t="s">
        <v>32</v>
      </c>
      <c r="B87">
        <v>1</v>
      </c>
      <c r="C87">
        <v>108</v>
      </c>
      <c r="D87">
        <v>2016</v>
      </c>
      <c r="E87" t="s">
        <v>54</v>
      </c>
      <c r="F87">
        <v>18</v>
      </c>
      <c r="G87">
        <v>29</v>
      </c>
      <c r="H87">
        <v>2</v>
      </c>
      <c r="I87">
        <v>2</v>
      </c>
      <c r="J87">
        <v>2</v>
      </c>
      <c r="K87">
        <v>0</v>
      </c>
      <c r="L87">
        <v>0</v>
      </c>
      <c r="M87" t="s">
        <v>60</v>
      </c>
      <c r="N87" t="s">
        <v>43</v>
      </c>
      <c r="O87" t="s">
        <v>64</v>
      </c>
      <c r="P87" t="s">
        <v>45</v>
      </c>
      <c r="Q87">
        <v>0</v>
      </c>
      <c r="R87">
        <v>0</v>
      </c>
      <c r="S87">
        <v>0</v>
      </c>
      <c r="T87" t="s">
        <v>46</v>
      </c>
      <c r="U87" t="s">
        <v>46</v>
      </c>
      <c r="V87">
        <v>0</v>
      </c>
      <c r="W87" t="s">
        <v>68</v>
      </c>
      <c r="Z87">
        <v>0</v>
      </c>
      <c r="AA87" t="s">
        <v>39</v>
      </c>
      <c r="AB87">
        <v>84</v>
      </c>
      <c r="AC87">
        <v>0</v>
      </c>
      <c r="AD87">
        <v>0</v>
      </c>
      <c r="AE87" t="s">
        <v>47</v>
      </c>
      <c r="AF87" s="1">
        <v>42412</v>
      </c>
    </row>
    <row r="88" spans="1:32" x14ac:dyDescent="0.25">
      <c r="A88" t="s">
        <v>32</v>
      </c>
      <c r="B88">
        <v>0</v>
      </c>
      <c r="C88">
        <v>128</v>
      </c>
      <c r="D88">
        <v>2016</v>
      </c>
      <c r="E88" t="s">
        <v>33</v>
      </c>
      <c r="F88">
        <v>50</v>
      </c>
      <c r="G88">
        <v>8</v>
      </c>
      <c r="H88">
        <v>0</v>
      </c>
      <c r="I88">
        <v>3</v>
      </c>
      <c r="J88">
        <v>2</v>
      </c>
      <c r="K88">
        <v>0</v>
      </c>
      <c r="L88">
        <v>0</v>
      </c>
      <c r="M88" t="s">
        <v>34</v>
      </c>
      <c r="N88" t="s">
        <v>35</v>
      </c>
      <c r="O88" t="s">
        <v>44</v>
      </c>
      <c r="P88" t="s">
        <v>45</v>
      </c>
      <c r="Q88">
        <v>0</v>
      </c>
      <c r="R88">
        <v>0</v>
      </c>
      <c r="S88">
        <v>0</v>
      </c>
      <c r="T88" t="s">
        <v>57</v>
      </c>
      <c r="U88" t="s">
        <v>57</v>
      </c>
      <c r="V88">
        <v>0</v>
      </c>
      <c r="W88" t="s">
        <v>38</v>
      </c>
      <c r="X88">
        <v>241</v>
      </c>
      <c r="Z88">
        <v>0</v>
      </c>
      <c r="AA88" t="s">
        <v>39</v>
      </c>
      <c r="AB88">
        <v>36.04</v>
      </c>
      <c r="AC88">
        <v>0</v>
      </c>
      <c r="AD88">
        <v>2</v>
      </c>
      <c r="AE88" t="s">
        <v>40</v>
      </c>
      <c r="AF88" s="1">
        <v>42715</v>
      </c>
    </row>
    <row r="89" spans="1:32" x14ac:dyDescent="0.25">
      <c r="A89" t="s">
        <v>32</v>
      </c>
      <c r="B89">
        <v>0</v>
      </c>
      <c r="C89">
        <v>18</v>
      </c>
      <c r="D89">
        <v>2016</v>
      </c>
      <c r="E89" t="s">
        <v>54</v>
      </c>
      <c r="F89">
        <v>15</v>
      </c>
      <c r="G89">
        <v>9</v>
      </c>
      <c r="H89">
        <v>2</v>
      </c>
      <c r="I89">
        <v>3</v>
      </c>
      <c r="J89">
        <v>1</v>
      </c>
      <c r="K89">
        <v>0</v>
      </c>
      <c r="L89">
        <v>0</v>
      </c>
      <c r="M89" t="s">
        <v>34</v>
      </c>
      <c r="N89" t="s">
        <v>35</v>
      </c>
      <c r="O89" t="s">
        <v>49</v>
      </c>
      <c r="P89" t="s">
        <v>45</v>
      </c>
      <c r="Q89">
        <v>0</v>
      </c>
      <c r="R89">
        <v>0</v>
      </c>
      <c r="S89">
        <v>0</v>
      </c>
      <c r="T89" t="s">
        <v>46</v>
      </c>
      <c r="U89" t="s">
        <v>46</v>
      </c>
      <c r="V89">
        <v>0</v>
      </c>
      <c r="W89" t="s">
        <v>38</v>
      </c>
      <c r="X89">
        <v>40</v>
      </c>
      <c r="Z89">
        <v>0</v>
      </c>
      <c r="AA89" t="s">
        <v>73</v>
      </c>
      <c r="AB89">
        <v>33.299999999999997</v>
      </c>
      <c r="AC89">
        <v>0</v>
      </c>
      <c r="AD89">
        <v>0</v>
      </c>
      <c r="AE89" t="s">
        <v>40</v>
      </c>
      <c r="AF89" s="1">
        <v>42474</v>
      </c>
    </row>
    <row r="90" spans="1:32" x14ac:dyDescent="0.25">
      <c r="A90" t="s">
        <v>32</v>
      </c>
      <c r="B90">
        <v>1</v>
      </c>
      <c r="C90">
        <v>46</v>
      </c>
      <c r="D90">
        <v>2017</v>
      </c>
      <c r="E90" t="s">
        <v>67</v>
      </c>
      <c r="F90">
        <v>32</v>
      </c>
      <c r="G90">
        <v>12</v>
      </c>
      <c r="H90">
        <v>2</v>
      </c>
      <c r="I90">
        <v>5</v>
      </c>
      <c r="J90">
        <v>2</v>
      </c>
      <c r="K90">
        <v>0</v>
      </c>
      <c r="L90">
        <v>0</v>
      </c>
      <c r="M90" t="s">
        <v>34</v>
      </c>
      <c r="N90" t="s">
        <v>43</v>
      </c>
      <c r="O90" t="s">
        <v>49</v>
      </c>
      <c r="P90" t="s">
        <v>45</v>
      </c>
      <c r="Q90">
        <v>0</v>
      </c>
      <c r="R90">
        <v>0</v>
      </c>
      <c r="S90">
        <v>0</v>
      </c>
      <c r="T90" t="s">
        <v>46</v>
      </c>
      <c r="U90" t="s">
        <v>46</v>
      </c>
      <c r="V90">
        <v>0</v>
      </c>
      <c r="W90" t="s">
        <v>38</v>
      </c>
      <c r="X90">
        <v>261</v>
      </c>
      <c r="Z90">
        <v>0</v>
      </c>
      <c r="AA90" t="s">
        <v>39</v>
      </c>
      <c r="AB90">
        <v>212</v>
      </c>
      <c r="AC90">
        <v>0</v>
      </c>
      <c r="AD90">
        <v>0</v>
      </c>
      <c r="AE90" t="s">
        <v>47</v>
      </c>
      <c r="AF90" s="1">
        <v>42928</v>
      </c>
    </row>
    <row r="91" spans="1:32" x14ac:dyDescent="0.25">
      <c r="A91" t="s">
        <v>41</v>
      </c>
      <c r="B91">
        <v>0</v>
      </c>
      <c r="C91">
        <v>4</v>
      </c>
      <c r="D91">
        <v>2015</v>
      </c>
      <c r="E91" t="s">
        <v>67</v>
      </c>
      <c r="F91">
        <v>33</v>
      </c>
      <c r="G91">
        <v>11</v>
      </c>
      <c r="H91">
        <v>0</v>
      </c>
      <c r="I91">
        <v>5</v>
      </c>
      <c r="J91">
        <v>2</v>
      </c>
      <c r="K91">
        <v>0</v>
      </c>
      <c r="L91">
        <v>0</v>
      </c>
      <c r="M91" t="s">
        <v>34</v>
      </c>
      <c r="N91" t="s">
        <v>70</v>
      </c>
      <c r="O91" t="s">
        <v>44</v>
      </c>
      <c r="P91" t="s">
        <v>45</v>
      </c>
      <c r="Q91">
        <v>0</v>
      </c>
      <c r="R91">
        <v>0</v>
      </c>
      <c r="S91">
        <v>0</v>
      </c>
      <c r="T91" t="s">
        <v>46</v>
      </c>
      <c r="U91" t="s">
        <v>46</v>
      </c>
      <c r="V91">
        <v>0</v>
      </c>
      <c r="W91" t="s">
        <v>38</v>
      </c>
      <c r="X91">
        <v>9</v>
      </c>
      <c r="Z91">
        <v>0</v>
      </c>
      <c r="AA91" t="s">
        <v>73</v>
      </c>
      <c r="AB91">
        <v>90</v>
      </c>
      <c r="AC91">
        <v>0</v>
      </c>
      <c r="AD91">
        <v>2</v>
      </c>
      <c r="AE91" t="s">
        <v>40</v>
      </c>
      <c r="AF91" s="1">
        <v>42232</v>
      </c>
    </row>
    <row r="92" spans="1:32" x14ac:dyDescent="0.25">
      <c r="A92" t="s">
        <v>41</v>
      </c>
      <c r="B92">
        <v>1</v>
      </c>
      <c r="C92">
        <v>332</v>
      </c>
      <c r="D92">
        <v>2017</v>
      </c>
      <c r="E92" t="s">
        <v>54</v>
      </c>
      <c r="F92">
        <v>16</v>
      </c>
      <c r="G92">
        <v>22</v>
      </c>
      <c r="H92">
        <v>1</v>
      </c>
      <c r="I92">
        <v>1</v>
      </c>
      <c r="J92">
        <v>2</v>
      </c>
      <c r="K92">
        <v>1</v>
      </c>
      <c r="L92">
        <v>0</v>
      </c>
      <c r="M92" t="s">
        <v>34</v>
      </c>
      <c r="N92" t="s">
        <v>65</v>
      </c>
      <c r="O92" t="s">
        <v>44</v>
      </c>
      <c r="P92" t="s">
        <v>45</v>
      </c>
      <c r="Q92">
        <v>0</v>
      </c>
      <c r="R92">
        <v>0</v>
      </c>
      <c r="S92">
        <v>0</v>
      </c>
      <c r="T92" t="s">
        <v>46</v>
      </c>
      <c r="U92" t="s">
        <v>46</v>
      </c>
      <c r="V92">
        <v>0</v>
      </c>
      <c r="W92" t="s">
        <v>38</v>
      </c>
      <c r="X92">
        <v>9</v>
      </c>
      <c r="Z92">
        <v>0</v>
      </c>
      <c r="AA92" t="s">
        <v>39</v>
      </c>
      <c r="AB92">
        <v>125.1</v>
      </c>
      <c r="AC92">
        <v>0</v>
      </c>
      <c r="AD92">
        <v>0</v>
      </c>
      <c r="AE92" t="s">
        <v>47</v>
      </c>
      <c r="AF92" s="1">
        <v>42528</v>
      </c>
    </row>
    <row r="93" spans="1:32" x14ac:dyDescent="0.25">
      <c r="A93" t="s">
        <v>41</v>
      </c>
      <c r="B93">
        <v>0</v>
      </c>
      <c r="C93">
        <v>28</v>
      </c>
      <c r="D93">
        <v>2017</v>
      </c>
      <c r="E93" t="s">
        <v>66</v>
      </c>
      <c r="F93">
        <v>7</v>
      </c>
      <c r="G93">
        <v>13</v>
      </c>
      <c r="H93">
        <v>1</v>
      </c>
      <c r="I93">
        <v>2</v>
      </c>
      <c r="J93">
        <v>2</v>
      </c>
      <c r="K93">
        <v>0</v>
      </c>
      <c r="L93">
        <v>0</v>
      </c>
      <c r="M93" t="s">
        <v>34</v>
      </c>
      <c r="N93" t="s">
        <v>70</v>
      </c>
      <c r="O93" t="s">
        <v>49</v>
      </c>
      <c r="P93" t="s">
        <v>45</v>
      </c>
      <c r="Q93">
        <v>0</v>
      </c>
      <c r="R93">
        <v>0</v>
      </c>
      <c r="S93">
        <v>0</v>
      </c>
      <c r="T93" t="s">
        <v>46</v>
      </c>
      <c r="U93" t="s">
        <v>57</v>
      </c>
      <c r="V93">
        <v>0</v>
      </c>
      <c r="W93" t="s">
        <v>38</v>
      </c>
      <c r="X93">
        <v>28</v>
      </c>
      <c r="Z93">
        <v>0</v>
      </c>
      <c r="AA93" t="s">
        <v>39</v>
      </c>
      <c r="AB93">
        <v>75</v>
      </c>
      <c r="AC93">
        <v>0</v>
      </c>
      <c r="AD93">
        <v>0</v>
      </c>
      <c r="AE93" t="s">
        <v>40</v>
      </c>
      <c r="AF93" s="1">
        <v>42782</v>
      </c>
    </row>
    <row r="94" spans="1:32" x14ac:dyDescent="0.25">
      <c r="A94" t="s">
        <v>32</v>
      </c>
      <c r="B94">
        <v>0</v>
      </c>
      <c r="C94">
        <v>1</v>
      </c>
      <c r="D94">
        <v>2015</v>
      </c>
      <c r="E94" t="s">
        <v>59</v>
      </c>
      <c r="F94">
        <v>42</v>
      </c>
      <c r="G94">
        <v>13</v>
      </c>
      <c r="H94">
        <v>0</v>
      </c>
      <c r="I94">
        <v>1</v>
      </c>
      <c r="J94">
        <v>2</v>
      </c>
      <c r="K94">
        <v>0</v>
      </c>
      <c r="L94">
        <v>0</v>
      </c>
      <c r="M94" t="s">
        <v>34</v>
      </c>
      <c r="N94" t="s">
        <v>71</v>
      </c>
      <c r="O94" t="s">
        <v>44</v>
      </c>
      <c r="P94" t="s">
        <v>45</v>
      </c>
      <c r="Q94">
        <v>0</v>
      </c>
      <c r="R94">
        <v>0</v>
      </c>
      <c r="S94">
        <v>0</v>
      </c>
      <c r="T94" t="s">
        <v>57</v>
      </c>
      <c r="U94" t="s">
        <v>57</v>
      </c>
      <c r="V94">
        <v>1</v>
      </c>
      <c r="W94" t="s">
        <v>38</v>
      </c>
      <c r="X94">
        <v>240</v>
      </c>
      <c r="Z94">
        <v>0</v>
      </c>
      <c r="AA94" t="s">
        <v>39</v>
      </c>
      <c r="AB94">
        <v>66</v>
      </c>
      <c r="AC94">
        <v>0</v>
      </c>
      <c r="AD94">
        <v>1</v>
      </c>
      <c r="AE94" t="s">
        <v>40</v>
      </c>
      <c r="AF94" s="1">
        <v>42291</v>
      </c>
    </row>
    <row r="95" spans="1:32" x14ac:dyDescent="0.25">
      <c r="A95" t="s">
        <v>41</v>
      </c>
      <c r="B95">
        <v>0</v>
      </c>
      <c r="C95">
        <v>53</v>
      </c>
      <c r="D95">
        <v>2015</v>
      </c>
      <c r="E95" t="s">
        <v>59</v>
      </c>
      <c r="F95">
        <v>41</v>
      </c>
      <c r="G95">
        <v>9</v>
      </c>
      <c r="H95">
        <v>1</v>
      </c>
      <c r="I95">
        <v>2</v>
      </c>
      <c r="J95">
        <v>2</v>
      </c>
      <c r="K95">
        <v>0</v>
      </c>
      <c r="L95">
        <v>0</v>
      </c>
      <c r="M95" t="s">
        <v>34</v>
      </c>
      <c r="N95" t="s">
        <v>35</v>
      </c>
      <c r="O95" t="s">
        <v>44</v>
      </c>
      <c r="P95" t="s">
        <v>45</v>
      </c>
      <c r="Q95">
        <v>0</v>
      </c>
      <c r="R95">
        <v>0</v>
      </c>
      <c r="S95">
        <v>0</v>
      </c>
      <c r="T95" t="s">
        <v>46</v>
      </c>
      <c r="U95" t="s">
        <v>46</v>
      </c>
      <c r="V95">
        <v>0</v>
      </c>
      <c r="W95" t="s">
        <v>38</v>
      </c>
      <c r="X95">
        <v>9</v>
      </c>
      <c r="Z95">
        <v>0</v>
      </c>
      <c r="AA95" t="s">
        <v>73</v>
      </c>
      <c r="AB95">
        <v>94.5</v>
      </c>
      <c r="AC95">
        <v>0</v>
      </c>
      <c r="AD95">
        <v>0</v>
      </c>
      <c r="AE95" t="s">
        <v>40</v>
      </c>
      <c r="AF95" s="1">
        <v>42289</v>
      </c>
    </row>
    <row r="96" spans="1:32" x14ac:dyDescent="0.25">
      <c r="A96" t="s">
        <v>32</v>
      </c>
      <c r="B96">
        <v>1</v>
      </c>
      <c r="C96">
        <v>260</v>
      </c>
      <c r="D96">
        <v>2015</v>
      </c>
      <c r="E96" t="s">
        <v>33</v>
      </c>
      <c r="F96">
        <v>52</v>
      </c>
      <c r="G96">
        <v>20</v>
      </c>
      <c r="H96">
        <v>4</v>
      </c>
      <c r="I96">
        <v>9</v>
      </c>
      <c r="J96">
        <v>1</v>
      </c>
      <c r="K96">
        <v>0</v>
      </c>
      <c r="L96">
        <v>0</v>
      </c>
      <c r="M96" t="s">
        <v>34</v>
      </c>
      <c r="N96" t="s">
        <v>43</v>
      </c>
      <c r="O96" t="s">
        <v>44</v>
      </c>
      <c r="P96" t="s">
        <v>45</v>
      </c>
      <c r="Q96">
        <v>0</v>
      </c>
      <c r="R96">
        <v>0</v>
      </c>
      <c r="S96">
        <v>0</v>
      </c>
      <c r="T96" t="s">
        <v>57</v>
      </c>
      <c r="U96" t="s">
        <v>57</v>
      </c>
      <c r="V96">
        <v>0</v>
      </c>
      <c r="W96" t="s">
        <v>38</v>
      </c>
      <c r="X96">
        <v>240</v>
      </c>
      <c r="Z96">
        <v>0</v>
      </c>
      <c r="AA96" t="s">
        <v>39</v>
      </c>
      <c r="AB96">
        <v>47.54</v>
      </c>
      <c r="AC96">
        <v>0</v>
      </c>
      <c r="AD96">
        <v>1</v>
      </c>
      <c r="AE96" t="s">
        <v>47</v>
      </c>
      <c r="AF96" s="1">
        <v>42240</v>
      </c>
    </row>
    <row r="97" spans="1:32" x14ac:dyDescent="0.25">
      <c r="A97" t="s">
        <v>32</v>
      </c>
      <c r="B97">
        <v>0</v>
      </c>
      <c r="C97">
        <v>166</v>
      </c>
      <c r="D97">
        <v>2016</v>
      </c>
      <c r="E97" t="s">
        <v>67</v>
      </c>
      <c r="F97">
        <v>35</v>
      </c>
      <c r="G97">
        <v>27</v>
      </c>
      <c r="H97">
        <v>2</v>
      </c>
      <c r="I97">
        <v>2</v>
      </c>
      <c r="J97">
        <v>1</v>
      </c>
      <c r="K97">
        <v>0</v>
      </c>
      <c r="L97">
        <v>0</v>
      </c>
      <c r="M97" t="s">
        <v>34</v>
      </c>
      <c r="N97" t="s">
        <v>35</v>
      </c>
      <c r="O97" t="s">
        <v>49</v>
      </c>
      <c r="P97" t="s">
        <v>45</v>
      </c>
      <c r="Q97">
        <v>0</v>
      </c>
      <c r="R97">
        <v>0</v>
      </c>
      <c r="S97">
        <v>0</v>
      </c>
      <c r="T97" t="s">
        <v>46</v>
      </c>
      <c r="U97" t="s">
        <v>46</v>
      </c>
      <c r="V97">
        <v>0</v>
      </c>
      <c r="W97" t="s">
        <v>38</v>
      </c>
      <c r="X97">
        <v>171</v>
      </c>
      <c r="Z97">
        <v>0</v>
      </c>
      <c r="AA97" t="s">
        <v>51</v>
      </c>
      <c r="AB97">
        <v>100.8</v>
      </c>
      <c r="AC97">
        <v>0</v>
      </c>
      <c r="AD97">
        <v>0</v>
      </c>
      <c r="AE97" t="s">
        <v>40</v>
      </c>
      <c r="AF97" s="1">
        <v>42613</v>
      </c>
    </row>
    <row r="98" spans="1:32" x14ac:dyDescent="0.25">
      <c r="A98" t="s">
        <v>41</v>
      </c>
      <c r="B98">
        <v>0</v>
      </c>
      <c r="C98">
        <v>76</v>
      </c>
      <c r="D98">
        <v>2017</v>
      </c>
      <c r="E98" t="s">
        <v>42</v>
      </c>
      <c r="F98">
        <v>29</v>
      </c>
      <c r="G98">
        <v>16</v>
      </c>
      <c r="H98">
        <v>2</v>
      </c>
      <c r="I98">
        <v>3</v>
      </c>
      <c r="J98">
        <v>2</v>
      </c>
      <c r="K98">
        <v>0</v>
      </c>
      <c r="L98">
        <v>0</v>
      </c>
      <c r="M98" t="s">
        <v>34</v>
      </c>
      <c r="N98" t="s">
        <v>56</v>
      </c>
      <c r="O98" t="s">
        <v>36</v>
      </c>
      <c r="P98" t="s">
        <v>36</v>
      </c>
      <c r="Q98">
        <v>0</v>
      </c>
      <c r="R98">
        <v>0</v>
      </c>
      <c r="S98">
        <v>0</v>
      </c>
      <c r="T98" t="s">
        <v>46</v>
      </c>
      <c r="U98" t="s">
        <v>46</v>
      </c>
      <c r="V98">
        <v>0</v>
      </c>
      <c r="W98" t="s">
        <v>38</v>
      </c>
      <c r="X98">
        <v>14</v>
      </c>
      <c r="Z98">
        <v>0</v>
      </c>
      <c r="AA98" t="s">
        <v>39</v>
      </c>
      <c r="AB98">
        <v>108</v>
      </c>
      <c r="AC98">
        <v>0</v>
      </c>
      <c r="AD98">
        <v>0</v>
      </c>
      <c r="AE98" t="s">
        <v>40</v>
      </c>
      <c r="AF98" s="1">
        <v>42937</v>
      </c>
    </row>
    <row r="99" spans="1:32" x14ac:dyDescent="0.25">
      <c r="A99" t="s">
        <v>41</v>
      </c>
      <c r="B99">
        <v>0</v>
      </c>
      <c r="C99">
        <v>1</v>
      </c>
      <c r="D99">
        <v>2015</v>
      </c>
      <c r="E99" t="s">
        <v>67</v>
      </c>
      <c r="F99">
        <v>33</v>
      </c>
      <c r="G99">
        <v>9</v>
      </c>
      <c r="H99">
        <v>1</v>
      </c>
      <c r="I99">
        <v>0</v>
      </c>
      <c r="J99">
        <v>2</v>
      </c>
      <c r="K99">
        <v>2</v>
      </c>
      <c r="L99">
        <v>0</v>
      </c>
      <c r="M99" t="s">
        <v>34</v>
      </c>
      <c r="N99" t="s">
        <v>43</v>
      </c>
      <c r="O99" t="s">
        <v>44</v>
      </c>
      <c r="P99" t="s">
        <v>45</v>
      </c>
      <c r="Q99">
        <v>0</v>
      </c>
      <c r="R99">
        <v>0</v>
      </c>
      <c r="S99">
        <v>0</v>
      </c>
      <c r="T99" t="s">
        <v>37</v>
      </c>
      <c r="U99" t="s">
        <v>37</v>
      </c>
      <c r="V99">
        <v>0</v>
      </c>
      <c r="W99" t="s">
        <v>38</v>
      </c>
      <c r="X99">
        <v>9</v>
      </c>
      <c r="Z99">
        <v>0</v>
      </c>
      <c r="AA99" t="s">
        <v>39</v>
      </c>
      <c r="AB99">
        <v>153</v>
      </c>
      <c r="AC99">
        <v>0</v>
      </c>
      <c r="AD99">
        <v>2</v>
      </c>
      <c r="AE99" t="s">
        <v>40</v>
      </c>
      <c r="AF99" s="1">
        <v>42226</v>
      </c>
    </row>
    <row r="100" spans="1:32" x14ac:dyDescent="0.25">
      <c r="A100" t="s">
        <v>41</v>
      </c>
      <c r="B100">
        <v>0</v>
      </c>
      <c r="C100">
        <v>172</v>
      </c>
      <c r="D100">
        <v>2017</v>
      </c>
      <c r="E100" t="s">
        <v>54</v>
      </c>
      <c r="F100">
        <v>15</v>
      </c>
      <c r="G100">
        <v>13</v>
      </c>
      <c r="H100">
        <v>0</v>
      </c>
      <c r="I100">
        <v>3</v>
      </c>
      <c r="J100">
        <v>2</v>
      </c>
      <c r="K100">
        <v>1</v>
      </c>
      <c r="L100">
        <v>0</v>
      </c>
      <c r="M100" t="s">
        <v>34</v>
      </c>
      <c r="N100" t="s">
        <v>63</v>
      </c>
      <c r="O100" t="s">
        <v>44</v>
      </c>
      <c r="P100" t="s">
        <v>45</v>
      </c>
      <c r="Q100">
        <v>0</v>
      </c>
      <c r="R100">
        <v>0</v>
      </c>
      <c r="S100">
        <v>0</v>
      </c>
      <c r="T100" t="s">
        <v>46</v>
      </c>
      <c r="U100" t="s">
        <v>46</v>
      </c>
      <c r="V100">
        <v>0</v>
      </c>
      <c r="W100" t="s">
        <v>38</v>
      </c>
      <c r="X100">
        <v>9</v>
      </c>
      <c r="Z100">
        <v>0</v>
      </c>
      <c r="AA100" t="s">
        <v>39</v>
      </c>
      <c r="AB100">
        <v>153</v>
      </c>
      <c r="AC100">
        <v>0</v>
      </c>
      <c r="AD100">
        <v>2</v>
      </c>
      <c r="AE100" t="s">
        <v>40</v>
      </c>
      <c r="AF100" s="1">
        <v>42841</v>
      </c>
    </row>
    <row r="101" spans="1:32" x14ac:dyDescent="0.25">
      <c r="A101" t="s">
        <v>41</v>
      </c>
      <c r="B101">
        <v>0</v>
      </c>
      <c r="C101">
        <v>2</v>
      </c>
      <c r="D101">
        <v>2016</v>
      </c>
      <c r="E101" t="s">
        <v>52</v>
      </c>
      <c r="F101">
        <v>13</v>
      </c>
      <c r="G101">
        <v>20</v>
      </c>
      <c r="H101">
        <v>2</v>
      </c>
      <c r="I101">
        <v>4</v>
      </c>
      <c r="J101">
        <v>2</v>
      </c>
      <c r="K101">
        <v>0</v>
      </c>
      <c r="L101">
        <v>0</v>
      </c>
      <c r="M101" t="s">
        <v>34</v>
      </c>
      <c r="N101" t="s">
        <v>43</v>
      </c>
      <c r="O101" t="s">
        <v>49</v>
      </c>
      <c r="P101" t="s">
        <v>45</v>
      </c>
      <c r="Q101">
        <v>0</v>
      </c>
      <c r="R101">
        <v>0</v>
      </c>
      <c r="S101">
        <v>0</v>
      </c>
      <c r="T101" t="s">
        <v>46</v>
      </c>
      <c r="U101" t="s">
        <v>46</v>
      </c>
      <c r="V101">
        <v>0</v>
      </c>
      <c r="W101" t="s">
        <v>38</v>
      </c>
      <c r="X101">
        <v>220</v>
      </c>
      <c r="Z101">
        <v>0</v>
      </c>
      <c r="AA101" t="s">
        <v>51</v>
      </c>
      <c r="AB101">
        <v>85</v>
      </c>
      <c r="AC101">
        <v>0</v>
      </c>
      <c r="AD101">
        <v>0</v>
      </c>
      <c r="AE101" t="s">
        <v>40</v>
      </c>
      <c r="AF101" s="1">
        <v>42455</v>
      </c>
    </row>
    <row r="102" spans="1:32" x14ac:dyDescent="0.25">
      <c r="A102" t="s">
        <v>32</v>
      </c>
      <c r="B102">
        <v>0</v>
      </c>
      <c r="C102">
        <v>4</v>
      </c>
      <c r="D102">
        <v>2017</v>
      </c>
      <c r="E102" t="s">
        <v>83</v>
      </c>
      <c r="F102">
        <v>23</v>
      </c>
      <c r="G102">
        <v>6</v>
      </c>
      <c r="H102">
        <v>0</v>
      </c>
      <c r="I102">
        <v>3</v>
      </c>
      <c r="J102">
        <v>1</v>
      </c>
      <c r="K102">
        <v>0</v>
      </c>
      <c r="L102">
        <v>0</v>
      </c>
      <c r="M102" t="s">
        <v>34</v>
      </c>
      <c r="N102" t="s">
        <v>43</v>
      </c>
      <c r="O102" t="s">
        <v>49</v>
      </c>
      <c r="P102" t="s">
        <v>45</v>
      </c>
      <c r="Q102">
        <v>1</v>
      </c>
      <c r="R102">
        <v>0</v>
      </c>
      <c r="S102">
        <v>3</v>
      </c>
      <c r="T102" t="s">
        <v>46</v>
      </c>
      <c r="U102" t="s">
        <v>46</v>
      </c>
      <c r="V102">
        <v>0</v>
      </c>
      <c r="W102" t="s">
        <v>38</v>
      </c>
      <c r="X102">
        <v>146</v>
      </c>
      <c r="Z102">
        <v>0</v>
      </c>
      <c r="AA102" t="s">
        <v>39</v>
      </c>
      <c r="AB102">
        <v>108</v>
      </c>
      <c r="AC102">
        <v>0</v>
      </c>
      <c r="AD102">
        <v>2</v>
      </c>
      <c r="AE102" t="s">
        <v>40</v>
      </c>
      <c r="AF102" s="1">
        <v>42895</v>
      </c>
    </row>
    <row r="103" spans="1:32" x14ac:dyDescent="0.25">
      <c r="A103" t="s">
        <v>41</v>
      </c>
      <c r="B103">
        <v>0</v>
      </c>
      <c r="C103">
        <v>175</v>
      </c>
      <c r="D103">
        <v>2017</v>
      </c>
      <c r="E103" t="s">
        <v>67</v>
      </c>
      <c r="F103">
        <v>35</v>
      </c>
      <c r="G103">
        <v>31</v>
      </c>
      <c r="H103">
        <v>1</v>
      </c>
      <c r="I103">
        <v>3</v>
      </c>
      <c r="J103">
        <v>2</v>
      </c>
      <c r="K103">
        <v>0</v>
      </c>
      <c r="L103">
        <v>0</v>
      </c>
      <c r="M103" t="s">
        <v>34</v>
      </c>
      <c r="N103" t="s">
        <v>78</v>
      </c>
      <c r="O103" t="s">
        <v>49</v>
      </c>
      <c r="P103" t="s">
        <v>45</v>
      </c>
      <c r="Q103">
        <v>0</v>
      </c>
      <c r="R103">
        <v>0</v>
      </c>
      <c r="S103">
        <v>0</v>
      </c>
      <c r="T103" t="s">
        <v>46</v>
      </c>
      <c r="U103" t="s">
        <v>46</v>
      </c>
      <c r="V103">
        <v>1</v>
      </c>
      <c r="W103" t="s">
        <v>38</v>
      </c>
      <c r="X103">
        <v>42</v>
      </c>
      <c r="Z103">
        <v>0</v>
      </c>
      <c r="AA103" t="s">
        <v>39</v>
      </c>
      <c r="AB103">
        <v>86.85</v>
      </c>
      <c r="AC103">
        <v>0</v>
      </c>
      <c r="AD103">
        <v>2</v>
      </c>
      <c r="AE103" t="s">
        <v>40</v>
      </c>
      <c r="AF103" s="1">
        <v>42982</v>
      </c>
    </row>
    <row r="104" spans="1:32" x14ac:dyDescent="0.25">
      <c r="A104" t="s">
        <v>41</v>
      </c>
      <c r="B104">
        <v>1</v>
      </c>
      <c r="C104">
        <v>97</v>
      </c>
      <c r="D104">
        <v>2015</v>
      </c>
      <c r="E104" t="s">
        <v>59</v>
      </c>
      <c r="F104">
        <v>41</v>
      </c>
      <c r="G104">
        <v>5</v>
      </c>
      <c r="H104">
        <v>1</v>
      </c>
      <c r="I104">
        <v>3</v>
      </c>
      <c r="J104">
        <v>1</v>
      </c>
      <c r="K104">
        <v>0</v>
      </c>
      <c r="L104">
        <v>0</v>
      </c>
      <c r="M104" t="s">
        <v>34</v>
      </c>
      <c r="N104" t="s">
        <v>43</v>
      </c>
      <c r="O104" t="s">
        <v>64</v>
      </c>
      <c r="P104" t="s">
        <v>45</v>
      </c>
      <c r="Q104">
        <v>0</v>
      </c>
      <c r="R104">
        <v>0</v>
      </c>
      <c r="S104">
        <v>0</v>
      </c>
      <c r="T104" t="s">
        <v>46</v>
      </c>
      <c r="U104" t="s">
        <v>46</v>
      </c>
      <c r="V104">
        <v>0</v>
      </c>
      <c r="W104" t="s">
        <v>68</v>
      </c>
      <c r="X104">
        <v>29</v>
      </c>
      <c r="Z104">
        <v>0</v>
      </c>
      <c r="AA104" t="s">
        <v>39</v>
      </c>
      <c r="AB104">
        <v>140</v>
      </c>
      <c r="AC104">
        <v>0</v>
      </c>
      <c r="AD104">
        <v>0</v>
      </c>
      <c r="AE104" t="s">
        <v>47</v>
      </c>
      <c r="AF104" s="1">
        <v>42188</v>
      </c>
    </row>
    <row r="105" spans="1:32" x14ac:dyDescent="0.25">
      <c r="A105" t="s">
        <v>32</v>
      </c>
      <c r="B105">
        <v>0</v>
      </c>
      <c r="C105">
        <v>2</v>
      </c>
      <c r="D105">
        <v>2015</v>
      </c>
      <c r="E105" t="s">
        <v>59</v>
      </c>
      <c r="F105">
        <v>41</v>
      </c>
      <c r="G105">
        <v>9</v>
      </c>
      <c r="H105">
        <v>0</v>
      </c>
      <c r="I105">
        <v>1</v>
      </c>
      <c r="J105">
        <v>1</v>
      </c>
      <c r="K105">
        <v>0</v>
      </c>
      <c r="L105">
        <v>0</v>
      </c>
      <c r="M105" t="s">
        <v>34</v>
      </c>
      <c r="N105" t="s">
        <v>43</v>
      </c>
      <c r="O105" t="s">
        <v>64</v>
      </c>
      <c r="P105" t="s">
        <v>76</v>
      </c>
      <c r="Q105">
        <v>0</v>
      </c>
      <c r="R105">
        <v>0</v>
      </c>
      <c r="S105">
        <v>1</v>
      </c>
      <c r="T105" t="s">
        <v>46</v>
      </c>
      <c r="U105" t="s">
        <v>57</v>
      </c>
      <c r="V105">
        <v>0</v>
      </c>
      <c r="W105" t="s">
        <v>38</v>
      </c>
      <c r="Y105">
        <v>86</v>
      </c>
      <c r="Z105">
        <v>0</v>
      </c>
      <c r="AA105" t="s">
        <v>39</v>
      </c>
      <c r="AB105">
        <v>48</v>
      </c>
      <c r="AC105">
        <v>0</v>
      </c>
      <c r="AD105">
        <v>0</v>
      </c>
      <c r="AE105" t="s">
        <v>40</v>
      </c>
      <c r="AF105" s="1">
        <v>42287</v>
      </c>
    </row>
    <row r="106" spans="1:32" x14ac:dyDescent="0.25">
      <c r="A106" t="s">
        <v>32</v>
      </c>
      <c r="B106">
        <v>0</v>
      </c>
      <c r="C106">
        <v>8</v>
      </c>
      <c r="D106">
        <v>2015</v>
      </c>
      <c r="E106" t="s">
        <v>42</v>
      </c>
      <c r="F106">
        <v>28</v>
      </c>
      <c r="G106">
        <v>7</v>
      </c>
      <c r="H106">
        <v>0</v>
      </c>
      <c r="I106">
        <v>4</v>
      </c>
      <c r="J106">
        <v>3</v>
      </c>
      <c r="K106">
        <v>2</v>
      </c>
      <c r="L106">
        <v>0</v>
      </c>
      <c r="M106" t="s">
        <v>34</v>
      </c>
      <c r="N106" t="s">
        <v>63</v>
      </c>
      <c r="O106" t="s">
        <v>44</v>
      </c>
      <c r="P106" t="s">
        <v>45</v>
      </c>
      <c r="Q106">
        <v>0</v>
      </c>
      <c r="R106">
        <v>0</v>
      </c>
      <c r="S106">
        <v>0</v>
      </c>
      <c r="T106" t="s">
        <v>92</v>
      </c>
      <c r="U106" t="s">
        <v>92</v>
      </c>
      <c r="V106">
        <v>2</v>
      </c>
      <c r="W106" t="s">
        <v>38</v>
      </c>
      <c r="X106">
        <v>240</v>
      </c>
      <c r="Z106">
        <v>0</v>
      </c>
      <c r="AA106" t="s">
        <v>39</v>
      </c>
      <c r="AB106">
        <v>193</v>
      </c>
      <c r="AC106">
        <v>0</v>
      </c>
      <c r="AD106">
        <v>1</v>
      </c>
      <c r="AE106" t="s">
        <v>40</v>
      </c>
      <c r="AF106" s="1">
        <v>42196</v>
      </c>
    </row>
    <row r="107" spans="1:32" x14ac:dyDescent="0.25">
      <c r="A107" t="s">
        <v>32</v>
      </c>
      <c r="B107">
        <v>1</v>
      </c>
      <c r="C107">
        <v>468</v>
      </c>
      <c r="D107">
        <v>2016</v>
      </c>
      <c r="E107" t="s">
        <v>69</v>
      </c>
      <c r="F107">
        <v>20</v>
      </c>
      <c r="G107">
        <v>12</v>
      </c>
      <c r="H107">
        <v>0</v>
      </c>
      <c r="I107">
        <v>2</v>
      </c>
      <c r="J107">
        <v>2</v>
      </c>
      <c r="K107">
        <v>0</v>
      </c>
      <c r="L107">
        <v>0</v>
      </c>
      <c r="M107" t="s">
        <v>60</v>
      </c>
      <c r="N107" t="s">
        <v>43</v>
      </c>
      <c r="O107" t="s">
        <v>64</v>
      </c>
      <c r="P107" t="s">
        <v>45</v>
      </c>
      <c r="Q107">
        <v>0</v>
      </c>
      <c r="R107">
        <v>1</v>
      </c>
      <c r="S107">
        <v>0</v>
      </c>
      <c r="T107" t="s">
        <v>46</v>
      </c>
      <c r="U107" t="s">
        <v>46</v>
      </c>
      <c r="V107">
        <v>0</v>
      </c>
      <c r="W107" t="s">
        <v>38</v>
      </c>
      <c r="X107">
        <v>249</v>
      </c>
      <c r="Z107">
        <v>0</v>
      </c>
      <c r="AA107" t="s">
        <v>51</v>
      </c>
      <c r="AB107">
        <v>67</v>
      </c>
      <c r="AC107">
        <v>0</v>
      </c>
      <c r="AD107">
        <v>0</v>
      </c>
      <c r="AE107" t="s">
        <v>47</v>
      </c>
      <c r="AF107" s="1">
        <v>42215</v>
      </c>
    </row>
    <row r="108" spans="1:32" x14ac:dyDescent="0.25">
      <c r="A108" t="s">
        <v>32</v>
      </c>
      <c r="B108">
        <v>0</v>
      </c>
      <c r="C108">
        <v>36</v>
      </c>
      <c r="D108">
        <v>2016</v>
      </c>
      <c r="E108" t="s">
        <v>83</v>
      </c>
      <c r="F108">
        <v>24</v>
      </c>
      <c r="G108">
        <v>9</v>
      </c>
      <c r="H108">
        <v>0</v>
      </c>
      <c r="I108">
        <v>3</v>
      </c>
      <c r="J108">
        <v>2</v>
      </c>
      <c r="K108">
        <v>1</v>
      </c>
      <c r="L108">
        <v>0</v>
      </c>
      <c r="M108" t="s">
        <v>34</v>
      </c>
      <c r="N108" t="s">
        <v>63</v>
      </c>
      <c r="O108" t="s">
        <v>44</v>
      </c>
      <c r="P108" t="s">
        <v>45</v>
      </c>
      <c r="Q108">
        <v>0</v>
      </c>
      <c r="R108">
        <v>0</v>
      </c>
      <c r="S108">
        <v>0</v>
      </c>
      <c r="T108" t="s">
        <v>37</v>
      </c>
      <c r="U108" t="s">
        <v>84</v>
      </c>
      <c r="V108">
        <v>0</v>
      </c>
      <c r="W108" t="s">
        <v>38</v>
      </c>
      <c r="X108">
        <v>241</v>
      </c>
      <c r="Z108">
        <v>0</v>
      </c>
      <c r="AA108" t="s">
        <v>39</v>
      </c>
      <c r="AB108">
        <v>153.03</v>
      </c>
      <c r="AC108">
        <v>1</v>
      </c>
      <c r="AD108">
        <v>1</v>
      </c>
      <c r="AE108" t="s">
        <v>40</v>
      </c>
      <c r="AF108" s="1">
        <v>42533</v>
      </c>
    </row>
    <row r="109" spans="1:32" x14ac:dyDescent="0.25">
      <c r="A109" t="s">
        <v>41</v>
      </c>
      <c r="B109">
        <v>1</v>
      </c>
      <c r="C109">
        <v>262</v>
      </c>
      <c r="D109">
        <v>2015</v>
      </c>
      <c r="E109" t="s">
        <v>61</v>
      </c>
      <c r="F109">
        <v>46</v>
      </c>
      <c r="G109">
        <v>9</v>
      </c>
      <c r="H109">
        <v>1</v>
      </c>
      <c r="I109">
        <v>2</v>
      </c>
      <c r="J109">
        <v>2</v>
      </c>
      <c r="K109">
        <v>0</v>
      </c>
      <c r="L109">
        <v>0</v>
      </c>
      <c r="M109" t="s">
        <v>34</v>
      </c>
      <c r="N109" t="s">
        <v>43</v>
      </c>
      <c r="O109" t="s">
        <v>64</v>
      </c>
      <c r="P109" t="s">
        <v>45</v>
      </c>
      <c r="Q109">
        <v>0</v>
      </c>
      <c r="R109">
        <v>1</v>
      </c>
      <c r="S109">
        <v>0</v>
      </c>
      <c r="T109" t="s">
        <v>46</v>
      </c>
      <c r="U109" t="s">
        <v>46</v>
      </c>
      <c r="V109">
        <v>0</v>
      </c>
      <c r="W109" t="s">
        <v>68</v>
      </c>
      <c r="X109">
        <v>1</v>
      </c>
      <c r="Z109">
        <v>0</v>
      </c>
      <c r="AA109" t="s">
        <v>39</v>
      </c>
      <c r="AB109">
        <v>62.8</v>
      </c>
      <c r="AC109">
        <v>0</v>
      </c>
      <c r="AD109">
        <v>0</v>
      </c>
      <c r="AE109" t="s">
        <v>47</v>
      </c>
      <c r="AF109" s="1">
        <v>42251</v>
      </c>
    </row>
    <row r="110" spans="1:32" x14ac:dyDescent="0.25">
      <c r="A110" t="s">
        <v>41</v>
      </c>
      <c r="B110">
        <v>1</v>
      </c>
      <c r="C110">
        <v>91</v>
      </c>
      <c r="D110">
        <v>2016</v>
      </c>
      <c r="E110" t="s">
        <v>52</v>
      </c>
      <c r="F110">
        <v>12</v>
      </c>
      <c r="G110">
        <v>18</v>
      </c>
      <c r="H110">
        <v>0</v>
      </c>
      <c r="I110">
        <v>2</v>
      </c>
      <c r="J110">
        <v>1</v>
      </c>
      <c r="K110">
        <v>0</v>
      </c>
      <c r="L110">
        <v>0</v>
      </c>
      <c r="M110" t="s">
        <v>34</v>
      </c>
      <c r="N110" t="s">
        <v>43</v>
      </c>
      <c r="O110" t="s">
        <v>64</v>
      </c>
      <c r="P110" t="s">
        <v>45</v>
      </c>
      <c r="Q110">
        <v>0</v>
      </c>
      <c r="R110">
        <v>0</v>
      </c>
      <c r="S110">
        <v>0</v>
      </c>
      <c r="T110" t="s">
        <v>46</v>
      </c>
      <c r="U110" t="s">
        <v>46</v>
      </c>
      <c r="V110">
        <v>0</v>
      </c>
      <c r="W110" t="s">
        <v>68</v>
      </c>
      <c r="X110">
        <v>29</v>
      </c>
      <c r="Z110">
        <v>20</v>
      </c>
      <c r="AA110" t="s">
        <v>39</v>
      </c>
      <c r="AB110">
        <v>75</v>
      </c>
      <c r="AC110">
        <v>0</v>
      </c>
      <c r="AD110">
        <v>0</v>
      </c>
      <c r="AE110" t="s">
        <v>47</v>
      </c>
      <c r="AF110" s="1">
        <v>42403</v>
      </c>
    </row>
    <row r="111" spans="1:32" x14ac:dyDescent="0.25">
      <c r="A111" t="s">
        <v>41</v>
      </c>
      <c r="B111">
        <v>0</v>
      </c>
      <c r="C111">
        <v>50</v>
      </c>
      <c r="D111">
        <v>2016</v>
      </c>
      <c r="E111" t="s">
        <v>54</v>
      </c>
      <c r="F111">
        <v>16</v>
      </c>
      <c r="G111">
        <v>12</v>
      </c>
      <c r="H111">
        <v>0</v>
      </c>
      <c r="I111">
        <v>3</v>
      </c>
      <c r="J111">
        <v>2</v>
      </c>
      <c r="K111">
        <v>1</v>
      </c>
      <c r="L111">
        <v>0</v>
      </c>
      <c r="M111" t="s">
        <v>60</v>
      </c>
      <c r="N111" t="s">
        <v>70</v>
      </c>
      <c r="O111" t="s">
        <v>44</v>
      </c>
      <c r="P111" t="s">
        <v>45</v>
      </c>
      <c r="Q111">
        <v>0</v>
      </c>
      <c r="R111">
        <v>0</v>
      </c>
      <c r="S111">
        <v>0</v>
      </c>
      <c r="T111" t="s">
        <v>46</v>
      </c>
      <c r="U111" t="s">
        <v>57</v>
      </c>
      <c r="V111">
        <v>0</v>
      </c>
      <c r="W111" t="s">
        <v>38</v>
      </c>
      <c r="X111">
        <v>9</v>
      </c>
      <c r="Z111">
        <v>0</v>
      </c>
      <c r="AA111" t="s">
        <v>39</v>
      </c>
      <c r="AB111">
        <v>164.25</v>
      </c>
      <c r="AC111">
        <v>0</v>
      </c>
      <c r="AD111">
        <v>2</v>
      </c>
      <c r="AE111" t="s">
        <v>40</v>
      </c>
      <c r="AF111" s="1">
        <v>42475</v>
      </c>
    </row>
    <row r="112" spans="1:32" x14ac:dyDescent="0.25">
      <c r="A112" t="s">
        <v>41</v>
      </c>
      <c r="B112">
        <v>0</v>
      </c>
      <c r="C112">
        <v>32</v>
      </c>
      <c r="D112">
        <v>2016</v>
      </c>
      <c r="E112" t="s">
        <v>59</v>
      </c>
      <c r="F112">
        <v>43</v>
      </c>
      <c r="G112">
        <v>22</v>
      </c>
      <c r="H112">
        <v>2</v>
      </c>
      <c r="I112">
        <v>5</v>
      </c>
      <c r="J112">
        <v>2</v>
      </c>
      <c r="K112">
        <v>0</v>
      </c>
      <c r="L112">
        <v>0</v>
      </c>
      <c r="M112" t="s">
        <v>34</v>
      </c>
      <c r="N112" t="s">
        <v>70</v>
      </c>
      <c r="O112" t="s">
        <v>36</v>
      </c>
      <c r="P112" t="s">
        <v>36</v>
      </c>
      <c r="Q112">
        <v>0</v>
      </c>
      <c r="R112">
        <v>0</v>
      </c>
      <c r="S112">
        <v>0</v>
      </c>
      <c r="T112" t="s">
        <v>46</v>
      </c>
      <c r="U112" t="s">
        <v>46</v>
      </c>
      <c r="V112">
        <v>0</v>
      </c>
      <c r="W112" t="s">
        <v>38</v>
      </c>
      <c r="Z112">
        <v>0</v>
      </c>
      <c r="AA112" t="s">
        <v>39</v>
      </c>
      <c r="AB112">
        <v>118</v>
      </c>
      <c r="AC112">
        <v>0</v>
      </c>
      <c r="AD112">
        <v>2</v>
      </c>
      <c r="AE112" t="s">
        <v>40</v>
      </c>
      <c r="AF112" s="1">
        <v>42672</v>
      </c>
    </row>
    <row r="113" spans="1:32" x14ac:dyDescent="0.25">
      <c r="A113" t="s">
        <v>41</v>
      </c>
      <c r="B113">
        <v>1</v>
      </c>
      <c r="C113">
        <v>19</v>
      </c>
      <c r="D113">
        <v>2015</v>
      </c>
      <c r="E113" t="s">
        <v>59</v>
      </c>
      <c r="F113">
        <v>41</v>
      </c>
      <c r="G113">
        <v>6</v>
      </c>
      <c r="H113">
        <v>0</v>
      </c>
      <c r="I113">
        <v>3</v>
      </c>
      <c r="J113">
        <v>1</v>
      </c>
      <c r="K113">
        <v>0</v>
      </c>
      <c r="L113">
        <v>0</v>
      </c>
      <c r="M113" t="s">
        <v>34</v>
      </c>
      <c r="N113" t="s">
        <v>43</v>
      </c>
      <c r="O113" t="s">
        <v>49</v>
      </c>
      <c r="P113" t="s">
        <v>45</v>
      </c>
      <c r="Q113">
        <v>1</v>
      </c>
      <c r="R113">
        <v>1</v>
      </c>
      <c r="S113">
        <v>0</v>
      </c>
      <c r="T113" t="s">
        <v>46</v>
      </c>
      <c r="U113" t="s">
        <v>46</v>
      </c>
      <c r="V113">
        <v>0</v>
      </c>
      <c r="W113" t="s">
        <v>68</v>
      </c>
      <c r="X113">
        <v>82</v>
      </c>
      <c r="Z113">
        <v>0</v>
      </c>
      <c r="AA113" t="s">
        <v>39</v>
      </c>
      <c r="AB113">
        <v>80</v>
      </c>
      <c r="AC113">
        <v>0</v>
      </c>
      <c r="AD113">
        <v>0</v>
      </c>
      <c r="AE113" t="s">
        <v>47</v>
      </c>
      <c r="AF113" s="1">
        <v>42264</v>
      </c>
    </row>
    <row r="114" spans="1:32" x14ac:dyDescent="0.25">
      <c r="A114" t="s">
        <v>41</v>
      </c>
      <c r="B114">
        <v>0</v>
      </c>
      <c r="C114">
        <v>61</v>
      </c>
      <c r="D114">
        <v>2016</v>
      </c>
      <c r="E114" t="s">
        <v>54</v>
      </c>
      <c r="F114">
        <v>18</v>
      </c>
      <c r="G114">
        <v>30</v>
      </c>
      <c r="H114">
        <v>1</v>
      </c>
      <c r="I114">
        <v>1</v>
      </c>
      <c r="J114">
        <v>2</v>
      </c>
      <c r="K114">
        <v>0</v>
      </c>
      <c r="L114">
        <v>0</v>
      </c>
      <c r="M114" t="s">
        <v>34</v>
      </c>
      <c r="N114" t="s">
        <v>63</v>
      </c>
      <c r="O114" t="s">
        <v>49</v>
      </c>
      <c r="P114" t="s">
        <v>45</v>
      </c>
      <c r="Q114">
        <v>0</v>
      </c>
      <c r="R114">
        <v>0</v>
      </c>
      <c r="S114">
        <v>0</v>
      </c>
      <c r="T114" t="s">
        <v>46</v>
      </c>
      <c r="U114" t="s">
        <v>86</v>
      </c>
      <c r="V114">
        <v>1</v>
      </c>
      <c r="W114" t="s">
        <v>38</v>
      </c>
      <c r="X114">
        <v>85</v>
      </c>
      <c r="Z114">
        <v>0</v>
      </c>
      <c r="AA114" t="s">
        <v>39</v>
      </c>
      <c r="AB114">
        <v>89.75</v>
      </c>
      <c r="AC114">
        <v>0</v>
      </c>
      <c r="AD114">
        <v>1</v>
      </c>
      <c r="AE114" t="s">
        <v>40</v>
      </c>
      <c r="AF114" s="1">
        <v>42492</v>
      </c>
    </row>
    <row r="115" spans="1:32" x14ac:dyDescent="0.25">
      <c r="A115" t="s">
        <v>41</v>
      </c>
      <c r="B115">
        <v>0</v>
      </c>
      <c r="C115">
        <v>297</v>
      </c>
      <c r="D115">
        <v>2017</v>
      </c>
      <c r="E115" t="s">
        <v>42</v>
      </c>
      <c r="F115">
        <v>29</v>
      </c>
      <c r="G115">
        <v>21</v>
      </c>
      <c r="H115">
        <v>2</v>
      </c>
      <c r="I115">
        <v>2</v>
      </c>
      <c r="J115">
        <v>2</v>
      </c>
      <c r="K115">
        <v>1</v>
      </c>
      <c r="L115">
        <v>0</v>
      </c>
      <c r="M115" t="s">
        <v>34</v>
      </c>
      <c r="N115" t="s">
        <v>56</v>
      </c>
      <c r="O115" t="s">
        <v>36</v>
      </c>
      <c r="P115" t="s">
        <v>36</v>
      </c>
      <c r="Q115">
        <v>0</v>
      </c>
      <c r="R115">
        <v>0</v>
      </c>
      <c r="S115">
        <v>0</v>
      </c>
      <c r="T115" t="s">
        <v>46</v>
      </c>
      <c r="U115" t="s">
        <v>46</v>
      </c>
      <c r="V115">
        <v>1</v>
      </c>
      <c r="W115" t="s">
        <v>38</v>
      </c>
      <c r="X115">
        <v>14</v>
      </c>
      <c r="Z115">
        <v>0</v>
      </c>
      <c r="AA115" t="s">
        <v>39</v>
      </c>
      <c r="AB115">
        <v>102.1</v>
      </c>
      <c r="AC115">
        <v>0</v>
      </c>
      <c r="AD115">
        <v>0</v>
      </c>
      <c r="AE115" t="s">
        <v>40</v>
      </c>
      <c r="AF115" s="1">
        <v>42941</v>
      </c>
    </row>
    <row r="116" spans="1:32" x14ac:dyDescent="0.25">
      <c r="A116" t="s">
        <v>41</v>
      </c>
      <c r="B116">
        <v>0</v>
      </c>
      <c r="C116">
        <v>131</v>
      </c>
      <c r="D116">
        <v>2017</v>
      </c>
      <c r="E116" t="s">
        <v>83</v>
      </c>
      <c r="F116">
        <v>23</v>
      </c>
      <c r="G116">
        <v>8</v>
      </c>
      <c r="H116">
        <v>0</v>
      </c>
      <c r="I116">
        <v>3</v>
      </c>
      <c r="J116">
        <v>2</v>
      </c>
      <c r="K116">
        <v>0</v>
      </c>
      <c r="L116">
        <v>0</v>
      </c>
      <c r="M116" t="s">
        <v>34</v>
      </c>
      <c r="N116" t="s">
        <v>71</v>
      </c>
      <c r="O116" t="s">
        <v>44</v>
      </c>
      <c r="P116" t="s">
        <v>45</v>
      </c>
      <c r="Q116">
        <v>0</v>
      </c>
      <c r="R116">
        <v>0</v>
      </c>
      <c r="S116">
        <v>0</v>
      </c>
      <c r="T116" t="s">
        <v>46</v>
      </c>
      <c r="U116" t="s">
        <v>46</v>
      </c>
      <c r="V116">
        <v>0</v>
      </c>
      <c r="W116" t="s">
        <v>38</v>
      </c>
      <c r="X116">
        <v>9</v>
      </c>
      <c r="Z116">
        <v>0</v>
      </c>
      <c r="AA116" t="s">
        <v>39</v>
      </c>
      <c r="AB116">
        <v>144</v>
      </c>
      <c r="AC116">
        <v>0</v>
      </c>
      <c r="AD116">
        <v>1</v>
      </c>
      <c r="AE116" t="s">
        <v>40</v>
      </c>
      <c r="AF116" s="1">
        <v>42897</v>
      </c>
    </row>
    <row r="117" spans="1:32" x14ac:dyDescent="0.25">
      <c r="A117" t="s">
        <v>32</v>
      </c>
      <c r="B117">
        <v>0</v>
      </c>
      <c r="C117">
        <v>228</v>
      </c>
      <c r="D117">
        <v>2016</v>
      </c>
      <c r="E117" t="s">
        <v>62</v>
      </c>
      <c r="F117">
        <v>37</v>
      </c>
      <c r="G117">
        <v>5</v>
      </c>
      <c r="H117">
        <v>6</v>
      </c>
      <c r="I117">
        <v>15</v>
      </c>
      <c r="J117">
        <v>2</v>
      </c>
      <c r="K117">
        <v>0</v>
      </c>
      <c r="L117">
        <v>0</v>
      </c>
      <c r="M117" t="s">
        <v>60</v>
      </c>
      <c r="N117" t="s">
        <v>56</v>
      </c>
      <c r="O117" t="s">
        <v>36</v>
      </c>
      <c r="P117" t="s">
        <v>36</v>
      </c>
      <c r="Q117">
        <v>0</v>
      </c>
      <c r="R117">
        <v>0</v>
      </c>
      <c r="S117">
        <v>1</v>
      </c>
      <c r="T117" t="s">
        <v>57</v>
      </c>
      <c r="U117" t="s">
        <v>57</v>
      </c>
      <c r="V117">
        <v>0</v>
      </c>
      <c r="W117" t="s">
        <v>38</v>
      </c>
      <c r="Z117">
        <v>0</v>
      </c>
      <c r="AA117" t="s">
        <v>39</v>
      </c>
      <c r="AB117">
        <v>88</v>
      </c>
      <c r="AC117">
        <v>0</v>
      </c>
      <c r="AD117">
        <v>1</v>
      </c>
      <c r="AE117" t="s">
        <v>40</v>
      </c>
      <c r="AF117" s="1">
        <v>42639</v>
      </c>
    </row>
    <row r="118" spans="1:32" x14ac:dyDescent="0.25">
      <c r="A118" t="s">
        <v>41</v>
      </c>
      <c r="B118">
        <v>1</v>
      </c>
      <c r="C118">
        <v>330</v>
      </c>
      <c r="D118">
        <v>2016</v>
      </c>
      <c r="E118" t="s">
        <v>83</v>
      </c>
      <c r="F118">
        <v>23</v>
      </c>
      <c r="G118">
        <v>2</v>
      </c>
      <c r="H118">
        <v>0</v>
      </c>
      <c r="I118">
        <v>2</v>
      </c>
      <c r="J118">
        <v>2</v>
      </c>
      <c r="K118">
        <v>0</v>
      </c>
      <c r="L118">
        <v>0</v>
      </c>
      <c r="M118" t="s">
        <v>34</v>
      </c>
      <c r="N118" t="s">
        <v>43</v>
      </c>
      <c r="O118" t="s">
        <v>64</v>
      </c>
      <c r="P118" t="s">
        <v>45</v>
      </c>
      <c r="Q118">
        <v>0</v>
      </c>
      <c r="R118">
        <v>0</v>
      </c>
      <c r="S118">
        <v>0</v>
      </c>
      <c r="T118" t="s">
        <v>46</v>
      </c>
      <c r="U118" t="s">
        <v>46</v>
      </c>
      <c r="V118">
        <v>0</v>
      </c>
      <c r="W118" t="s">
        <v>68</v>
      </c>
      <c r="X118">
        <v>1</v>
      </c>
      <c r="Z118">
        <v>0</v>
      </c>
      <c r="AA118" t="s">
        <v>39</v>
      </c>
      <c r="AB118">
        <v>62</v>
      </c>
      <c r="AC118">
        <v>0</v>
      </c>
      <c r="AD118">
        <v>0</v>
      </c>
      <c r="AE118" t="s">
        <v>47</v>
      </c>
      <c r="AF118" s="1">
        <v>42298</v>
      </c>
    </row>
    <row r="119" spans="1:32" x14ac:dyDescent="0.25">
      <c r="A119" t="s">
        <v>41</v>
      </c>
      <c r="B119">
        <v>1</v>
      </c>
      <c r="C119">
        <v>53</v>
      </c>
      <c r="D119">
        <v>2016</v>
      </c>
      <c r="E119" t="s">
        <v>69</v>
      </c>
      <c r="F119">
        <v>21</v>
      </c>
      <c r="G119">
        <v>18</v>
      </c>
      <c r="H119">
        <v>0</v>
      </c>
      <c r="I119">
        <v>2</v>
      </c>
      <c r="J119">
        <v>2</v>
      </c>
      <c r="K119">
        <v>0</v>
      </c>
      <c r="L119">
        <v>0</v>
      </c>
      <c r="M119" t="s">
        <v>34</v>
      </c>
      <c r="N119" t="s">
        <v>48</v>
      </c>
      <c r="O119" t="s">
        <v>44</v>
      </c>
      <c r="P119" t="s">
        <v>45</v>
      </c>
      <c r="Q119">
        <v>0</v>
      </c>
      <c r="R119">
        <v>0</v>
      </c>
      <c r="S119">
        <v>0</v>
      </c>
      <c r="T119" t="s">
        <v>46</v>
      </c>
      <c r="U119" t="s">
        <v>46</v>
      </c>
      <c r="V119">
        <v>0</v>
      </c>
      <c r="W119" t="s">
        <v>38</v>
      </c>
      <c r="X119">
        <v>9</v>
      </c>
      <c r="Z119">
        <v>0</v>
      </c>
      <c r="AA119" t="s">
        <v>39</v>
      </c>
      <c r="AB119">
        <v>126.9</v>
      </c>
      <c r="AC119">
        <v>0</v>
      </c>
      <c r="AD119">
        <v>0</v>
      </c>
      <c r="AE119" t="s">
        <v>47</v>
      </c>
      <c r="AF119" s="1">
        <v>42457</v>
      </c>
    </row>
    <row r="120" spans="1:32" x14ac:dyDescent="0.25">
      <c r="A120" t="s">
        <v>41</v>
      </c>
      <c r="B120">
        <v>0</v>
      </c>
      <c r="C120">
        <v>144</v>
      </c>
      <c r="D120">
        <v>2016</v>
      </c>
      <c r="E120" t="s">
        <v>83</v>
      </c>
      <c r="F120">
        <v>27</v>
      </c>
      <c r="G120">
        <v>26</v>
      </c>
      <c r="H120">
        <v>2</v>
      </c>
      <c r="I120">
        <v>0</v>
      </c>
      <c r="J120">
        <v>2</v>
      </c>
      <c r="K120">
        <v>0</v>
      </c>
      <c r="L120">
        <v>0</v>
      </c>
      <c r="M120" t="s">
        <v>55</v>
      </c>
      <c r="N120" t="s">
        <v>35</v>
      </c>
      <c r="O120" t="s">
        <v>44</v>
      </c>
      <c r="P120" t="s">
        <v>45</v>
      </c>
      <c r="Q120">
        <v>0</v>
      </c>
      <c r="R120">
        <v>0</v>
      </c>
      <c r="S120">
        <v>0</v>
      </c>
      <c r="T120" t="s">
        <v>46</v>
      </c>
      <c r="U120" t="s">
        <v>46</v>
      </c>
      <c r="V120">
        <v>0</v>
      </c>
      <c r="W120" t="s">
        <v>38</v>
      </c>
      <c r="X120">
        <v>9</v>
      </c>
      <c r="Z120">
        <v>0</v>
      </c>
      <c r="AA120" t="s">
        <v>51</v>
      </c>
      <c r="AB120">
        <v>85.5</v>
      </c>
      <c r="AC120">
        <v>0</v>
      </c>
      <c r="AD120">
        <v>1</v>
      </c>
      <c r="AE120" t="s">
        <v>40</v>
      </c>
      <c r="AF120" s="1">
        <v>42549</v>
      </c>
    </row>
    <row r="121" spans="1:32" x14ac:dyDescent="0.25">
      <c r="A121" t="s">
        <v>32</v>
      </c>
      <c r="B121">
        <v>0</v>
      </c>
      <c r="C121">
        <v>36</v>
      </c>
      <c r="D121">
        <v>2015</v>
      </c>
      <c r="E121" t="s">
        <v>33</v>
      </c>
      <c r="F121">
        <v>53</v>
      </c>
      <c r="G121">
        <v>27</v>
      </c>
      <c r="H121">
        <v>2</v>
      </c>
      <c r="I121">
        <v>0</v>
      </c>
      <c r="J121">
        <v>2</v>
      </c>
      <c r="K121">
        <v>0</v>
      </c>
      <c r="L121">
        <v>0</v>
      </c>
      <c r="M121" t="s">
        <v>60</v>
      </c>
      <c r="N121" t="s">
        <v>63</v>
      </c>
      <c r="O121" t="s">
        <v>49</v>
      </c>
      <c r="P121" t="s">
        <v>45</v>
      </c>
      <c r="Q121">
        <v>0</v>
      </c>
      <c r="R121">
        <v>0</v>
      </c>
      <c r="S121">
        <v>0</v>
      </c>
      <c r="T121" t="s">
        <v>46</v>
      </c>
      <c r="U121" t="s">
        <v>57</v>
      </c>
      <c r="V121">
        <v>1</v>
      </c>
      <c r="W121" t="s">
        <v>38</v>
      </c>
      <c r="X121">
        <v>6</v>
      </c>
      <c r="Z121">
        <v>0</v>
      </c>
      <c r="AA121" t="s">
        <v>39</v>
      </c>
      <c r="AB121">
        <v>55.4</v>
      </c>
      <c r="AC121">
        <v>1</v>
      </c>
      <c r="AD121">
        <v>0</v>
      </c>
      <c r="AE121" t="s">
        <v>40</v>
      </c>
      <c r="AF121" s="1">
        <v>42367</v>
      </c>
    </row>
    <row r="122" spans="1:32" x14ac:dyDescent="0.25">
      <c r="A122" t="s">
        <v>41</v>
      </c>
      <c r="B122">
        <v>1</v>
      </c>
      <c r="C122">
        <v>313</v>
      </c>
      <c r="D122">
        <v>2017</v>
      </c>
      <c r="E122" t="s">
        <v>54</v>
      </c>
      <c r="F122">
        <v>17</v>
      </c>
      <c r="G122">
        <v>29</v>
      </c>
      <c r="H122">
        <v>2</v>
      </c>
      <c r="I122">
        <v>1</v>
      </c>
      <c r="J122">
        <v>2</v>
      </c>
      <c r="K122">
        <v>0</v>
      </c>
      <c r="L122">
        <v>0</v>
      </c>
      <c r="M122" t="s">
        <v>34</v>
      </c>
      <c r="N122" t="s">
        <v>43</v>
      </c>
      <c r="O122" t="s">
        <v>49</v>
      </c>
      <c r="P122" t="s">
        <v>45</v>
      </c>
      <c r="Q122">
        <v>0</v>
      </c>
      <c r="R122">
        <v>0</v>
      </c>
      <c r="S122">
        <v>0</v>
      </c>
      <c r="T122" t="s">
        <v>46</v>
      </c>
      <c r="U122" t="s">
        <v>46</v>
      </c>
      <c r="V122">
        <v>0</v>
      </c>
      <c r="W122" t="s">
        <v>68</v>
      </c>
      <c r="X122">
        <v>6</v>
      </c>
      <c r="Z122">
        <v>0</v>
      </c>
      <c r="AA122" t="s">
        <v>39</v>
      </c>
      <c r="AB122">
        <v>90</v>
      </c>
      <c r="AC122">
        <v>0</v>
      </c>
      <c r="AD122">
        <v>0</v>
      </c>
      <c r="AE122" t="s">
        <v>47</v>
      </c>
      <c r="AF122" s="1">
        <v>42789</v>
      </c>
    </row>
    <row r="123" spans="1:32" x14ac:dyDescent="0.25">
      <c r="A123" t="s">
        <v>32</v>
      </c>
      <c r="B123">
        <v>1</v>
      </c>
      <c r="C123">
        <v>32</v>
      </c>
      <c r="D123">
        <v>2016</v>
      </c>
      <c r="E123" t="s">
        <v>54</v>
      </c>
      <c r="F123">
        <v>17</v>
      </c>
      <c r="G123">
        <v>19</v>
      </c>
      <c r="H123">
        <v>2</v>
      </c>
      <c r="I123">
        <v>5</v>
      </c>
      <c r="J123">
        <v>2</v>
      </c>
      <c r="K123">
        <v>0</v>
      </c>
      <c r="L123">
        <v>0</v>
      </c>
      <c r="M123" t="s">
        <v>60</v>
      </c>
      <c r="N123" t="s">
        <v>43</v>
      </c>
      <c r="O123" t="s">
        <v>64</v>
      </c>
      <c r="P123" t="s">
        <v>36</v>
      </c>
      <c r="Q123">
        <v>0</v>
      </c>
      <c r="R123">
        <v>0</v>
      </c>
      <c r="S123">
        <v>0</v>
      </c>
      <c r="T123" t="s">
        <v>57</v>
      </c>
      <c r="U123" t="s">
        <v>57</v>
      </c>
      <c r="V123">
        <v>0</v>
      </c>
      <c r="W123" t="s">
        <v>38</v>
      </c>
      <c r="X123">
        <v>273</v>
      </c>
      <c r="Z123">
        <v>0</v>
      </c>
      <c r="AA123" t="s">
        <v>51</v>
      </c>
      <c r="AB123">
        <v>69.36</v>
      </c>
      <c r="AC123">
        <v>0</v>
      </c>
      <c r="AD123">
        <v>0</v>
      </c>
      <c r="AE123" t="s">
        <v>47</v>
      </c>
      <c r="AF123" s="1">
        <v>42447</v>
      </c>
    </row>
    <row r="124" spans="1:32" x14ac:dyDescent="0.25">
      <c r="A124" t="s">
        <v>41</v>
      </c>
      <c r="B124">
        <v>1</v>
      </c>
      <c r="C124">
        <v>524</v>
      </c>
      <c r="D124">
        <v>2016</v>
      </c>
      <c r="E124" t="s">
        <v>33</v>
      </c>
      <c r="F124">
        <v>51</v>
      </c>
      <c r="G124">
        <v>15</v>
      </c>
      <c r="H124">
        <v>0</v>
      </c>
      <c r="I124">
        <v>2</v>
      </c>
      <c r="J124">
        <v>2</v>
      </c>
      <c r="K124">
        <v>0</v>
      </c>
      <c r="L124">
        <v>0</v>
      </c>
      <c r="M124" t="s">
        <v>34</v>
      </c>
      <c r="N124" t="s">
        <v>43</v>
      </c>
      <c r="O124" t="s">
        <v>64</v>
      </c>
      <c r="P124" t="s">
        <v>45</v>
      </c>
      <c r="Q124">
        <v>0</v>
      </c>
      <c r="R124">
        <v>0</v>
      </c>
      <c r="S124">
        <v>0</v>
      </c>
      <c r="T124" t="s">
        <v>46</v>
      </c>
      <c r="U124" t="s">
        <v>46</v>
      </c>
      <c r="V124">
        <v>0</v>
      </c>
      <c r="W124" t="s">
        <v>68</v>
      </c>
      <c r="X124">
        <v>1</v>
      </c>
      <c r="Z124">
        <v>0</v>
      </c>
      <c r="AA124" t="s">
        <v>39</v>
      </c>
      <c r="AB124">
        <v>62.8</v>
      </c>
      <c r="AC124">
        <v>0</v>
      </c>
      <c r="AD124">
        <v>0</v>
      </c>
      <c r="AE124" t="s">
        <v>47</v>
      </c>
      <c r="AF124" s="1">
        <v>42298</v>
      </c>
    </row>
    <row r="125" spans="1:32" x14ac:dyDescent="0.25">
      <c r="A125" t="s">
        <v>41</v>
      </c>
      <c r="B125">
        <v>1</v>
      </c>
      <c r="C125">
        <v>56</v>
      </c>
      <c r="D125">
        <v>2017</v>
      </c>
      <c r="E125" t="s">
        <v>52</v>
      </c>
      <c r="F125">
        <v>12</v>
      </c>
      <c r="G125">
        <v>21</v>
      </c>
      <c r="H125">
        <v>0</v>
      </c>
      <c r="I125">
        <v>3</v>
      </c>
      <c r="J125">
        <v>2</v>
      </c>
      <c r="K125">
        <v>0</v>
      </c>
      <c r="L125">
        <v>0</v>
      </c>
      <c r="M125" t="s">
        <v>34</v>
      </c>
      <c r="N125" t="s">
        <v>43</v>
      </c>
      <c r="O125" t="s">
        <v>49</v>
      </c>
      <c r="P125" t="s">
        <v>45</v>
      </c>
      <c r="Q125">
        <v>0</v>
      </c>
      <c r="R125">
        <v>0</v>
      </c>
      <c r="S125">
        <v>0</v>
      </c>
      <c r="T125" t="s">
        <v>46</v>
      </c>
      <c r="U125" t="s">
        <v>46</v>
      </c>
      <c r="V125">
        <v>0</v>
      </c>
      <c r="W125" t="s">
        <v>68</v>
      </c>
      <c r="X125">
        <v>86</v>
      </c>
      <c r="Z125">
        <v>0</v>
      </c>
      <c r="AA125" t="s">
        <v>39</v>
      </c>
      <c r="AB125">
        <v>85</v>
      </c>
      <c r="AC125">
        <v>0</v>
      </c>
      <c r="AD125">
        <v>0</v>
      </c>
      <c r="AE125" t="s">
        <v>47</v>
      </c>
      <c r="AF125" s="1">
        <v>42759</v>
      </c>
    </row>
    <row r="126" spans="1:32" x14ac:dyDescent="0.25">
      <c r="A126" t="s">
        <v>41</v>
      </c>
      <c r="B126">
        <v>1</v>
      </c>
      <c r="C126">
        <v>138</v>
      </c>
      <c r="D126">
        <v>2016</v>
      </c>
      <c r="E126" t="s">
        <v>67</v>
      </c>
      <c r="F126">
        <v>34</v>
      </c>
      <c r="G126">
        <v>18</v>
      </c>
      <c r="H126">
        <v>0</v>
      </c>
      <c r="I126">
        <v>2</v>
      </c>
      <c r="J126">
        <v>3</v>
      </c>
      <c r="K126">
        <v>0</v>
      </c>
      <c r="L126">
        <v>0</v>
      </c>
      <c r="M126" t="s">
        <v>34</v>
      </c>
      <c r="N126" t="s">
        <v>93</v>
      </c>
      <c r="O126" t="s">
        <v>44</v>
      </c>
      <c r="P126" t="s">
        <v>45</v>
      </c>
      <c r="Q126">
        <v>0</v>
      </c>
      <c r="R126">
        <v>0</v>
      </c>
      <c r="S126">
        <v>0</v>
      </c>
      <c r="T126" t="s">
        <v>57</v>
      </c>
      <c r="U126" t="s">
        <v>57</v>
      </c>
      <c r="V126">
        <v>0</v>
      </c>
      <c r="W126" t="s">
        <v>38</v>
      </c>
      <c r="X126">
        <v>9</v>
      </c>
      <c r="Z126">
        <v>0</v>
      </c>
      <c r="AA126" t="s">
        <v>39</v>
      </c>
      <c r="AB126">
        <v>142.19999999999999</v>
      </c>
      <c r="AC126">
        <v>0</v>
      </c>
      <c r="AD126">
        <v>0</v>
      </c>
      <c r="AE126" t="s">
        <v>47</v>
      </c>
      <c r="AF126" s="1">
        <v>42600</v>
      </c>
    </row>
    <row r="127" spans="1:32" x14ac:dyDescent="0.25">
      <c r="A127" t="s">
        <v>41</v>
      </c>
      <c r="B127">
        <v>0</v>
      </c>
      <c r="C127">
        <v>156</v>
      </c>
      <c r="D127">
        <v>2016</v>
      </c>
      <c r="E127" t="s">
        <v>67</v>
      </c>
      <c r="F127">
        <v>35</v>
      </c>
      <c r="G127">
        <v>21</v>
      </c>
      <c r="H127">
        <v>2</v>
      </c>
      <c r="I127">
        <v>1</v>
      </c>
      <c r="J127">
        <v>2</v>
      </c>
      <c r="K127">
        <v>0</v>
      </c>
      <c r="L127">
        <v>0</v>
      </c>
      <c r="M127" t="s">
        <v>55</v>
      </c>
      <c r="N127" t="s">
        <v>70</v>
      </c>
      <c r="O127" t="s">
        <v>44</v>
      </c>
      <c r="P127" t="s">
        <v>45</v>
      </c>
      <c r="Q127">
        <v>0</v>
      </c>
      <c r="R127">
        <v>0</v>
      </c>
      <c r="S127">
        <v>0</v>
      </c>
      <c r="T127" t="s">
        <v>46</v>
      </c>
      <c r="U127" t="s">
        <v>46</v>
      </c>
      <c r="V127">
        <v>0</v>
      </c>
      <c r="W127" t="s">
        <v>38</v>
      </c>
      <c r="X127">
        <v>9</v>
      </c>
      <c r="Z127">
        <v>0</v>
      </c>
      <c r="AA127" t="s">
        <v>39</v>
      </c>
      <c r="AB127">
        <v>103.5</v>
      </c>
      <c r="AC127">
        <v>1</v>
      </c>
      <c r="AD127">
        <v>0</v>
      </c>
      <c r="AE127" t="s">
        <v>40</v>
      </c>
      <c r="AF127" s="1">
        <v>42606</v>
      </c>
    </row>
    <row r="128" spans="1:32" x14ac:dyDescent="0.25">
      <c r="A128" t="s">
        <v>41</v>
      </c>
      <c r="B128">
        <v>0</v>
      </c>
      <c r="C128">
        <v>164</v>
      </c>
      <c r="D128">
        <v>2015</v>
      </c>
      <c r="E128" t="s">
        <v>59</v>
      </c>
      <c r="F128">
        <v>40</v>
      </c>
      <c r="G128">
        <v>2</v>
      </c>
      <c r="H128">
        <v>0</v>
      </c>
      <c r="I128">
        <v>2</v>
      </c>
      <c r="J128">
        <v>1</v>
      </c>
      <c r="K128">
        <v>0</v>
      </c>
      <c r="L128">
        <v>0</v>
      </c>
      <c r="M128" t="s">
        <v>34</v>
      </c>
      <c r="N128" t="s">
        <v>43</v>
      </c>
      <c r="O128" t="s">
        <v>49</v>
      </c>
      <c r="P128" t="s">
        <v>45</v>
      </c>
      <c r="Q128">
        <v>0</v>
      </c>
      <c r="R128">
        <v>0</v>
      </c>
      <c r="S128">
        <v>0</v>
      </c>
      <c r="T128" t="s">
        <v>46</v>
      </c>
      <c r="U128" t="s">
        <v>46</v>
      </c>
      <c r="V128">
        <v>0</v>
      </c>
      <c r="W128" t="s">
        <v>38</v>
      </c>
      <c r="X128">
        <v>19</v>
      </c>
      <c r="Z128">
        <v>0</v>
      </c>
      <c r="AA128" t="s">
        <v>51</v>
      </c>
      <c r="AB128">
        <v>100</v>
      </c>
      <c r="AC128">
        <v>0</v>
      </c>
      <c r="AD128">
        <v>0</v>
      </c>
      <c r="AE128" t="s">
        <v>40</v>
      </c>
      <c r="AF128" s="1">
        <v>42281</v>
      </c>
    </row>
    <row r="129" spans="1:32" x14ac:dyDescent="0.25">
      <c r="A129" t="s">
        <v>32</v>
      </c>
      <c r="B129">
        <v>0</v>
      </c>
      <c r="C129">
        <v>8</v>
      </c>
      <c r="D129">
        <v>2015</v>
      </c>
      <c r="E129" t="s">
        <v>61</v>
      </c>
      <c r="F129">
        <v>48</v>
      </c>
      <c r="G129">
        <v>25</v>
      </c>
      <c r="H129">
        <v>0</v>
      </c>
      <c r="I129">
        <v>1</v>
      </c>
      <c r="J129">
        <v>1</v>
      </c>
      <c r="K129">
        <v>0</v>
      </c>
      <c r="L129">
        <v>0</v>
      </c>
      <c r="M129" t="s">
        <v>34</v>
      </c>
      <c r="O129" t="s">
        <v>76</v>
      </c>
      <c r="P129" t="s">
        <v>76</v>
      </c>
      <c r="Q129">
        <v>0</v>
      </c>
      <c r="R129">
        <v>0</v>
      </c>
      <c r="S129">
        <v>7</v>
      </c>
      <c r="T129" t="s">
        <v>46</v>
      </c>
      <c r="U129" t="s">
        <v>57</v>
      </c>
      <c r="V129">
        <v>0</v>
      </c>
      <c r="W129" t="s">
        <v>38</v>
      </c>
      <c r="Y129">
        <v>204</v>
      </c>
      <c r="Z129">
        <v>0</v>
      </c>
      <c r="AA129" t="s">
        <v>39</v>
      </c>
      <c r="AB129">
        <v>35</v>
      </c>
      <c r="AC129">
        <v>0</v>
      </c>
      <c r="AD129">
        <v>1</v>
      </c>
      <c r="AE129" t="s">
        <v>40</v>
      </c>
      <c r="AF129" s="1">
        <v>42334</v>
      </c>
    </row>
    <row r="130" spans="1:32" x14ac:dyDescent="0.25">
      <c r="A130" t="s">
        <v>32</v>
      </c>
      <c r="B130">
        <v>0</v>
      </c>
      <c r="C130">
        <v>2</v>
      </c>
      <c r="D130">
        <v>2016</v>
      </c>
      <c r="E130" t="s">
        <v>61</v>
      </c>
      <c r="F130">
        <v>47</v>
      </c>
      <c r="G130">
        <v>18</v>
      </c>
      <c r="H130">
        <v>0</v>
      </c>
      <c r="I130">
        <v>2</v>
      </c>
      <c r="J130">
        <v>2</v>
      </c>
      <c r="K130">
        <v>0</v>
      </c>
      <c r="L130">
        <v>0</v>
      </c>
      <c r="M130" t="s">
        <v>60</v>
      </c>
      <c r="N130" t="s">
        <v>56</v>
      </c>
      <c r="O130" t="s">
        <v>36</v>
      </c>
      <c r="P130" t="s">
        <v>45</v>
      </c>
      <c r="Q130">
        <v>0</v>
      </c>
      <c r="R130">
        <v>0</v>
      </c>
      <c r="S130">
        <v>0</v>
      </c>
      <c r="T130" t="s">
        <v>46</v>
      </c>
      <c r="U130" t="s">
        <v>57</v>
      </c>
      <c r="V130">
        <v>0</v>
      </c>
      <c r="W130" t="s">
        <v>38</v>
      </c>
      <c r="Z130">
        <v>0</v>
      </c>
      <c r="AA130" t="s">
        <v>39</v>
      </c>
      <c r="AB130">
        <v>73.8</v>
      </c>
      <c r="AC130">
        <v>0</v>
      </c>
      <c r="AD130">
        <v>2</v>
      </c>
      <c r="AE130" t="s">
        <v>40</v>
      </c>
      <c r="AF130" s="1">
        <v>42694</v>
      </c>
    </row>
    <row r="131" spans="1:32" x14ac:dyDescent="0.25">
      <c r="A131" t="s">
        <v>41</v>
      </c>
      <c r="B131">
        <v>1</v>
      </c>
      <c r="C131">
        <v>391</v>
      </c>
      <c r="D131">
        <v>2016</v>
      </c>
      <c r="E131" t="s">
        <v>42</v>
      </c>
      <c r="F131">
        <v>31</v>
      </c>
      <c r="G131">
        <v>27</v>
      </c>
      <c r="H131">
        <v>0</v>
      </c>
      <c r="I131">
        <v>2</v>
      </c>
      <c r="J131">
        <v>2</v>
      </c>
      <c r="K131">
        <v>0</v>
      </c>
      <c r="L131">
        <v>0</v>
      </c>
      <c r="M131" t="s">
        <v>34</v>
      </c>
      <c r="N131" t="s">
        <v>43</v>
      </c>
      <c r="O131" t="s">
        <v>64</v>
      </c>
      <c r="P131" t="s">
        <v>45</v>
      </c>
      <c r="Q131">
        <v>0</v>
      </c>
      <c r="R131">
        <v>0</v>
      </c>
      <c r="S131">
        <v>0</v>
      </c>
      <c r="T131" t="s">
        <v>46</v>
      </c>
      <c r="U131" t="s">
        <v>46</v>
      </c>
      <c r="V131">
        <v>0</v>
      </c>
      <c r="W131" t="s">
        <v>68</v>
      </c>
      <c r="X131">
        <v>1</v>
      </c>
      <c r="Z131">
        <v>0</v>
      </c>
      <c r="AA131" t="s">
        <v>39</v>
      </c>
      <c r="AB131">
        <v>65</v>
      </c>
      <c r="AC131">
        <v>0</v>
      </c>
      <c r="AD131">
        <v>0</v>
      </c>
      <c r="AE131" t="s">
        <v>47</v>
      </c>
      <c r="AF131" s="1">
        <v>42347</v>
      </c>
    </row>
    <row r="132" spans="1:32" x14ac:dyDescent="0.25">
      <c r="A132" t="s">
        <v>41</v>
      </c>
      <c r="B132">
        <v>0</v>
      </c>
      <c r="C132">
        <v>66</v>
      </c>
      <c r="D132">
        <v>2016</v>
      </c>
      <c r="E132" t="s">
        <v>61</v>
      </c>
      <c r="F132">
        <v>48</v>
      </c>
      <c r="G132">
        <v>24</v>
      </c>
      <c r="H132">
        <v>0</v>
      </c>
      <c r="I132">
        <v>3</v>
      </c>
      <c r="J132">
        <v>2</v>
      </c>
      <c r="K132">
        <v>0</v>
      </c>
      <c r="L132">
        <v>0</v>
      </c>
      <c r="M132" t="s">
        <v>34</v>
      </c>
      <c r="N132" t="s">
        <v>70</v>
      </c>
      <c r="O132" t="s">
        <v>49</v>
      </c>
      <c r="P132" t="s">
        <v>45</v>
      </c>
      <c r="Q132">
        <v>0</v>
      </c>
      <c r="R132">
        <v>0</v>
      </c>
      <c r="S132">
        <v>0</v>
      </c>
      <c r="T132" t="s">
        <v>46</v>
      </c>
      <c r="U132" t="s">
        <v>57</v>
      </c>
      <c r="V132">
        <v>0</v>
      </c>
      <c r="W132" t="s">
        <v>38</v>
      </c>
      <c r="X132">
        <v>28</v>
      </c>
      <c r="Z132">
        <v>0</v>
      </c>
      <c r="AA132" t="s">
        <v>39</v>
      </c>
      <c r="AB132">
        <v>75</v>
      </c>
      <c r="AC132">
        <v>0</v>
      </c>
      <c r="AD132">
        <v>0</v>
      </c>
      <c r="AE132" t="s">
        <v>40</v>
      </c>
      <c r="AF132" s="1">
        <v>42701</v>
      </c>
    </row>
    <row r="133" spans="1:32" x14ac:dyDescent="0.25">
      <c r="A133" t="s">
        <v>41</v>
      </c>
      <c r="B133">
        <v>0</v>
      </c>
      <c r="C133">
        <v>256</v>
      </c>
      <c r="D133">
        <v>2016</v>
      </c>
      <c r="E133" t="s">
        <v>67</v>
      </c>
      <c r="F133">
        <v>36</v>
      </c>
      <c r="G133">
        <v>31</v>
      </c>
      <c r="H133">
        <v>0</v>
      </c>
      <c r="I133">
        <v>4</v>
      </c>
      <c r="J133">
        <v>2</v>
      </c>
      <c r="K133">
        <v>0</v>
      </c>
      <c r="L133">
        <v>0</v>
      </c>
      <c r="M133" t="s">
        <v>34</v>
      </c>
      <c r="N133" t="s">
        <v>56</v>
      </c>
      <c r="O133" t="s">
        <v>44</v>
      </c>
      <c r="P133" t="s">
        <v>45</v>
      </c>
      <c r="Q133">
        <v>0</v>
      </c>
      <c r="R133">
        <v>0</v>
      </c>
      <c r="S133">
        <v>0</v>
      </c>
      <c r="T133" t="s">
        <v>46</v>
      </c>
      <c r="U133" t="s">
        <v>46</v>
      </c>
      <c r="V133">
        <v>0</v>
      </c>
      <c r="W133" t="s">
        <v>38</v>
      </c>
      <c r="X133">
        <v>9</v>
      </c>
      <c r="Z133">
        <v>0</v>
      </c>
      <c r="AA133" t="s">
        <v>51</v>
      </c>
      <c r="AB133">
        <v>90.95</v>
      </c>
      <c r="AC133">
        <v>0</v>
      </c>
      <c r="AD133">
        <v>0</v>
      </c>
      <c r="AE133" t="s">
        <v>40</v>
      </c>
      <c r="AF133" s="1">
        <v>42617</v>
      </c>
    </row>
    <row r="134" spans="1:32" x14ac:dyDescent="0.25">
      <c r="A134" t="s">
        <v>41</v>
      </c>
      <c r="B134">
        <v>1</v>
      </c>
      <c r="C134">
        <v>94</v>
      </c>
      <c r="D134">
        <v>2016</v>
      </c>
      <c r="E134" t="s">
        <v>67</v>
      </c>
      <c r="F134">
        <v>35</v>
      </c>
      <c r="G134">
        <v>23</v>
      </c>
      <c r="H134">
        <v>0</v>
      </c>
      <c r="I134">
        <v>2</v>
      </c>
      <c r="J134">
        <v>2</v>
      </c>
      <c r="K134">
        <v>0</v>
      </c>
      <c r="L134">
        <v>0</v>
      </c>
      <c r="M134" t="s">
        <v>34</v>
      </c>
      <c r="N134" t="s">
        <v>35</v>
      </c>
      <c r="O134" t="s">
        <v>44</v>
      </c>
      <c r="P134" t="s">
        <v>45</v>
      </c>
      <c r="Q134">
        <v>0</v>
      </c>
      <c r="R134">
        <v>0</v>
      </c>
      <c r="S134">
        <v>0</v>
      </c>
      <c r="T134" t="s">
        <v>46</v>
      </c>
      <c r="U134" t="s">
        <v>46</v>
      </c>
      <c r="V134">
        <v>0</v>
      </c>
      <c r="W134" t="s">
        <v>38</v>
      </c>
      <c r="X134">
        <v>9</v>
      </c>
      <c r="Z134">
        <v>0</v>
      </c>
      <c r="AA134" t="s">
        <v>39</v>
      </c>
      <c r="AB134">
        <v>117.9</v>
      </c>
      <c r="AC134">
        <v>0</v>
      </c>
      <c r="AD134">
        <v>0</v>
      </c>
      <c r="AE134" t="s">
        <v>47</v>
      </c>
      <c r="AF134" s="1">
        <v>42512</v>
      </c>
    </row>
    <row r="135" spans="1:32" x14ac:dyDescent="0.25">
      <c r="A135" t="s">
        <v>32</v>
      </c>
      <c r="B135">
        <v>0</v>
      </c>
      <c r="C135">
        <v>94</v>
      </c>
      <c r="D135">
        <v>2017</v>
      </c>
      <c r="E135" t="s">
        <v>66</v>
      </c>
      <c r="F135">
        <v>7</v>
      </c>
      <c r="G135">
        <v>13</v>
      </c>
      <c r="H135">
        <v>1</v>
      </c>
      <c r="I135">
        <v>3</v>
      </c>
      <c r="J135">
        <v>3</v>
      </c>
      <c r="K135">
        <v>0</v>
      </c>
      <c r="L135">
        <v>0</v>
      </c>
      <c r="M135" t="s">
        <v>60</v>
      </c>
      <c r="N135" t="s">
        <v>94</v>
      </c>
      <c r="O135" t="s">
        <v>64</v>
      </c>
      <c r="P135" t="s">
        <v>45</v>
      </c>
      <c r="Q135">
        <v>0</v>
      </c>
      <c r="R135">
        <v>0</v>
      </c>
      <c r="S135">
        <v>0</v>
      </c>
      <c r="T135" t="s">
        <v>46</v>
      </c>
      <c r="U135" t="s">
        <v>46</v>
      </c>
      <c r="V135">
        <v>1</v>
      </c>
      <c r="W135" t="s">
        <v>38</v>
      </c>
      <c r="X135">
        <v>152</v>
      </c>
      <c r="Z135">
        <v>0</v>
      </c>
      <c r="AA135" t="s">
        <v>51</v>
      </c>
      <c r="AB135">
        <v>88</v>
      </c>
      <c r="AC135">
        <v>0</v>
      </c>
      <c r="AD135">
        <v>0</v>
      </c>
      <c r="AE135" t="s">
        <v>40</v>
      </c>
      <c r="AF135" s="1">
        <v>42783</v>
      </c>
    </row>
    <row r="136" spans="1:32" x14ac:dyDescent="0.25">
      <c r="A136" t="s">
        <v>41</v>
      </c>
      <c r="B136">
        <v>1</v>
      </c>
      <c r="C136">
        <v>97</v>
      </c>
      <c r="D136">
        <v>2015</v>
      </c>
      <c r="E136" t="s">
        <v>59</v>
      </c>
      <c r="F136">
        <v>41</v>
      </c>
      <c r="G136">
        <v>5</v>
      </c>
      <c r="H136">
        <v>1</v>
      </c>
      <c r="I136">
        <v>3</v>
      </c>
      <c r="J136">
        <v>1</v>
      </c>
      <c r="K136">
        <v>0</v>
      </c>
      <c r="L136">
        <v>0</v>
      </c>
      <c r="M136" t="s">
        <v>34</v>
      </c>
      <c r="N136" t="s">
        <v>43</v>
      </c>
      <c r="O136" t="s">
        <v>64</v>
      </c>
      <c r="P136" t="s">
        <v>45</v>
      </c>
      <c r="Q136">
        <v>0</v>
      </c>
      <c r="R136">
        <v>0</v>
      </c>
      <c r="S136">
        <v>0</v>
      </c>
      <c r="T136" t="s">
        <v>46</v>
      </c>
      <c r="U136" t="s">
        <v>46</v>
      </c>
      <c r="V136">
        <v>0</v>
      </c>
      <c r="W136" t="s">
        <v>68</v>
      </c>
      <c r="X136">
        <v>29</v>
      </c>
      <c r="Z136">
        <v>0</v>
      </c>
      <c r="AA136" t="s">
        <v>39</v>
      </c>
      <c r="AB136">
        <v>140</v>
      </c>
      <c r="AC136">
        <v>0</v>
      </c>
      <c r="AD136">
        <v>0</v>
      </c>
      <c r="AE136" t="s">
        <v>47</v>
      </c>
      <c r="AF136" s="1">
        <v>42188</v>
      </c>
    </row>
    <row r="137" spans="1:32" x14ac:dyDescent="0.25">
      <c r="A137" t="s">
        <v>41</v>
      </c>
      <c r="B137">
        <v>0</v>
      </c>
      <c r="C137">
        <v>56</v>
      </c>
      <c r="D137">
        <v>2016</v>
      </c>
      <c r="E137" t="s">
        <v>52</v>
      </c>
      <c r="F137">
        <v>10</v>
      </c>
      <c r="G137">
        <v>3</v>
      </c>
      <c r="H137">
        <v>1</v>
      </c>
      <c r="I137">
        <v>3</v>
      </c>
      <c r="J137">
        <v>2</v>
      </c>
      <c r="K137">
        <v>0</v>
      </c>
      <c r="L137">
        <v>0</v>
      </c>
      <c r="M137" t="s">
        <v>34</v>
      </c>
      <c r="N137" t="s">
        <v>63</v>
      </c>
      <c r="O137" t="s">
        <v>64</v>
      </c>
      <c r="P137" t="s">
        <v>76</v>
      </c>
      <c r="Q137">
        <v>0</v>
      </c>
      <c r="R137">
        <v>0</v>
      </c>
      <c r="S137">
        <v>0</v>
      </c>
      <c r="T137" t="s">
        <v>46</v>
      </c>
      <c r="U137" t="s">
        <v>46</v>
      </c>
      <c r="V137">
        <v>0</v>
      </c>
      <c r="W137" t="s">
        <v>38</v>
      </c>
      <c r="Z137">
        <v>0</v>
      </c>
      <c r="AA137" t="s">
        <v>51</v>
      </c>
      <c r="AB137">
        <v>72</v>
      </c>
      <c r="AC137">
        <v>0</v>
      </c>
      <c r="AD137">
        <v>0</v>
      </c>
      <c r="AE137" t="s">
        <v>40</v>
      </c>
      <c r="AF137" s="1">
        <v>42436</v>
      </c>
    </row>
    <row r="138" spans="1:32" x14ac:dyDescent="0.25">
      <c r="A138" t="s">
        <v>41</v>
      </c>
      <c r="B138">
        <v>1</v>
      </c>
      <c r="C138">
        <v>191</v>
      </c>
      <c r="D138">
        <v>2017</v>
      </c>
      <c r="E138" t="s">
        <v>54</v>
      </c>
      <c r="F138">
        <v>14</v>
      </c>
      <c r="G138">
        <v>6</v>
      </c>
      <c r="H138">
        <v>2</v>
      </c>
      <c r="I138">
        <v>3</v>
      </c>
      <c r="J138">
        <v>2</v>
      </c>
      <c r="K138">
        <v>0</v>
      </c>
      <c r="L138">
        <v>0</v>
      </c>
      <c r="M138" t="s">
        <v>34</v>
      </c>
      <c r="N138" t="s">
        <v>43</v>
      </c>
      <c r="O138" t="s">
        <v>44</v>
      </c>
      <c r="P138" t="s">
        <v>45</v>
      </c>
      <c r="Q138">
        <v>0</v>
      </c>
      <c r="R138">
        <v>0</v>
      </c>
      <c r="S138">
        <v>0</v>
      </c>
      <c r="T138" t="s">
        <v>46</v>
      </c>
      <c r="U138" t="s">
        <v>46</v>
      </c>
      <c r="V138">
        <v>0</v>
      </c>
      <c r="W138" t="s">
        <v>38</v>
      </c>
      <c r="X138">
        <v>83</v>
      </c>
      <c r="Z138">
        <v>0</v>
      </c>
      <c r="AA138" t="s">
        <v>39</v>
      </c>
      <c r="AB138">
        <v>88.4</v>
      </c>
      <c r="AC138">
        <v>0</v>
      </c>
      <c r="AD138">
        <v>0</v>
      </c>
      <c r="AE138" t="s">
        <v>47</v>
      </c>
      <c r="AF138" s="1">
        <v>42641</v>
      </c>
    </row>
    <row r="139" spans="1:32" x14ac:dyDescent="0.25">
      <c r="A139" t="s">
        <v>32</v>
      </c>
      <c r="B139">
        <v>1</v>
      </c>
      <c r="C139">
        <v>9</v>
      </c>
      <c r="D139">
        <v>2016</v>
      </c>
      <c r="E139" t="s">
        <v>42</v>
      </c>
      <c r="F139">
        <v>27</v>
      </c>
      <c r="G139">
        <v>1</v>
      </c>
      <c r="H139">
        <v>0</v>
      </c>
      <c r="I139">
        <v>2</v>
      </c>
      <c r="J139">
        <v>2</v>
      </c>
      <c r="K139">
        <v>0</v>
      </c>
      <c r="L139">
        <v>0</v>
      </c>
      <c r="M139" t="s">
        <v>34</v>
      </c>
      <c r="N139" t="s">
        <v>43</v>
      </c>
      <c r="O139" t="s">
        <v>44</v>
      </c>
      <c r="P139" t="s">
        <v>45</v>
      </c>
      <c r="Q139">
        <v>0</v>
      </c>
      <c r="R139">
        <v>0</v>
      </c>
      <c r="S139">
        <v>0</v>
      </c>
      <c r="T139" t="s">
        <v>37</v>
      </c>
      <c r="U139" t="s">
        <v>37</v>
      </c>
      <c r="V139">
        <v>0</v>
      </c>
      <c r="W139" t="s">
        <v>38</v>
      </c>
      <c r="X139">
        <v>242</v>
      </c>
      <c r="Z139">
        <v>0</v>
      </c>
      <c r="AA139" t="s">
        <v>39</v>
      </c>
      <c r="AB139">
        <v>169</v>
      </c>
      <c r="AC139">
        <v>0</v>
      </c>
      <c r="AD139">
        <v>1</v>
      </c>
      <c r="AE139" t="s">
        <v>89</v>
      </c>
      <c r="AF139" s="1">
        <v>42552</v>
      </c>
    </row>
    <row r="140" spans="1:32" x14ac:dyDescent="0.25">
      <c r="A140" t="s">
        <v>41</v>
      </c>
      <c r="B140">
        <v>0</v>
      </c>
      <c r="C140">
        <v>81</v>
      </c>
      <c r="D140">
        <v>2016</v>
      </c>
      <c r="E140" t="s">
        <v>59</v>
      </c>
      <c r="F140">
        <v>45</v>
      </c>
      <c r="G140">
        <v>30</v>
      </c>
      <c r="H140">
        <v>2</v>
      </c>
      <c r="I140">
        <v>1</v>
      </c>
      <c r="J140">
        <v>2</v>
      </c>
      <c r="K140">
        <v>0</v>
      </c>
      <c r="L140">
        <v>0</v>
      </c>
      <c r="M140" t="s">
        <v>34</v>
      </c>
      <c r="N140" t="s">
        <v>95</v>
      </c>
      <c r="O140" t="s">
        <v>36</v>
      </c>
      <c r="P140" t="s">
        <v>36</v>
      </c>
      <c r="Q140">
        <v>0</v>
      </c>
      <c r="R140">
        <v>0</v>
      </c>
      <c r="S140">
        <v>0</v>
      </c>
      <c r="T140" t="s">
        <v>46</v>
      </c>
      <c r="U140" t="s">
        <v>46</v>
      </c>
      <c r="V140">
        <v>0</v>
      </c>
      <c r="W140" t="s">
        <v>38</v>
      </c>
      <c r="X140">
        <v>14</v>
      </c>
      <c r="Z140">
        <v>0</v>
      </c>
      <c r="AA140" t="s">
        <v>39</v>
      </c>
      <c r="AB140">
        <v>79.8</v>
      </c>
      <c r="AC140">
        <v>0</v>
      </c>
      <c r="AD140">
        <v>0</v>
      </c>
      <c r="AE140" t="s">
        <v>40</v>
      </c>
      <c r="AF140" s="1">
        <v>42676</v>
      </c>
    </row>
    <row r="141" spans="1:32" x14ac:dyDescent="0.25">
      <c r="A141" t="s">
        <v>41</v>
      </c>
      <c r="B141">
        <v>1</v>
      </c>
      <c r="C141">
        <v>150</v>
      </c>
      <c r="D141">
        <v>2016</v>
      </c>
      <c r="E141" t="s">
        <v>74</v>
      </c>
      <c r="F141">
        <v>4</v>
      </c>
      <c r="G141">
        <v>18</v>
      </c>
      <c r="H141">
        <v>1</v>
      </c>
      <c r="I141">
        <v>4</v>
      </c>
      <c r="J141">
        <v>1</v>
      </c>
      <c r="K141">
        <v>0</v>
      </c>
      <c r="L141">
        <v>0</v>
      </c>
      <c r="M141" t="s">
        <v>34</v>
      </c>
      <c r="N141" t="s">
        <v>43</v>
      </c>
      <c r="O141" t="s">
        <v>49</v>
      </c>
      <c r="P141" t="s">
        <v>45</v>
      </c>
      <c r="Q141">
        <v>0</v>
      </c>
      <c r="R141">
        <v>0</v>
      </c>
      <c r="S141">
        <v>0</v>
      </c>
      <c r="T141" t="s">
        <v>46</v>
      </c>
      <c r="U141" t="s">
        <v>46</v>
      </c>
      <c r="V141">
        <v>1</v>
      </c>
      <c r="W141" t="s">
        <v>38</v>
      </c>
      <c r="X141">
        <v>19</v>
      </c>
      <c r="Z141">
        <v>63</v>
      </c>
      <c r="AA141" t="s">
        <v>51</v>
      </c>
      <c r="AB141">
        <v>80</v>
      </c>
      <c r="AC141">
        <v>0</v>
      </c>
      <c r="AD141">
        <v>0</v>
      </c>
      <c r="AE141" t="s">
        <v>47</v>
      </c>
      <c r="AF141" s="1">
        <v>42352</v>
      </c>
    </row>
    <row r="142" spans="1:32" x14ac:dyDescent="0.25">
      <c r="A142" t="s">
        <v>32</v>
      </c>
      <c r="B142">
        <v>0</v>
      </c>
      <c r="C142">
        <v>210</v>
      </c>
      <c r="D142">
        <v>2017</v>
      </c>
      <c r="E142" t="s">
        <v>67</v>
      </c>
      <c r="F142">
        <v>33</v>
      </c>
      <c r="G142">
        <v>19</v>
      </c>
      <c r="H142">
        <v>2</v>
      </c>
      <c r="I142">
        <v>5</v>
      </c>
      <c r="J142">
        <v>3</v>
      </c>
      <c r="K142">
        <v>0</v>
      </c>
      <c r="L142">
        <v>0</v>
      </c>
      <c r="M142" t="s">
        <v>60</v>
      </c>
      <c r="N142" t="s">
        <v>43</v>
      </c>
      <c r="O142" t="s">
        <v>49</v>
      </c>
      <c r="P142" t="s">
        <v>45</v>
      </c>
      <c r="Q142">
        <v>0</v>
      </c>
      <c r="R142">
        <v>0</v>
      </c>
      <c r="S142">
        <v>0</v>
      </c>
      <c r="T142" t="s">
        <v>46</v>
      </c>
      <c r="U142" t="s">
        <v>46</v>
      </c>
      <c r="V142">
        <v>0</v>
      </c>
      <c r="W142" t="s">
        <v>38</v>
      </c>
      <c r="X142">
        <v>261</v>
      </c>
      <c r="Z142">
        <v>0</v>
      </c>
      <c r="AA142" t="s">
        <v>39</v>
      </c>
      <c r="AB142">
        <v>187.24</v>
      </c>
      <c r="AC142">
        <v>0</v>
      </c>
      <c r="AD142">
        <v>0</v>
      </c>
      <c r="AE142" t="s">
        <v>40</v>
      </c>
      <c r="AF142" s="1">
        <v>42973</v>
      </c>
    </row>
    <row r="143" spans="1:32" x14ac:dyDescent="0.25">
      <c r="A143" t="s">
        <v>41</v>
      </c>
      <c r="B143">
        <v>0</v>
      </c>
      <c r="C143">
        <v>448</v>
      </c>
      <c r="D143">
        <v>2017</v>
      </c>
      <c r="E143" t="s">
        <v>83</v>
      </c>
      <c r="F143">
        <v>24</v>
      </c>
      <c r="G143">
        <v>17</v>
      </c>
      <c r="H143">
        <v>2</v>
      </c>
      <c r="I143">
        <v>1</v>
      </c>
      <c r="J143">
        <v>2</v>
      </c>
      <c r="K143">
        <v>0</v>
      </c>
      <c r="L143">
        <v>0</v>
      </c>
      <c r="M143" t="s">
        <v>34</v>
      </c>
      <c r="N143" t="s">
        <v>35</v>
      </c>
      <c r="O143" t="s">
        <v>64</v>
      </c>
      <c r="P143" t="s">
        <v>45</v>
      </c>
      <c r="Q143">
        <v>0</v>
      </c>
      <c r="R143">
        <v>0</v>
      </c>
      <c r="S143">
        <v>0</v>
      </c>
      <c r="T143" t="s">
        <v>46</v>
      </c>
      <c r="U143" t="s">
        <v>46</v>
      </c>
      <c r="V143">
        <v>0</v>
      </c>
      <c r="W143" t="s">
        <v>38</v>
      </c>
      <c r="X143">
        <v>229</v>
      </c>
      <c r="Z143">
        <v>0</v>
      </c>
      <c r="AA143" t="s">
        <v>51</v>
      </c>
      <c r="AB143">
        <v>112.67</v>
      </c>
      <c r="AC143">
        <v>0</v>
      </c>
      <c r="AD143">
        <v>1</v>
      </c>
      <c r="AE143" t="s">
        <v>40</v>
      </c>
      <c r="AF143" s="1">
        <v>42906</v>
      </c>
    </row>
    <row r="144" spans="1:32" x14ac:dyDescent="0.25">
      <c r="A144" t="s">
        <v>41</v>
      </c>
      <c r="B144">
        <v>0</v>
      </c>
      <c r="C144">
        <v>152</v>
      </c>
      <c r="D144">
        <v>2016</v>
      </c>
      <c r="E144" t="s">
        <v>42</v>
      </c>
      <c r="F144">
        <v>29</v>
      </c>
      <c r="G144">
        <v>10</v>
      </c>
      <c r="H144">
        <v>2</v>
      </c>
      <c r="I144">
        <v>2</v>
      </c>
      <c r="J144">
        <v>2</v>
      </c>
      <c r="K144">
        <v>0</v>
      </c>
      <c r="L144">
        <v>0</v>
      </c>
      <c r="M144" t="s">
        <v>34</v>
      </c>
      <c r="N144" t="s">
        <v>43</v>
      </c>
      <c r="O144" t="s">
        <v>44</v>
      </c>
      <c r="P144" t="s">
        <v>45</v>
      </c>
      <c r="Q144">
        <v>0</v>
      </c>
      <c r="R144">
        <v>0</v>
      </c>
      <c r="S144">
        <v>0</v>
      </c>
      <c r="T144" t="s">
        <v>57</v>
      </c>
      <c r="U144" t="s">
        <v>57</v>
      </c>
      <c r="V144">
        <v>3</v>
      </c>
      <c r="W144" t="s">
        <v>38</v>
      </c>
      <c r="X144">
        <v>9</v>
      </c>
      <c r="Z144">
        <v>0</v>
      </c>
      <c r="AA144" t="s">
        <v>39</v>
      </c>
      <c r="AB144">
        <v>134.30000000000001</v>
      </c>
      <c r="AC144">
        <v>0</v>
      </c>
      <c r="AD144">
        <v>3</v>
      </c>
      <c r="AE144" t="s">
        <v>40</v>
      </c>
      <c r="AF144" s="1">
        <v>42565</v>
      </c>
    </row>
    <row r="145" spans="1:32" x14ac:dyDescent="0.25">
      <c r="A145" t="s">
        <v>41</v>
      </c>
      <c r="B145">
        <v>0</v>
      </c>
      <c r="C145">
        <v>14</v>
      </c>
      <c r="D145">
        <v>2015</v>
      </c>
      <c r="E145" t="s">
        <v>62</v>
      </c>
      <c r="F145">
        <v>36</v>
      </c>
      <c r="G145">
        <v>4</v>
      </c>
      <c r="H145">
        <v>2</v>
      </c>
      <c r="I145">
        <v>2</v>
      </c>
      <c r="J145">
        <v>2</v>
      </c>
      <c r="K145">
        <v>0</v>
      </c>
      <c r="L145">
        <v>0</v>
      </c>
      <c r="M145" t="s">
        <v>60</v>
      </c>
      <c r="N145" t="s">
        <v>63</v>
      </c>
      <c r="O145" t="s">
        <v>44</v>
      </c>
      <c r="P145" t="s">
        <v>45</v>
      </c>
      <c r="Q145">
        <v>0</v>
      </c>
      <c r="R145">
        <v>0</v>
      </c>
      <c r="S145">
        <v>0</v>
      </c>
      <c r="T145" t="s">
        <v>46</v>
      </c>
      <c r="U145" t="s">
        <v>86</v>
      </c>
      <c r="V145">
        <v>0</v>
      </c>
      <c r="W145" t="s">
        <v>38</v>
      </c>
      <c r="X145">
        <v>15</v>
      </c>
      <c r="Z145">
        <v>0</v>
      </c>
      <c r="AA145" t="s">
        <v>39</v>
      </c>
      <c r="AB145">
        <v>113</v>
      </c>
      <c r="AC145">
        <v>1</v>
      </c>
      <c r="AD145">
        <v>3</v>
      </c>
      <c r="AE145" t="s">
        <v>40</v>
      </c>
      <c r="AF145" s="1">
        <v>42255</v>
      </c>
    </row>
    <row r="146" spans="1:32" x14ac:dyDescent="0.25">
      <c r="A146" t="s">
        <v>41</v>
      </c>
      <c r="B146">
        <v>1</v>
      </c>
      <c r="C146">
        <v>135</v>
      </c>
      <c r="D146">
        <v>2017</v>
      </c>
      <c r="E146" t="s">
        <v>54</v>
      </c>
      <c r="F146">
        <v>16</v>
      </c>
      <c r="G146">
        <v>21</v>
      </c>
      <c r="H146">
        <v>1</v>
      </c>
      <c r="I146">
        <v>2</v>
      </c>
      <c r="J146">
        <v>2</v>
      </c>
      <c r="K146">
        <v>0</v>
      </c>
      <c r="L146">
        <v>0</v>
      </c>
      <c r="M146" t="s">
        <v>34</v>
      </c>
      <c r="N146" t="s">
        <v>43</v>
      </c>
      <c r="O146" t="s">
        <v>64</v>
      </c>
      <c r="P146" t="s">
        <v>45</v>
      </c>
      <c r="Q146">
        <v>0</v>
      </c>
      <c r="R146">
        <v>0</v>
      </c>
      <c r="S146">
        <v>0</v>
      </c>
      <c r="T146" t="s">
        <v>46</v>
      </c>
      <c r="U146" t="s">
        <v>46</v>
      </c>
      <c r="V146">
        <v>0</v>
      </c>
      <c r="W146" t="s">
        <v>68</v>
      </c>
      <c r="X146">
        <v>3</v>
      </c>
      <c r="Z146">
        <v>0</v>
      </c>
      <c r="AA146" t="s">
        <v>39</v>
      </c>
      <c r="AB146">
        <v>90</v>
      </c>
      <c r="AC146">
        <v>0</v>
      </c>
      <c r="AD146">
        <v>0</v>
      </c>
      <c r="AE146" t="s">
        <v>47</v>
      </c>
      <c r="AF146" s="1">
        <v>42711</v>
      </c>
    </row>
    <row r="147" spans="1:32" x14ac:dyDescent="0.25">
      <c r="A147" t="s">
        <v>41</v>
      </c>
      <c r="B147">
        <v>0</v>
      </c>
      <c r="C147">
        <v>36</v>
      </c>
      <c r="D147">
        <v>2016</v>
      </c>
      <c r="E147" t="s">
        <v>62</v>
      </c>
      <c r="F147">
        <v>40</v>
      </c>
      <c r="G147">
        <v>28</v>
      </c>
      <c r="H147">
        <v>0</v>
      </c>
      <c r="I147">
        <v>3</v>
      </c>
      <c r="J147">
        <v>2</v>
      </c>
      <c r="K147">
        <v>0</v>
      </c>
      <c r="L147">
        <v>0</v>
      </c>
      <c r="M147" t="s">
        <v>34</v>
      </c>
      <c r="N147" t="s">
        <v>56</v>
      </c>
      <c r="O147" t="s">
        <v>64</v>
      </c>
      <c r="P147" t="s">
        <v>45</v>
      </c>
      <c r="Q147">
        <v>0</v>
      </c>
      <c r="R147">
        <v>0</v>
      </c>
      <c r="S147">
        <v>0</v>
      </c>
      <c r="T147" t="s">
        <v>46</v>
      </c>
      <c r="U147" t="s">
        <v>86</v>
      </c>
      <c r="V147">
        <v>0</v>
      </c>
      <c r="W147" t="s">
        <v>38</v>
      </c>
      <c r="X147">
        <v>21</v>
      </c>
      <c r="Z147">
        <v>0</v>
      </c>
      <c r="AA147" t="s">
        <v>51</v>
      </c>
      <c r="AB147">
        <v>87</v>
      </c>
      <c r="AC147">
        <v>0</v>
      </c>
      <c r="AD147">
        <v>0</v>
      </c>
      <c r="AE147" t="s">
        <v>40</v>
      </c>
      <c r="AF147" s="1">
        <v>42644</v>
      </c>
    </row>
    <row r="148" spans="1:32" x14ac:dyDescent="0.25">
      <c r="A148" t="s">
        <v>41</v>
      </c>
      <c r="B148">
        <v>0</v>
      </c>
      <c r="C148">
        <v>70</v>
      </c>
      <c r="D148">
        <v>2016</v>
      </c>
      <c r="E148" t="s">
        <v>74</v>
      </c>
      <c r="F148">
        <v>5</v>
      </c>
      <c r="G148">
        <v>27</v>
      </c>
      <c r="H148">
        <v>2</v>
      </c>
      <c r="I148">
        <v>5</v>
      </c>
      <c r="J148">
        <v>2</v>
      </c>
      <c r="K148">
        <v>0</v>
      </c>
      <c r="L148">
        <v>0</v>
      </c>
      <c r="M148" t="s">
        <v>34</v>
      </c>
      <c r="N148" t="s">
        <v>56</v>
      </c>
      <c r="O148" t="s">
        <v>49</v>
      </c>
      <c r="P148" t="s">
        <v>45</v>
      </c>
      <c r="Q148">
        <v>0</v>
      </c>
      <c r="R148">
        <v>0</v>
      </c>
      <c r="S148">
        <v>0</v>
      </c>
      <c r="T148" t="s">
        <v>57</v>
      </c>
      <c r="U148" t="s">
        <v>57</v>
      </c>
      <c r="V148">
        <v>0</v>
      </c>
      <c r="W148" t="s">
        <v>38</v>
      </c>
      <c r="X148">
        <v>27</v>
      </c>
      <c r="Z148">
        <v>0</v>
      </c>
      <c r="AA148" t="s">
        <v>39</v>
      </c>
      <c r="AB148">
        <v>52</v>
      </c>
      <c r="AC148">
        <v>0</v>
      </c>
      <c r="AD148">
        <v>0</v>
      </c>
      <c r="AE148" t="s">
        <v>40</v>
      </c>
      <c r="AF148" s="1">
        <v>42403</v>
      </c>
    </row>
    <row r="149" spans="1:32" x14ac:dyDescent="0.25">
      <c r="A149" t="s">
        <v>32</v>
      </c>
      <c r="B149">
        <v>0</v>
      </c>
      <c r="C149">
        <v>236</v>
      </c>
      <c r="D149">
        <v>2016</v>
      </c>
      <c r="E149" t="s">
        <v>69</v>
      </c>
      <c r="F149">
        <v>20</v>
      </c>
      <c r="G149">
        <v>12</v>
      </c>
      <c r="H149">
        <v>0</v>
      </c>
      <c r="I149">
        <v>3</v>
      </c>
      <c r="J149">
        <v>2</v>
      </c>
      <c r="K149">
        <v>0</v>
      </c>
      <c r="L149">
        <v>0</v>
      </c>
      <c r="M149" t="s">
        <v>34</v>
      </c>
      <c r="N149" t="s">
        <v>35</v>
      </c>
      <c r="O149" t="s">
        <v>64</v>
      </c>
      <c r="P149" t="s">
        <v>45</v>
      </c>
      <c r="Q149">
        <v>0</v>
      </c>
      <c r="R149">
        <v>0</v>
      </c>
      <c r="S149">
        <v>0</v>
      </c>
      <c r="T149" t="s">
        <v>46</v>
      </c>
      <c r="U149" t="s">
        <v>96</v>
      </c>
      <c r="V149">
        <v>0</v>
      </c>
      <c r="W149" t="s">
        <v>38</v>
      </c>
      <c r="X149">
        <v>315</v>
      </c>
      <c r="Z149">
        <v>0</v>
      </c>
      <c r="AA149" t="s">
        <v>51</v>
      </c>
      <c r="AB149">
        <v>54</v>
      </c>
      <c r="AC149">
        <v>1</v>
      </c>
      <c r="AD149">
        <v>0</v>
      </c>
      <c r="AE149" t="s">
        <v>40</v>
      </c>
      <c r="AF149" s="1">
        <v>42505</v>
      </c>
    </row>
    <row r="150" spans="1:32" x14ac:dyDescent="0.25">
      <c r="A150" t="s">
        <v>41</v>
      </c>
      <c r="B150">
        <v>0</v>
      </c>
      <c r="C150">
        <v>1</v>
      </c>
      <c r="D150">
        <v>2017</v>
      </c>
      <c r="E150" t="s">
        <v>66</v>
      </c>
      <c r="F150">
        <v>5</v>
      </c>
      <c r="G150">
        <v>3</v>
      </c>
      <c r="H150">
        <v>1</v>
      </c>
      <c r="I150">
        <v>2</v>
      </c>
      <c r="J150">
        <v>2</v>
      </c>
      <c r="K150">
        <v>0</v>
      </c>
      <c r="L150">
        <v>0</v>
      </c>
      <c r="M150" t="s">
        <v>34</v>
      </c>
      <c r="N150" t="s">
        <v>63</v>
      </c>
      <c r="O150" t="s">
        <v>44</v>
      </c>
      <c r="P150" t="s">
        <v>45</v>
      </c>
      <c r="Q150">
        <v>0</v>
      </c>
      <c r="R150">
        <v>0</v>
      </c>
      <c r="S150">
        <v>0</v>
      </c>
      <c r="T150" t="s">
        <v>46</v>
      </c>
      <c r="U150" t="s">
        <v>46</v>
      </c>
      <c r="V150">
        <v>0</v>
      </c>
      <c r="W150" t="s">
        <v>38</v>
      </c>
      <c r="X150">
        <v>9</v>
      </c>
      <c r="Z150">
        <v>0</v>
      </c>
      <c r="AA150" t="s">
        <v>39</v>
      </c>
      <c r="AB150">
        <v>117</v>
      </c>
      <c r="AC150">
        <v>0</v>
      </c>
      <c r="AD150">
        <v>1</v>
      </c>
      <c r="AE150" t="s">
        <v>40</v>
      </c>
      <c r="AF150" s="1">
        <v>42772</v>
      </c>
    </row>
    <row r="151" spans="1:32" x14ac:dyDescent="0.25">
      <c r="A151" t="s">
        <v>41</v>
      </c>
      <c r="B151">
        <v>1</v>
      </c>
      <c r="C151">
        <v>316</v>
      </c>
      <c r="D151">
        <v>2017</v>
      </c>
      <c r="E151" t="s">
        <v>69</v>
      </c>
      <c r="F151">
        <v>19</v>
      </c>
      <c r="G151">
        <v>10</v>
      </c>
      <c r="H151">
        <v>0</v>
      </c>
      <c r="I151">
        <v>2</v>
      </c>
      <c r="J151">
        <v>2</v>
      </c>
      <c r="K151">
        <v>0</v>
      </c>
      <c r="L151">
        <v>0</v>
      </c>
      <c r="M151" t="s">
        <v>34</v>
      </c>
      <c r="N151" t="s">
        <v>43</v>
      </c>
      <c r="O151" t="s">
        <v>44</v>
      </c>
      <c r="P151" t="s">
        <v>45</v>
      </c>
      <c r="Q151">
        <v>0</v>
      </c>
      <c r="R151">
        <v>0</v>
      </c>
      <c r="S151">
        <v>0</v>
      </c>
      <c r="T151" t="s">
        <v>57</v>
      </c>
      <c r="U151" t="s">
        <v>57</v>
      </c>
      <c r="V151">
        <v>0</v>
      </c>
      <c r="W151" t="s">
        <v>38</v>
      </c>
      <c r="X151">
        <v>9</v>
      </c>
      <c r="Z151">
        <v>0</v>
      </c>
      <c r="AA151" t="s">
        <v>39</v>
      </c>
      <c r="AB151">
        <v>123.3</v>
      </c>
      <c r="AC151">
        <v>0</v>
      </c>
      <c r="AD151">
        <v>1</v>
      </c>
      <c r="AE151" t="s">
        <v>47</v>
      </c>
      <c r="AF151" s="1">
        <v>42744</v>
      </c>
    </row>
    <row r="152" spans="1:32" x14ac:dyDescent="0.25">
      <c r="A152" t="s">
        <v>41</v>
      </c>
      <c r="B152">
        <v>0</v>
      </c>
      <c r="C152">
        <v>200</v>
      </c>
      <c r="D152">
        <v>2015</v>
      </c>
      <c r="E152" t="s">
        <v>59</v>
      </c>
      <c r="F152">
        <v>40</v>
      </c>
      <c r="G152">
        <v>2</v>
      </c>
      <c r="H152">
        <v>1</v>
      </c>
      <c r="I152">
        <v>2</v>
      </c>
      <c r="J152">
        <v>2</v>
      </c>
      <c r="K152">
        <v>0</v>
      </c>
      <c r="L152">
        <v>0</v>
      </c>
      <c r="M152" t="s">
        <v>34</v>
      </c>
      <c r="N152" t="s">
        <v>95</v>
      </c>
      <c r="O152" t="s">
        <v>44</v>
      </c>
      <c r="P152" t="s">
        <v>45</v>
      </c>
      <c r="Q152">
        <v>0</v>
      </c>
      <c r="R152">
        <v>0</v>
      </c>
      <c r="S152">
        <v>0</v>
      </c>
      <c r="T152" t="s">
        <v>46</v>
      </c>
      <c r="U152" t="s">
        <v>46</v>
      </c>
      <c r="V152">
        <v>0</v>
      </c>
      <c r="W152" t="s">
        <v>38</v>
      </c>
      <c r="X152">
        <v>8</v>
      </c>
      <c r="Z152">
        <v>0</v>
      </c>
      <c r="AA152" t="s">
        <v>39</v>
      </c>
      <c r="AB152">
        <v>89.25</v>
      </c>
      <c r="AC152">
        <v>0</v>
      </c>
      <c r="AD152">
        <v>1</v>
      </c>
      <c r="AE152" t="s">
        <v>40</v>
      </c>
      <c r="AF152" s="1">
        <v>42282</v>
      </c>
    </row>
    <row r="153" spans="1:32" x14ac:dyDescent="0.25">
      <c r="A153" t="s">
        <v>41</v>
      </c>
      <c r="B153">
        <v>1</v>
      </c>
      <c r="C153">
        <v>277</v>
      </c>
      <c r="D153">
        <v>2016</v>
      </c>
      <c r="E153" t="s">
        <v>61</v>
      </c>
      <c r="F153">
        <v>46</v>
      </c>
      <c r="G153">
        <v>7</v>
      </c>
      <c r="H153">
        <v>1</v>
      </c>
      <c r="I153">
        <v>2</v>
      </c>
      <c r="J153">
        <v>2</v>
      </c>
      <c r="K153">
        <v>0</v>
      </c>
      <c r="L153">
        <v>0</v>
      </c>
      <c r="M153" t="s">
        <v>34</v>
      </c>
      <c r="N153" t="s">
        <v>43</v>
      </c>
      <c r="O153" t="s">
        <v>64</v>
      </c>
      <c r="P153" t="s">
        <v>45</v>
      </c>
      <c r="Q153">
        <v>0</v>
      </c>
      <c r="R153">
        <v>0</v>
      </c>
      <c r="S153">
        <v>0</v>
      </c>
      <c r="T153" t="s">
        <v>46</v>
      </c>
      <c r="U153" t="s">
        <v>46</v>
      </c>
      <c r="V153">
        <v>0</v>
      </c>
      <c r="W153" t="s">
        <v>68</v>
      </c>
      <c r="Z153">
        <v>0</v>
      </c>
      <c r="AA153" t="s">
        <v>39</v>
      </c>
      <c r="AB153">
        <v>100</v>
      </c>
      <c r="AC153">
        <v>0</v>
      </c>
      <c r="AD153">
        <v>0</v>
      </c>
      <c r="AE153" t="s">
        <v>47</v>
      </c>
      <c r="AF153" s="1">
        <v>42464</v>
      </c>
    </row>
    <row r="154" spans="1:32" x14ac:dyDescent="0.25">
      <c r="A154" t="s">
        <v>41</v>
      </c>
      <c r="B154">
        <v>0</v>
      </c>
      <c r="C154">
        <v>2</v>
      </c>
      <c r="D154">
        <v>2015</v>
      </c>
      <c r="E154" t="s">
        <v>67</v>
      </c>
      <c r="F154">
        <v>33</v>
      </c>
      <c r="G154">
        <v>9</v>
      </c>
      <c r="H154">
        <v>1</v>
      </c>
      <c r="I154">
        <v>0</v>
      </c>
      <c r="J154">
        <v>2</v>
      </c>
      <c r="K154">
        <v>0</v>
      </c>
      <c r="L154">
        <v>0</v>
      </c>
      <c r="M154" t="s">
        <v>34</v>
      </c>
      <c r="N154" t="s">
        <v>43</v>
      </c>
      <c r="O154" t="s">
        <v>36</v>
      </c>
      <c r="P154" t="s">
        <v>36</v>
      </c>
      <c r="Q154">
        <v>0</v>
      </c>
      <c r="R154">
        <v>0</v>
      </c>
      <c r="S154">
        <v>0</v>
      </c>
      <c r="T154" t="s">
        <v>72</v>
      </c>
      <c r="U154" t="s">
        <v>72</v>
      </c>
      <c r="V154">
        <v>0</v>
      </c>
      <c r="W154" t="s">
        <v>38</v>
      </c>
      <c r="Z154">
        <v>0</v>
      </c>
      <c r="AA154" t="s">
        <v>39</v>
      </c>
      <c r="AB154">
        <v>67.5</v>
      </c>
      <c r="AC154">
        <v>0</v>
      </c>
      <c r="AD154">
        <v>2</v>
      </c>
      <c r="AE154" t="s">
        <v>40</v>
      </c>
      <c r="AF154" s="1">
        <v>42226</v>
      </c>
    </row>
    <row r="155" spans="1:32" x14ac:dyDescent="0.25">
      <c r="A155" t="s">
        <v>32</v>
      </c>
      <c r="B155">
        <v>0</v>
      </c>
      <c r="C155">
        <v>242</v>
      </c>
      <c r="D155">
        <v>2017</v>
      </c>
      <c r="E155" t="s">
        <v>69</v>
      </c>
      <c r="F155">
        <v>18</v>
      </c>
      <c r="G155">
        <v>1</v>
      </c>
      <c r="H155">
        <v>4</v>
      </c>
      <c r="I155">
        <v>10</v>
      </c>
      <c r="J155">
        <v>2</v>
      </c>
      <c r="K155">
        <v>0</v>
      </c>
      <c r="L155">
        <v>0</v>
      </c>
      <c r="M155" t="s">
        <v>60</v>
      </c>
      <c r="N155" t="s">
        <v>56</v>
      </c>
      <c r="O155" t="s">
        <v>49</v>
      </c>
      <c r="P155" t="s">
        <v>45</v>
      </c>
      <c r="Q155">
        <v>0</v>
      </c>
      <c r="R155">
        <v>0</v>
      </c>
      <c r="S155">
        <v>0</v>
      </c>
      <c r="T155" t="s">
        <v>72</v>
      </c>
      <c r="U155" t="s">
        <v>72</v>
      </c>
      <c r="V155">
        <v>0</v>
      </c>
      <c r="W155" t="s">
        <v>38</v>
      </c>
      <c r="X155">
        <v>75</v>
      </c>
      <c r="Z155">
        <v>0</v>
      </c>
      <c r="AA155" t="s">
        <v>39</v>
      </c>
      <c r="AB155">
        <v>84.15</v>
      </c>
      <c r="AC155">
        <v>0</v>
      </c>
      <c r="AD155">
        <v>1</v>
      </c>
      <c r="AE155" t="s">
        <v>40</v>
      </c>
      <c r="AF155" s="1">
        <v>42870</v>
      </c>
    </row>
    <row r="156" spans="1:32" x14ac:dyDescent="0.25">
      <c r="A156" t="s">
        <v>41</v>
      </c>
      <c r="B156">
        <v>0</v>
      </c>
      <c r="C156">
        <v>4</v>
      </c>
      <c r="D156">
        <v>2016</v>
      </c>
      <c r="E156" t="s">
        <v>66</v>
      </c>
      <c r="F156">
        <v>7</v>
      </c>
      <c r="G156">
        <v>7</v>
      </c>
      <c r="H156">
        <v>2</v>
      </c>
      <c r="I156">
        <v>2</v>
      </c>
      <c r="J156">
        <v>1</v>
      </c>
      <c r="K156">
        <v>0</v>
      </c>
      <c r="L156">
        <v>0</v>
      </c>
      <c r="M156" t="s">
        <v>34</v>
      </c>
      <c r="N156" t="s">
        <v>70</v>
      </c>
      <c r="O156" t="s">
        <v>44</v>
      </c>
      <c r="P156" t="s">
        <v>45</v>
      </c>
      <c r="Q156">
        <v>0</v>
      </c>
      <c r="R156">
        <v>0</v>
      </c>
      <c r="S156">
        <v>0</v>
      </c>
      <c r="T156" t="s">
        <v>46</v>
      </c>
      <c r="U156" t="s">
        <v>46</v>
      </c>
      <c r="V156">
        <v>0</v>
      </c>
      <c r="W156" t="s">
        <v>38</v>
      </c>
      <c r="X156">
        <v>7</v>
      </c>
      <c r="Z156">
        <v>0</v>
      </c>
      <c r="AA156" t="s">
        <v>39</v>
      </c>
      <c r="AB156">
        <v>76.22</v>
      </c>
      <c r="AC156">
        <v>1</v>
      </c>
      <c r="AD156">
        <v>1</v>
      </c>
      <c r="AE156" t="s">
        <v>40</v>
      </c>
      <c r="AF156" s="1">
        <v>42411</v>
      </c>
    </row>
    <row r="157" spans="1:32" x14ac:dyDescent="0.25">
      <c r="A157" t="s">
        <v>41</v>
      </c>
      <c r="B157">
        <v>1</v>
      </c>
      <c r="C157">
        <v>56</v>
      </c>
      <c r="D157">
        <v>2016</v>
      </c>
      <c r="E157" t="s">
        <v>83</v>
      </c>
      <c r="F157">
        <v>24</v>
      </c>
      <c r="G157">
        <v>8</v>
      </c>
      <c r="H157">
        <v>0</v>
      </c>
      <c r="I157">
        <v>1</v>
      </c>
      <c r="J157">
        <v>2</v>
      </c>
      <c r="K157">
        <v>0</v>
      </c>
      <c r="L157">
        <v>0</v>
      </c>
      <c r="M157" t="s">
        <v>34</v>
      </c>
      <c r="N157" t="s">
        <v>43</v>
      </c>
      <c r="O157" t="s">
        <v>49</v>
      </c>
      <c r="P157" t="s">
        <v>76</v>
      </c>
      <c r="Q157">
        <v>0</v>
      </c>
      <c r="R157">
        <v>0</v>
      </c>
      <c r="S157">
        <v>0</v>
      </c>
      <c r="T157" t="s">
        <v>46</v>
      </c>
      <c r="U157" t="s">
        <v>46</v>
      </c>
      <c r="V157">
        <v>0</v>
      </c>
      <c r="W157" t="s">
        <v>38</v>
      </c>
      <c r="X157">
        <v>191</v>
      </c>
      <c r="Z157">
        <v>0</v>
      </c>
      <c r="AA157" t="s">
        <v>51</v>
      </c>
      <c r="AB157">
        <v>120</v>
      </c>
      <c r="AC157">
        <v>0</v>
      </c>
      <c r="AD157">
        <v>0</v>
      </c>
      <c r="AE157" t="s">
        <v>47</v>
      </c>
      <c r="AF157" s="1">
        <v>42523</v>
      </c>
    </row>
    <row r="158" spans="1:32" x14ac:dyDescent="0.25">
      <c r="A158" t="s">
        <v>41</v>
      </c>
      <c r="B158">
        <v>1</v>
      </c>
      <c r="C158">
        <v>253</v>
      </c>
      <c r="D158">
        <v>2016</v>
      </c>
      <c r="E158" t="s">
        <v>62</v>
      </c>
      <c r="F158">
        <v>40</v>
      </c>
      <c r="G158">
        <v>26</v>
      </c>
      <c r="H158">
        <v>1</v>
      </c>
      <c r="I158">
        <v>2</v>
      </c>
      <c r="J158">
        <v>1</v>
      </c>
      <c r="K158">
        <v>0</v>
      </c>
      <c r="L158">
        <v>0</v>
      </c>
      <c r="M158" t="s">
        <v>34</v>
      </c>
      <c r="N158" t="s">
        <v>71</v>
      </c>
      <c r="O158" t="s">
        <v>44</v>
      </c>
      <c r="P158" t="s">
        <v>45</v>
      </c>
      <c r="Q158">
        <v>0</v>
      </c>
      <c r="R158">
        <v>0</v>
      </c>
      <c r="S158">
        <v>0</v>
      </c>
      <c r="T158" t="s">
        <v>46</v>
      </c>
      <c r="U158" t="s">
        <v>46</v>
      </c>
      <c r="V158">
        <v>1</v>
      </c>
      <c r="W158" t="s">
        <v>38</v>
      </c>
      <c r="X158">
        <v>9</v>
      </c>
      <c r="Z158">
        <v>0</v>
      </c>
      <c r="AA158" t="s">
        <v>39</v>
      </c>
      <c r="AB158">
        <v>2</v>
      </c>
      <c r="AC158">
        <v>0</v>
      </c>
      <c r="AD158">
        <v>0</v>
      </c>
      <c r="AE158" t="s">
        <v>47</v>
      </c>
      <c r="AF158" s="1">
        <v>42387</v>
      </c>
    </row>
    <row r="159" spans="1:32" x14ac:dyDescent="0.25">
      <c r="A159" t="s">
        <v>41</v>
      </c>
      <c r="B159">
        <v>1</v>
      </c>
      <c r="C159">
        <v>357</v>
      </c>
      <c r="D159">
        <v>2017</v>
      </c>
      <c r="E159" t="s">
        <v>69</v>
      </c>
      <c r="F159">
        <v>21</v>
      </c>
      <c r="G159">
        <v>24</v>
      </c>
      <c r="H159">
        <v>0</v>
      </c>
      <c r="I159">
        <v>2</v>
      </c>
      <c r="J159">
        <v>2</v>
      </c>
      <c r="K159">
        <v>0</v>
      </c>
      <c r="L159">
        <v>0</v>
      </c>
      <c r="M159" t="s">
        <v>34</v>
      </c>
      <c r="N159" t="s">
        <v>35</v>
      </c>
      <c r="O159" t="s">
        <v>44</v>
      </c>
      <c r="P159" t="s">
        <v>45</v>
      </c>
      <c r="Q159">
        <v>0</v>
      </c>
      <c r="R159">
        <v>0</v>
      </c>
      <c r="S159">
        <v>0</v>
      </c>
      <c r="T159" t="s">
        <v>46</v>
      </c>
      <c r="U159" t="s">
        <v>46</v>
      </c>
      <c r="V159">
        <v>0</v>
      </c>
      <c r="W159" t="s">
        <v>38</v>
      </c>
      <c r="X159">
        <v>9</v>
      </c>
      <c r="Z159">
        <v>0</v>
      </c>
      <c r="AA159" t="s">
        <v>39</v>
      </c>
      <c r="AB159">
        <v>109.8</v>
      </c>
      <c r="AC159">
        <v>0</v>
      </c>
      <c r="AD159">
        <v>1</v>
      </c>
      <c r="AE159" t="s">
        <v>47</v>
      </c>
      <c r="AF159" s="1">
        <v>42865</v>
      </c>
    </row>
    <row r="160" spans="1:32" x14ac:dyDescent="0.25">
      <c r="A160" t="s">
        <v>41</v>
      </c>
      <c r="B160">
        <v>1</v>
      </c>
      <c r="C160">
        <v>118</v>
      </c>
      <c r="D160">
        <v>2017</v>
      </c>
      <c r="E160" t="s">
        <v>83</v>
      </c>
      <c r="F160">
        <v>23</v>
      </c>
      <c r="G160">
        <v>10</v>
      </c>
      <c r="H160">
        <v>0</v>
      </c>
      <c r="I160">
        <v>1</v>
      </c>
      <c r="J160">
        <v>2</v>
      </c>
      <c r="K160">
        <v>0</v>
      </c>
      <c r="L160">
        <v>0</v>
      </c>
      <c r="M160" t="s">
        <v>34</v>
      </c>
      <c r="N160" t="s">
        <v>53</v>
      </c>
      <c r="O160" t="s">
        <v>44</v>
      </c>
      <c r="P160" t="s">
        <v>45</v>
      </c>
      <c r="Q160">
        <v>0</v>
      </c>
      <c r="R160">
        <v>0</v>
      </c>
      <c r="S160">
        <v>0</v>
      </c>
      <c r="T160" t="s">
        <v>46</v>
      </c>
      <c r="U160" t="s">
        <v>46</v>
      </c>
      <c r="V160">
        <v>0</v>
      </c>
      <c r="W160" t="s">
        <v>38</v>
      </c>
      <c r="X160">
        <v>9</v>
      </c>
      <c r="Z160">
        <v>0</v>
      </c>
      <c r="AA160" t="s">
        <v>39</v>
      </c>
      <c r="AB160">
        <v>160</v>
      </c>
      <c r="AC160">
        <v>0</v>
      </c>
      <c r="AD160">
        <v>0</v>
      </c>
      <c r="AE160" t="s">
        <v>47</v>
      </c>
      <c r="AF160" s="1">
        <v>42851</v>
      </c>
    </row>
    <row r="161" spans="1:32" x14ac:dyDescent="0.25">
      <c r="A161" t="s">
        <v>32</v>
      </c>
      <c r="B161">
        <v>0</v>
      </c>
      <c r="C161">
        <v>170</v>
      </c>
      <c r="D161">
        <v>2017</v>
      </c>
      <c r="E161" t="s">
        <v>42</v>
      </c>
      <c r="F161">
        <v>29</v>
      </c>
      <c r="G161">
        <v>16</v>
      </c>
      <c r="H161">
        <v>5</v>
      </c>
      <c r="I161">
        <v>10</v>
      </c>
      <c r="J161">
        <v>2</v>
      </c>
      <c r="K161">
        <v>0</v>
      </c>
      <c r="L161">
        <v>0</v>
      </c>
      <c r="M161" t="s">
        <v>60</v>
      </c>
      <c r="N161" t="s">
        <v>70</v>
      </c>
      <c r="O161" t="s">
        <v>49</v>
      </c>
      <c r="P161" t="s">
        <v>45</v>
      </c>
      <c r="Q161">
        <v>0</v>
      </c>
      <c r="R161">
        <v>0</v>
      </c>
      <c r="S161">
        <v>0</v>
      </c>
      <c r="T161" t="s">
        <v>72</v>
      </c>
      <c r="U161" t="s">
        <v>72</v>
      </c>
      <c r="V161">
        <v>0</v>
      </c>
      <c r="W161" t="s">
        <v>38</v>
      </c>
      <c r="X161">
        <v>6</v>
      </c>
      <c r="Z161">
        <v>0</v>
      </c>
      <c r="AA161" t="s">
        <v>39</v>
      </c>
      <c r="AB161">
        <v>163.80000000000001</v>
      </c>
      <c r="AC161">
        <v>0</v>
      </c>
      <c r="AD161">
        <v>0</v>
      </c>
      <c r="AE161" t="s">
        <v>40</v>
      </c>
      <c r="AF161" s="1">
        <v>42947</v>
      </c>
    </row>
    <row r="162" spans="1:32" x14ac:dyDescent="0.25">
      <c r="A162" t="s">
        <v>32</v>
      </c>
      <c r="B162">
        <v>0</v>
      </c>
      <c r="C162">
        <v>207</v>
      </c>
      <c r="D162">
        <v>2016</v>
      </c>
      <c r="E162" t="s">
        <v>59</v>
      </c>
      <c r="F162">
        <v>41</v>
      </c>
      <c r="G162">
        <v>4</v>
      </c>
      <c r="H162">
        <v>1</v>
      </c>
      <c r="I162">
        <v>5</v>
      </c>
      <c r="J162">
        <v>2</v>
      </c>
      <c r="K162">
        <v>0</v>
      </c>
      <c r="L162">
        <v>0</v>
      </c>
      <c r="M162" t="s">
        <v>60</v>
      </c>
      <c r="N162" t="s">
        <v>35</v>
      </c>
      <c r="O162" t="s">
        <v>49</v>
      </c>
      <c r="P162" t="s">
        <v>45</v>
      </c>
      <c r="Q162">
        <v>0</v>
      </c>
      <c r="R162">
        <v>0</v>
      </c>
      <c r="S162">
        <v>0</v>
      </c>
      <c r="T162" t="s">
        <v>46</v>
      </c>
      <c r="U162" t="s">
        <v>46</v>
      </c>
      <c r="V162">
        <v>1</v>
      </c>
      <c r="W162" t="s">
        <v>38</v>
      </c>
      <c r="X162">
        <v>243</v>
      </c>
      <c r="Z162">
        <v>0</v>
      </c>
      <c r="AA162" t="s">
        <v>39</v>
      </c>
      <c r="AB162">
        <v>70</v>
      </c>
      <c r="AC162">
        <v>0</v>
      </c>
      <c r="AD162">
        <v>0</v>
      </c>
      <c r="AE162" t="s">
        <v>40</v>
      </c>
      <c r="AF162" s="1">
        <v>42653</v>
      </c>
    </row>
    <row r="163" spans="1:32" x14ac:dyDescent="0.25">
      <c r="A163" t="s">
        <v>41</v>
      </c>
      <c r="B163">
        <v>1</v>
      </c>
      <c r="C163">
        <v>87</v>
      </c>
      <c r="D163">
        <v>2017</v>
      </c>
      <c r="E163" t="s">
        <v>54</v>
      </c>
      <c r="F163">
        <v>15</v>
      </c>
      <c r="G163">
        <v>15</v>
      </c>
      <c r="H163">
        <v>2</v>
      </c>
      <c r="I163">
        <v>2</v>
      </c>
      <c r="J163">
        <v>2</v>
      </c>
      <c r="K163">
        <v>0</v>
      </c>
      <c r="L163">
        <v>0</v>
      </c>
      <c r="M163" t="s">
        <v>34</v>
      </c>
      <c r="N163" t="s">
        <v>43</v>
      </c>
      <c r="O163" t="s">
        <v>64</v>
      </c>
      <c r="P163" t="s">
        <v>45</v>
      </c>
      <c r="Q163">
        <v>0</v>
      </c>
      <c r="R163">
        <v>0</v>
      </c>
      <c r="S163">
        <v>0</v>
      </c>
      <c r="T163" t="s">
        <v>46</v>
      </c>
      <c r="U163" t="s">
        <v>46</v>
      </c>
      <c r="V163">
        <v>0</v>
      </c>
      <c r="W163" t="s">
        <v>68</v>
      </c>
      <c r="X163">
        <v>1</v>
      </c>
      <c r="Z163">
        <v>0</v>
      </c>
      <c r="AA163" t="s">
        <v>39</v>
      </c>
      <c r="AB163">
        <v>95</v>
      </c>
      <c r="AC163">
        <v>0</v>
      </c>
      <c r="AD163">
        <v>0</v>
      </c>
      <c r="AE163" t="s">
        <v>47</v>
      </c>
      <c r="AF163" s="1">
        <v>42753</v>
      </c>
    </row>
    <row r="164" spans="1:32" x14ac:dyDescent="0.25">
      <c r="A164" t="s">
        <v>41</v>
      </c>
      <c r="B164">
        <v>1</v>
      </c>
      <c r="C164">
        <v>37</v>
      </c>
      <c r="D164">
        <v>2017</v>
      </c>
      <c r="E164" t="s">
        <v>52</v>
      </c>
      <c r="F164">
        <v>11</v>
      </c>
      <c r="G164">
        <v>15</v>
      </c>
      <c r="H164">
        <v>0</v>
      </c>
      <c r="I164">
        <v>2</v>
      </c>
      <c r="J164">
        <v>2</v>
      </c>
      <c r="K164">
        <v>0</v>
      </c>
      <c r="L164">
        <v>0</v>
      </c>
      <c r="M164" t="s">
        <v>34</v>
      </c>
      <c r="N164" t="s">
        <v>43</v>
      </c>
      <c r="O164" t="s">
        <v>64</v>
      </c>
      <c r="P164" t="s">
        <v>45</v>
      </c>
      <c r="Q164">
        <v>0</v>
      </c>
      <c r="R164">
        <v>0</v>
      </c>
      <c r="S164">
        <v>0</v>
      </c>
      <c r="T164" t="s">
        <v>46</v>
      </c>
      <c r="U164" t="s">
        <v>46</v>
      </c>
      <c r="V164">
        <v>0</v>
      </c>
      <c r="W164" t="s">
        <v>68</v>
      </c>
      <c r="X164">
        <v>378</v>
      </c>
      <c r="Z164">
        <v>0</v>
      </c>
      <c r="AA164" t="s">
        <v>39</v>
      </c>
      <c r="AB164">
        <v>110</v>
      </c>
      <c r="AC164">
        <v>0</v>
      </c>
      <c r="AD164">
        <v>0</v>
      </c>
      <c r="AE164" t="s">
        <v>47</v>
      </c>
      <c r="AF164" s="1">
        <v>42772</v>
      </c>
    </row>
    <row r="165" spans="1:32" x14ac:dyDescent="0.25">
      <c r="A165" t="s">
        <v>41</v>
      </c>
      <c r="B165">
        <v>0</v>
      </c>
      <c r="C165">
        <v>110</v>
      </c>
      <c r="D165">
        <v>2017</v>
      </c>
      <c r="E165" t="s">
        <v>54</v>
      </c>
      <c r="F165">
        <v>15</v>
      </c>
      <c r="G165">
        <v>10</v>
      </c>
      <c r="H165">
        <v>1</v>
      </c>
      <c r="I165">
        <v>2</v>
      </c>
      <c r="J165">
        <v>2</v>
      </c>
      <c r="K165">
        <v>0</v>
      </c>
      <c r="L165">
        <v>0</v>
      </c>
      <c r="M165" t="s">
        <v>55</v>
      </c>
      <c r="N165" t="s">
        <v>95</v>
      </c>
      <c r="O165" t="s">
        <v>44</v>
      </c>
      <c r="P165" t="s">
        <v>45</v>
      </c>
      <c r="Q165">
        <v>0</v>
      </c>
      <c r="R165">
        <v>0</v>
      </c>
      <c r="S165">
        <v>0</v>
      </c>
      <c r="T165" t="s">
        <v>46</v>
      </c>
      <c r="U165" t="s">
        <v>46</v>
      </c>
      <c r="V165">
        <v>0</v>
      </c>
      <c r="W165" t="s">
        <v>38</v>
      </c>
      <c r="X165">
        <v>9</v>
      </c>
      <c r="Z165">
        <v>0</v>
      </c>
      <c r="AA165" t="s">
        <v>39</v>
      </c>
      <c r="AB165">
        <v>99</v>
      </c>
      <c r="AC165">
        <v>0</v>
      </c>
      <c r="AD165">
        <v>1</v>
      </c>
      <c r="AE165" t="s">
        <v>40</v>
      </c>
      <c r="AF165" s="1">
        <v>42838</v>
      </c>
    </row>
    <row r="166" spans="1:32" x14ac:dyDescent="0.25">
      <c r="A166" t="s">
        <v>32</v>
      </c>
      <c r="B166">
        <v>0</v>
      </c>
      <c r="C166">
        <v>0</v>
      </c>
      <c r="D166">
        <v>2015</v>
      </c>
      <c r="E166" t="s">
        <v>61</v>
      </c>
      <c r="F166">
        <v>45</v>
      </c>
      <c r="G166">
        <v>4</v>
      </c>
      <c r="H166">
        <v>0</v>
      </c>
      <c r="I166">
        <v>2</v>
      </c>
      <c r="J166">
        <v>1</v>
      </c>
      <c r="K166">
        <v>0</v>
      </c>
      <c r="L166">
        <v>0</v>
      </c>
      <c r="M166" t="s">
        <v>34</v>
      </c>
      <c r="N166" t="s">
        <v>43</v>
      </c>
      <c r="O166" t="s">
        <v>44</v>
      </c>
      <c r="P166" t="s">
        <v>45</v>
      </c>
      <c r="Q166">
        <v>0</v>
      </c>
      <c r="R166">
        <v>0</v>
      </c>
      <c r="S166">
        <v>0</v>
      </c>
      <c r="T166" t="s">
        <v>46</v>
      </c>
      <c r="U166" t="s">
        <v>46</v>
      </c>
      <c r="V166">
        <v>1</v>
      </c>
      <c r="W166" t="s">
        <v>38</v>
      </c>
      <c r="X166">
        <v>240</v>
      </c>
      <c r="Z166">
        <v>0</v>
      </c>
      <c r="AA166" t="s">
        <v>39</v>
      </c>
      <c r="AB166">
        <v>44.1</v>
      </c>
      <c r="AC166">
        <v>0</v>
      </c>
      <c r="AD166">
        <v>1</v>
      </c>
      <c r="AE166" t="s">
        <v>40</v>
      </c>
      <c r="AF166" s="1">
        <v>42314</v>
      </c>
    </row>
    <row r="167" spans="1:32" x14ac:dyDescent="0.25">
      <c r="A167" t="s">
        <v>41</v>
      </c>
      <c r="B167">
        <v>1</v>
      </c>
      <c r="C167">
        <v>74</v>
      </c>
      <c r="D167">
        <v>2015</v>
      </c>
      <c r="E167" t="s">
        <v>62</v>
      </c>
      <c r="F167">
        <v>38</v>
      </c>
      <c r="G167">
        <v>18</v>
      </c>
      <c r="H167">
        <v>0</v>
      </c>
      <c r="I167">
        <v>2</v>
      </c>
      <c r="J167">
        <v>2</v>
      </c>
      <c r="K167">
        <v>0</v>
      </c>
      <c r="L167">
        <v>0</v>
      </c>
      <c r="M167" t="s">
        <v>60</v>
      </c>
      <c r="N167" t="s">
        <v>43</v>
      </c>
      <c r="O167" t="s">
        <v>49</v>
      </c>
      <c r="P167" t="s">
        <v>45</v>
      </c>
      <c r="Q167">
        <v>0</v>
      </c>
      <c r="R167">
        <v>0</v>
      </c>
      <c r="S167">
        <v>0</v>
      </c>
      <c r="T167" t="s">
        <v>46</v>
      </c>
      <c r="U167" t="s">
        <v>46</v>
      </c>
      <c r="V167">
        <v>0</v>
      </c>
      <c r="W167" t="s">
        <v>68</v>
      </c>
      <c r="X167">
        <v>6</v>
      </c>
      <c r="Z167">
        <v>0</v>
      </c>
      <c r="AA167" t="s">
        <v>51</v>
      </c>
      <c r="AB167">
        <v>101.5</v>
      </c>
      <c r="AC167">
        <v>0</v>
      </c>
      <c r="AD167">
        <v>0</v>
      </c>
      <c r="AE167" t="s">
        <v>47</v>
      </c>
      <c r="AF167" s="1">
        <v>42191</v>
      </c>
    </row>
    <row r="168" spans="1:32" x14ac:dyDescent="0.25">
      <c r="A168" t="s">
        <v>32</v>
      </c>
      <c r="B168">
        <v>0</v>
      </c>
      <c r="C168">
        <v>143</v>
      </c>
      <c r="D168">
        <v>2017</v>
      </c>
      <c r="E168" t="s">
        <v>52</v>
      </c>
      <c r="F168">
        <v>10</v>
      </c>
      <c r="G168">
        <v>5</v>
      </c>
      <c r="H168">
        <v>2</v>
      </c>
      <c r="I168">
        <v>5</v>
      </c>
      <c r="J168">
        <v>2</v>
      </c>
      <c r="K168">
        <v>0</v>
      </c>
      <c r="L168">
        <v>0</v>
      </c>
      <c r="M168" t="s">
        <v>60</v>
      </c>
      <c r="N168" t="s">
        <v>56</v>
      </c>
      <c r="O168" t="s">
        <v>49</v>
      </c>
      <c r="P168" t="s">
        <v>45</v>
      </c>
      <c r="Q168">
        <v>0</v>
      </c>
      <c r="R168">
        <v>0</v>
      </c>
      <c r="S168">
        <v>0</v>
      </c>
      <c r="T168" t="s">
        <v>57</v>
      </c>
      <c r="U168" t="s">
        <v>72</v>
      </c>
      <c r="V168">
        <v>0</v>
      </c>
      <c r="W168" t="s">
        <v>38</v>
      </c>
      <c r="X168">
        <v>177</v>
      </c>
      <c r="Z168">
        <v>0</v>
      </c>
      <c r="AA168" t="s">
        <v>39</v>
      </c>
      <c r="AB168">
        <v>52.4</v>
      </c>
      <c r="AC168">
        <v>0</v>
      </c>
      <c r="AD168">
        <v>0</v>
      </c>
      <c r="AE168" t="s">
        <v>40</v>
      </c>
      <c r="AF168" s="1">
        <v>42806</v>
      </c>
    </row>
    <row r="169" spans="1:32" x14ac:dyDescent="0.25">
      <c r="A169" t="s">
        <v>41</v>
      </c>
      <c r="B169">
        <v>0</v>
      </c>
      <c r="C169">
        <v>2</v>
      </c>
      <c r="D169">
        <v>2015</v>
      </c>
      <c r="E169" t="s">
        <v>33</v>
      </c>
      <c r="F169">
        <v>50</v>
      </c>
      <c r="G169">
        <v>11</v>
      </c>
      <c r="H169">
        <v>0</v>
      </c>
      <c r="I169">
        <v>1</v>
      </c>
      <c r="J169">
        <v>2</v>
      </c>
      <c r="K169">
        <v>0</v>
      </c>
      <c r="L169">
        <v>0</v>
      </c>
      <c r="M169" t="s">
        <v>55</v>
      </c>
      <c r="N169" t="s">
        <v>43</v>
      </c>
      <c r="O169" t="s">
        <v>44</v>
      </c>
      <c r="P169" t="s">
        <v>45</v>
      </c>
      <c r="Q169">
        <v>0</v>
      </c>
      <c r="R169">
        <v>0</v>
      </c>
      <c r="S169">
        <v>0</v>
      </c>
      <c r="T169" t="s">
        <v>46</v>
      </c>
      <c r="U169" t="s">
        <v>46</v>
      </c>
      <c r="V169">
        <v>0</v>
      </c>
      <c r="W169" t="s">
        <v>38</v>
      </c>
      <c r="X169">
        <v>9</v>
      </c>
      <c r="Z169">
        <v>0</v>
      </c>
      <c r="AA169" t="s">
        <v>39</v>
      </c>
      <c r="AB169">
        <v>94</v>
      </c>
      <c r="AC169">
        <v>1</v>
      </c>
      <c r="AD169">
        <v>0</v>
      </c>
      <c r="AE169" t="s">
        <v>40</v>
      </c>
      <c r="AF169" s="1">
        <v>42350</v>
      </c>
    </row>
    <row r="170" spans="1:32" x14ac:dyDescent="0.25">
      <c r="A170" t="s">
        <v>41</v>
      </c>
      <c r="B170">
        <v>1</v>
      </c>
      <c r="C170">
        <v>344</v>
      </c>
      <c r="D170">
        <v>2016</v>
      </c>
      <c r="E170" t="s">
        <v>83</v>
      </c>
      <c r="F170">
        <v>25</v>
      </c>
      <c r="G170">
        <v>16</v>
      </c>
      <c r="H170">
        <v>0</v>
      </c>
      <c r="I170">
        <v>2</v>
      </c>
      <c r="J170">
        <v>2</v>
      </c>
      <c r="K170">
        <v>0</v>
      </c>
      <c r="L170">
        <v>0</v>
      </c>
      <c r="M170" t="s">
        <v>34</v>
      </c>
      <c r="N170" t="s">
        <v>43</v>
      </c>
      <c r="O170" t="s">
        <v>64</v>
      </c>
      <c r="P170" t="s">
        <v>45</v>
      </c>
      <c r="Q170">
        <v>0</v>
      </c>
      <c r="R170">
        <v>0</v>
      </c>
      <c r="S170">
        <v>0</v>
      </c>
      <c r="T170" t="s">
        <v>46</v>
      </c>
      <c r="U170" t="s">
        <v>46</v>
      </c>
      <c r="V170">
        <v>0</v>
      </c>
      <c r="W170" t="s">
        <v>68</v>
      </c>
      <c r="X170">
        <v>1</v>
      </c>
      <c r="Z170">
        <v>0</v>
      </c>
      <c r="AA170" t="s">
        <v>39</v>
      </c>
      <c r="AB170">
        <v>62</v>
      </c>
      <c r="AC170">
        <v>0</v>
      </c>
      <c r="AD170">
        <v>0</v>
      </c>
      <c r="AE170" t="s">
        <v>47</v>
      </c>
      <c r="AF170" s="1">
        <v>42298</v>
      </c>
    </row>
    <row r="171" spans="1:32" x14ac:dyDescent="0.25">
      <c r="A171" t="s">
        <v>41</v>
      </c>
      <c r="B171">
        <v>1</v>
      </c>
      <c r="C171">
        <v>43</v>
      </c>
      <c r="D171">
        <v>2016</v>
      </c>
      <c r="E171" t="s">
        <v>61</v>
      </c>
      <c r="F171">
        <v>49</v>
      </c>
      <c r="G171">
        <v>29</v>
      </c>
      <c r="H171">
        <v>4</v>
      </c>
      <c r="I171">
        <v>11</v>
      </c>
      <c r="J171">
        <v>1</v>
      </c>
      <c r="K171">
        <v>0</v>
      </c>
      <c r="L171">
        <v>0</v>
      </c>
      <c r="M171" t="s">
        <v>34</v>
      </c>
      <c r="N171" t="s">
        <v>97</v>
      </c>
      <c r="O171" t="s">
        <v>44</v>
      </c>
      <c r="P171" t="s">
        <v>45</v>
      </c>
      <c r="Q171">
        <v>0</v>
      </c>
      <c r="R171">
        <v>0</v>
      </c>
      <c r="S171">
        <v>0</v>
      </c>
      <c r="T171" t="s">
        <v>46</v>
      </c>
      <c r="U171" t="s">
        <v>46</v>
      </c>
      <c r="V171">
        <v>0</v>
      </c>
      <c r="W171" t="s">
        <v>38</v>
      </c>
      <c r="X171">
        <v>9</v>
      </c>
      <c r="Z171">
        <v>0</v>
      </c>
      <c r="AA171" t="s">
        <v>39</v>
      </c>
      <c r="AB171">
        <v>74.8</v>
      </c>
      <c r="AC171">
        <v>0</v>
      </c>
      <c r="AD171">
        <v>1</v>
      </c>
      <c r="AE171" t="s">
        <v>47</v>
      </c>
      <c r="AF171" s="1">
        <v>42688</v>
      </c>
    </row>
    <row r="172" spans="1:32" x14ac:dyDescent="0.25">
      <c r="A172" t="s">
        <v>41</v>
      </c>
      <c r="B172">
        <v>0</v>
      </c>
      <c r="C172">
        <v>100</v>
      </c>
      <c r="D172">
        <v>2017</v>
      </c>
      <c r="E172" t="s">
        <v>67</v>
      </c>
      <c r="F172">
        <v>31</v>
      </c>
      <c r="G172">
        <v>1</v>
      </c>
      <c r="H172">
        <v>2</v>
      </c>
      <c r="I172">
        <v>5</v>
      </c>
      <c r="J172">
        <v>2</v>
      </c>
      <c r="K172">
        <v>0</v>
      </c>
      <c r="L172">
        <v>0</v>
      </c>
      <c r="M172" t="s">
        <v>55</v>
      </c>
      <c r="N172" t="s">
        <v>98</v>
      </c>
      <c r="O172" t="s">
        <v>44</v>
      </c>
      <c r="P172" t="s">
        <v>45</v>
      </c>
      <c r="Q172">
        <v>0</v>
      </c>
      <c r="R172">
        <v>0</v>
      </c>
      <c r="S172">
        <v>0</v>
      </c>
      <c r="T172" t="s">
        <v>46</v>
      </c>
      <c r="U172" t="s">
        <v>46</v>
      </c>
      <c r="V172">
        <v>0</v>
      </c>
      <c r="W172" t="s">
        <v>38</v>
      </c>
      <c r="X172">
        <v>9</v>
      </c>
      <c r="Z172">
        <v>0</v>
      </c>
      <c r="AA172" t="s">
        <v>51</v>
      </c>
      <c r="AB172">
        <v>125</v>
      </c>
      <c r="AC172">
        <v>0</v>
      </c>
      <c r="AD172">
        <v>0</v>
      </c>
      <c r="AE172" t="s">
        <v>40</v>
      </c>
      <c r="AF172" s="1">
        <v>42955</v>
      </c>
    </row>
    <row r="173" spans="1:32" x14ac:dyDescent="0.25">
      <c r="A173" t="s">
        <v>41</v>
      </c>
      <c r="B173">
        <v>1</v>
      </c>
      <c r="C173">
        <v>92</v>
      </c>
      <c r="D173">
        <v>2015</v>
      </c>
      <c r="E173" t="s">
        <v>42</v>
      </c>
      <c r="F173">
        <v>27</v>
      </c>
      <c r="G173">
        <v>1</v>
      </c>
      <c r="H173">
        <v>2</v>
      </c>
      <c r="I173">
        <v>4</v>
      </c>
      <c r="J173">
        <v>2</v>
      </c>
      <c r="K173">
        <v>0</v>
      </c>
      <c r="L173">
        <v>0</v>
      </c>
      <c r="M173" t="s">
        <v>34</v>
      </c>
      <c r="N173" t="s">
        <v>43</v>
      </c>
      <c r="O173" t="s">
        <v>44</v>
      </c>
      <c r="P173" t="s">
        <v>45</v>
      </c>
      <c r="Q173">
        <v>0</v>
      </c>
      <c r="R173">
        <v>0</v>
      </c>
      <c r="S173">
        <v>0</v>
      </c>
      <c r="T173" t="s">
        <v>46</v>
      </c>
      <c r="U173" t="s">
        <v>46</v>
      </c>
      <c r="V173">
        <v>0</v>
      </c>
      <c r="W173" t="s">
        <v>38</v>
      </c>
      <c r="X173">
        <v>9</v>
      </c>
      <c r="Z173">
        <v>0</v>
      </c>
      <c r="AA173" t="s">
        <v>39</v>
      </c>
      <c r="AB173">
        <v>76.5</v>
      </c>
      <c r="AC173">
        <v>0</v>
      </c>
      <c r="AD173">
        <v>2</v>
      </c>
      <c r="AE173" t="s">
        <v>47</v>
      </c>
      <c r="AF173" s="1">
        <v>42178</v>
      </c>
    </row>
    <row r="174" spans="1:32" x14ac:dyDescent="0.25">
      <c r="A174" t="s">
        <v>41</v>
      </c>
      <c r="B174">
        <v>1</v>
      </c>
      <c r="C174">
        <v>215</v>
      </c>
      <c r="D174">
        <v>2017</v>
      </c>
      <c r="E174" t="s">
        <v>54</v>
      </c>
      <c r="F174">
        <v>15</v>
      </c>
      <c r="G174">
        <v>14</v>
      </c>
      <c r="H174">
        <v>2</v>
      </c>
      <c r="I174">
        <v>2</v>
      </c>
      <c r="J174">
        <v>2</v>
      </c>
      <c r="K174">
        <v>0</v>
      </c>
      <c r="L174">
        <v>0</v>
      </c>
      <c r="M174" t="s">
        <v>55</v>
      </c>
      <c r="N174" t="s">
        <v>99</v>
      </c>
      <c r="O174" t="s">
        <v>44</v>
      </c>
      <c r="P174" t="s">
        <v>45</v>
      </c>
      <c r="Q174">
        <v>0</v>
      </c>
      <c r="R174">
        <v>0</v>
      </c>
      <c r="S174">
        <v>0</v>
      </c>
      <c r="T174" t="s">
        <v>46</v>
      </c>
      <c r="U174" t="s">
        <v>46</v>
      </c>
      <c r="V174">
        <v>0</v>
      </c>
      <c r="W174" t="s">
        <v>38</v>
      </c>
      <c r="X174">
        <v>9</v>
      </c>
      <c r="Z174">
        <v>0</v>
      </c>
      <c r="AA174" t="s">
        <v>39</v>
      </c>
      <c r="AB174">
        <v>110</v>
      </c>
      <c r="AC174">
        <v>0</v>
      </c>
      <c r="AD174">
        <v>1</v>
      </c>
      <c r="AE174" t="s">
        <v>47</v>
      </c>
      <c r="AF174" s="1">
        <v>42674</v>
      </c>
    </row>
    <row r="175" spans="1:32" x14ac:dyDescent="0.25">
      <c r="A175" t="s">
        <v>32</v>
      </c>
      <c r="B175">
        <v>1</v>
      </c>
      <c r="C175">
        <v>208</v>
      </c>
      <c r="D175">
        <v>2016</v>
      </c>
      <c r="E175" t="s">
        <v>54</v>
      </c>
      <c r="F175">
        <v>17</v>
      </c>
      <c r="G175">
        <v>19</v>
      </c>
      <c r="H175">
        <v>2</v>
      </c>
      <c r="I175">
        <v>5</v>
      </c>
      <c r="J175">
        <v>2</v>
      </c>
      <c r="K175">
        <v>0</v>
      </c>
      <c r="L175">
        <v>0</v>
      </c>
      <c r="M175" t="s">
        <v>60</v>
      </c>
      <c r="N175" t="s">
        <v>43</v>
      </c>
      <c r="O175" t="s">
        <v>64</v>
      </c>
      <c r="P175" t="s">
        <v>36</v>
      </c>
      <c r="Q175">
        <v>0</v>
      </c>
      <c r="R175">
        <v>0</v>
      </c>
      <c r="S175">
        <v>0</v>
      </c>
      <c r="T175" t="s">
        <v>72</v>
      </c>
      <c r="U175" t="s">
        <v>72</v>
      </c>
      <c r="V175">
        <v>0</v>
      </c>
      <c r="W175" t="s">
        <v>68</v>
      </c>
      <c r="X175">
        <v>273</v>
      </c>
      <c r="Z175">
        <v>0</v>
      </c>
      <c r="AA175" t="s">
        <v>39</v>
      </c>
      <c r="AB175">
        <v>60.3</v>
      </c>
      <c r="AC175">
        <v>0</v>
      </c>
      <c r="AD175">
        <v>0</v>
      </c>
      <c r="AE175" t="s">
        <v>47</v>
      </c>
      <c r="AF175" s="1">
        <v>42447</v>
      </c>
    </row>
    <row r="176" spans="1:32" x14ac:dyDescent="0.25">
      <c r="A176" t="s">
        <v>41</v>
      </c>
      <c r="B176">
        <v>0</v>
      </c>
      <c r="C176">
        <v>158</v>
      </c>
      <c r="D176">
        <v>2017</v>
      </c>
      <c r="E176" t="s">
        <v>52</v>
      </c>
      <c r="F176">
        <v>13</v>
      </c>
      <c r="G176">
        <v>27</v>
      </c>
      <c r="H176">
        <v>1</v>
      </c>
      <c r="I176">
        <v>1</v>
      </c>
      <c r="J176">
        <v>2</v>
      </c>
      <c r="K176">
        <v>0</v>
      </c>
      <c r="L176">
        <v>0</v>
      </c>
      <c r="M176" t="s">
        <v>34</v>
      </c>
      <c r="N176" t="s">
        <v>100</v>
      </c>
      <c r="O176" t="s">
        <v>64</v>
      </c>
      <c r="P176" t="s">
        <v>45</v>
      </c>
      <c r="Q176">
        <v>0</v>
      </c>
      <c r="R176">
        <v>0</v>
      </c>
      <c r="S176">
        <v>0</v>
      </c>
      <c r="T176" t="s">
        <v>46</v>
      </c>
      <c r="U176" t="s">
        <v>57</v>
      </c>
      <c r="V176">
        <v>0</v>
      </c>
      <c r="W176" t="s">
        <v>38</v>
      </c>
      <c r="X176">
        <v>37</v>
      </c>
      <c r="Z176">
        <v>0</v>
      </c>
      <c r="AA176" t="s">
        <v>51</v>
      </c>
      <c r="AB176">
        <v>95</v>
      </c>
      <c r="AC176">
        <v>0</v>
      </c>
      <c r="AD176">
        <v>1</v>
      </c>
      <c r="AE176" t="s">
        <v>40</v>
      </c>
      <c r="AF176" s="1">
        <v>42823</v>
      </c>
    </row>
    <row r="177" spans="1:32" x14ac:dyDescent="0.25">
      <c r="A177" t="s">
        <v>32</v>
      </c>
      <c r="B177">
        <v>1</v>
      </c>
      <c r="C177">
        <v>78</v>
      </c>
      <c r="D177">
        <v>2015</v>
      </c>
      <c r="E177" t="s">
        <v>59</v>
      </c>
      <c r="F177">
        <v>41</v>
      </c>
      <c r="G177">
        <v>9</v>
      </c>
      <c r="H177">
        <v>1</v>
      </c>
      <c r="I177">
        <v>2</v>
      </c>
      <c r="J177">
        <v>2</v>
      </c>
      <c r="K177">
        <v>0</v>
      </c>
      <c r="L177">
        <v>0</v>
      </c>
      <c r="M177" t="s">
        <v>90</v>
      </c>
      <c r="N177" t="s">
        <v>63</v>
      </c>
      <c r="O177" t="s">
        <v>64</v>
      </c>
      <c r="P177" t="s">
        <v>45</v>
      </c>
      <c r="Q177">
        <v>0</v>
      </c>
      <c r="R177">
        <v>0</v>
      </c>
      <c r="S177">
        <v>0</v>
      </c>
      <c r="T177" t="s">
        <v>46</v>
      </c>
      <c r="U177" t="s">
        <v>46</v>
      </c>
      <c r="V177">
        <v>0</v>
      </c>
      <c r="W177" t="s">
        <v>68</v>
      </c>
      <c r="X177">
        <v>134</v>
      </c>
      <c r="Z177">
        <v>0</v>
      </c>
      <c r="AA177" t="s">
        <v>39</v>
      </c>
      <c r="AB177">
        <v>92</v>
      </c>
      <c r="AC177">
        <v>0</v>
      </c>
      <c r="AD177">
        <v>0</v>
      </c>
      <c r="AE177" t="s">
        <v>47</v>
      </c>
      <c r="AF177" s="1">
        <v>42230</v>
      </c>
    </row>
    <row r="178" spans="1:32" x14ac:dyDescent="0.25">
      <c r="A178" t="s">
        <v>32</v>
      </c>
      <c r="B178">
        <v>0</v>
      </c>
      <c r="C178">
        <v>49</v>
      </c>
      <c r="D178">
        <v>2015</v>
      </c>
      <c r="E178" t="s">
        <v>42</v>
      </c>
      <c r="F178">
        <v>31</v>
      </c>
      <c r="G178">
        <v>27</v>
      </c>
      <c r="H178">
        <v>1</v>
      </c>
      <c r="I178">
        <v>5</v>
      </c>
      <c r="J178">
        <v>2</v>
      </c>
      <c r="K178">
        <v>0</v>
      </c>
      <c r="L178">
        <v>0</v>
      </c>
      <c r="M178" t="s">
        <v>34</v>
      </c>
      <c r="N178" t="s">
        <v>43</v>
      </c>
      <c r="O178" t="s">
        <v>44</v>
      </c>
      <c r="P178" t="s">
        <v>45</v>
      </c>
      <c r="Q178">
        <v>0</v>
      </c>
      <c r="R178">
        <v>0</v>
      </c>
      <c r="S178">
        <v>0</v>
      </c>
      <c r="T178" t="s">
        <v>46</v>
      </c>
      <c r="U178" t="s">
        <v>46</v>
      </c>
      <c r="V178">
        <v>0</v>
      </c>
      <c r="W178" t="s">
        <v>38</v>
      </c>
      <c r="X178">
        <v>240</v>
      </c>
      <c r="Z178">
        <v>0</v>
      </c>
      <c r="AA178" t="s">
        <v>39</v>
      </c>
      <c r="AB178">
        <v>118.17</v>
      </c>
      <c r="AC178">
        <v>0</v>
      </c>
      <c r="AD178">
        <v>0</v>
      </c>
      <c r="AE178" t="s">
        <v>40</v>
      </c>
      <c r="AF178" s="1">
        <v>42218</v>
      </c>
    </row>
    <row r="179" spans="1:32" x14ac:dyDescent="0.25">
      <c r="A179" t="s">
        <v>32</v>
      </c>
      <c r="B179">
        <v>0</v>
      </c>
      <c r="C179">
        <v>0</v>
      </c>
      <c r="D179">
        <v>2017</v>
      </c>
      <c r="E179" t="s">
        <v>66</v>
      </c>
      <c r="F179">
        <v>7</v>
      </c>
      <c r="G179">
        <v>17</v>
      </c>
      <c r="H179">
        <v>1</v>
      </c>
      <c r="I179">
        <v>2</v>
      </c>
      <c r="J179">
        <v>2</v>
      </c>
      <c r="K179">
        <v>0</v>
      </c>
      <c r="L179">
        <v>0</v>
      </c>
      <c r="M179" t="s">
        <v>34</v>
      </c>
      <c r="N179" t="s">
        <v>56</v>
      </c>
      <c r="O179" t="s">
        <v>36</v>
      </c>
      <c r="P179" t="s">
        <v>36</v>
      </c>
      <c r="Q179">
        <v>0</v>
      </c>
      <c r="R179">
        <v>0</v>
      </c>
      <c r="S179">
        <v>0</v>
      </c>
      <c r="T179" t="s">
        <v>72</v>
      </c>
      <c r="U179" t="s">
        <v>72</v>
      </c>
      <c r="V179">
        <v>0</v>
      </c>
      <c r="W179" t="s">
        <v>38</v>
      </c>
      <c r="Z179">
        <v>0</v>
      </c>
      <c r="AA179" t="s">
        <v>39</v>
      </c>
      <c r="AB179">
        <v>76</v>
      </c>
      <c r="AC179">
        <v>0</v>
      </c>
      <c r="AD179">
        <v>0</v>
      </c>
      <c r="AE179" t="s">
        <v>40</v>
      </c>
      <c r="AF179" s="1">
        <v>42786</v>
      </c>
    </row>
    <row r="180" spans="1:32" x14ac:dyDescent="0.25">
      <c r="A180" t="s">
        <v>41</v>
      </c>
      <c r="B180">
        <v>0</v>
      </c>
      <c r="C180">
        <v>133</v>
      </c>
      <c r="D180">
        <v>2017</v>
      </c>
      <c r="E180" t="s">
        <v>42</v>
      </c>
      <c r="F180">
        <v>27</v>
      </c>
      <c r="G180">
        <v>7</v>
      </c>
      <c r="H180">
        <v>1</v>
      </c>
      <c r="I180">
        <v>2</v>
      </c>
      <c r="J180">
        <v>2</v>
      </c>
      <c r="K180">
        <v>0</v>
      </c>
      <c r="L180">
        <v>0</v>
      </c>
      <c r="M180" t="s">
        <v>34</v>
      </c>
      <c r="N180" t="s">
        <v>56</v>
      </c>
      <c r="O180" t="s">
        <v>44</v>
      </c>
      <c r="P180" t="s">
        <v>45</v>
      </c>
      <c r="Q180">
        <v>0</v>
      </c>
      <c r="R180">
        <v>0</v>
      </c>
      <c r="S180">
        <v>0</v>
      </c>
      <c r="T180" t="s">
        <v>46</v>
      </c>
      <c r="U180" t="s">
        <v>46</v>
      </c>
      <c r="V180">
        <v>0</v>
      </c>
      <c r="W180" t="s">
        <v>38</v>
      </c>
      <c r="X180">
        <v>9</v>
      </c>
      <c r="Z180">
        <v>0</v>
      </c>
      <c r="AA180" t="s">
        <v>39</v>
      </c>
      <c r="AB180">
        <v>107.1</v>
      </c>
      <c r="AC180">
        <v>0</v>
      </c>
      <c r="AD180">
        <v>2</v>
      </c>
      <c r="AE180" t="s">
        <v>40</v>
      </c>
      <c r="AF180" s="1">
        <v>42926</v>
      </c>
    </row>
    <row r="181" spans="1:32" x14ac:dyDescent="0.25">
      <c r="A181" t="s">
        <v>41</v>
      </c>
      <c r="B181">
        <v>1</v>
      </c>
      <c r="C181">
        <v>80</v>
      </c>
      <c r="D181">
        <v>2017</v>
      </c>
      <c r="E181" t="s">
        <v>74</v>
      </c>
      <c r="F181">
        <v>3</v>
      </c>
      <c r="G181">
        <v>20</v>
      </c>
      <c r="H181">
        <v>0</v>
      </c>
      <c r="I181">
        <v>2</v>
      </c>
      <c r="J181">
        <v>2</v>
      </c>
      <c r="K181">
        <v>0</v>
      </c>
      <c r="L181">
        <v>0</v>
      </c>
      <c r="M181" t="s">
        <v>34</v>
      </c>
      <c r="N181" t="s">
        <v>63</v>
      </c>
      <c r="O181" t="s">
        <v>44</v>
      </c>
      <c r="P181" t="s">
        <v>45</v>
      </c>
      <c r="Q181">
        <v>0</v>
      </c>
      <c r="R181">
        <v>0</v>
      </c>
      <c r="S181">
        <v>0</v>
      </c>
      <c r="T181" t="s">
        <v>46</v>
      </c>
      <c r="U181" t="s">
        <v>46</v>
      </c>
      <c r="V181">
        <v>0</v>
      </c>
      <c r="W181" t="s">
        <v>38</v>
      </c>
      <c r="X181">
        <v>9</v>
      </c>
      <c r="Z181">
        <v>0</v>
      </c>
      <c r="AA181" t="s">
        <v>39</v>
      </c>
      <c r="AB181">
        <v>93.6</v>
      </c>
      <c r="AC181">
        <v>0</v>
      </c>
      <c r="AD181">
        <v>0</v>
      </c>
      <c r="AE181" t="s">
        <v>47</v>
      </c>
      <c r="AF181" s="1">
        <v>42739</v>
      </c>
    </row>
    <row r="182" spans="1:32" x14ac:dyDescent="0.25">
      <c r="A182" t="s">
        <v>32</v>
      </c>
      <c r="B182">
        <v>1</v>
      </c>
      <c r="C182">
        <v>199</v>
      </c>
      <c r="D182">
        <v>2016</v>
      </c>
      <c r="E182" t="s">
        <v>69</v>
      </c>
      <c r="F182">
        <v>19</v>
      </c>
      <c r="G182">
        <v>2</v>
      </c>
      <c r="H182">
        <v>1</v>
      </c>
      <c r="I182">
        <v>1</v>
      </c>
      <c r="J182">
        <v>2</v>
      </c>
      <c r="K182">
        <v>0</v>
      </c>
      <c r="L182">
        <v>0</v>
      </c>
      <c r="M182" t="s">
        <v>60</v>
      </c>
      <c r="N182" t="s">
        <v>43</v>
      </c>
      <c r="O182" t="s">
        <v>64</v>
      </c>
      <c r="P182" t="s">
        <v>45</v>
      </c>
      <c r="Q182">
        <v>0</v>
      </c>
      <c r="R182">
        <v>0</v>
      </c>
      <c r="S182">
        <v>0</v>
      </c>
      <c r="T182" t="s">
        <v>46</v>
      </c>
      <c r="U182" t="s">
        <v>46</v>
      </c>
      <c r="V182">
        <v>0</v>
      </c>
      <c r="W182" t="s">
        <v>38</v>
      </c>
      <c r="X182">
        <v>298</v>
      </c>
      <c r="Z182">
        <v>0</v>
      </c>
      <c r="AA182" t="s">
        <v>51</v>
      </c>
      <c r="AB182">
        <v>85</v>
      </c>
      <c r="AC182">
        <v>0</v>
      </c>
      <c r="AD182">
        <v>0</v>
      </c>
      <c r="AE182" t="s">
        <v>47</v>
      </c>
      <c r="AF182" s="1">
        <v>42478</v>
      </c>
    </row>
    <row r="183" spans="1:32" x14ac:dyDescent="0.25">
      <c r="A183" t="s">
        <v>32</v>
      </c>
      <c r="B183">
        <v>1</v>
      </c>
      <c r="C183">
        <v>40</v>
      </c>
      <c r="D183">
        <v>2016</v>
      </c>
      <c r="E183" t="s">
        <v>42</v>
      </c>
      <c r="F183">
        <v>30</v>
      </c>
      <c r="G183">
        <v>22</v>
      </c>
      <c r="H183">
        <v>2</v>
      </c>
      <c r="I183">
        <v>4</v>
      </c>
      <c r="J183">
        <v>2</v>
      </c>
      <c r="K183">
        <v>0</v>
      </c>
      <c r="L183">
        <v>0</v>
      </c>
      <c r="M183" t="s">
        <v>34</v>
      </c>
      <c r="N183" t="s">
        <v>101</v>
      </c>
      <c r="O183" t="s">
        <v>44</v>
      </c>
      <c r="P183" t="s">
        <v>45</v>
      </c>
      <c r="Q183">
        <v>0</v>
      </c>
      <c r="R183">
        <v>0</v>
      </c>
      <c r="S183">
        <v>0</v>
      </c>
      <c r="T183" t="s">
        <v>57</v>
      </c>
      <c r="U183" t="s">
        <v>57</v>
      </c>
      <c r="V183">
        <v>0</v>
      </c>
      <c r="W183" t="s">
        <v>38</v>
      </c>
      <c r="X183">
        <v>240</v>
      </c>
      <c r="Z183">
        <v>0</v>
      </c>
      <c r="AA183" t="s">
        <v>39</v>
      </c>
      <c r="AB183">
        <v>194</v>
      </c>
      <c r="AC183">
        <v>0</v>
      </c>
      <c r="AD183">
        <v>0</v>
      </c>
      <c r="AE183" t="s">
        <v>47</v>
      </c>
      <c r="AF183" s="1">
        <v>42533</v>
      </c>
    </row>
    <row r="184" spans="1:32" x14ac:dyDescent="0.25">
      <c r="A184" t="s">
        <v>41</v>
      </c>
      <c r="B184">
        <v>1</v>
      </c>
      <c r="C184">
        <v>2</v>
      </c>
      <c r="D184">
        <v>2016</v>
      </c>
      <c r="E184" t="s">
        <v>61</v>
      </c>
      <c r="F184">
        <v>45</v>
      </c>
      <c r="G184">
        <v>2</v>
      </c>
      <c r="H184">
        <v>0</v>
      </c>
      <c r="I184">
        <v>2</v>
      </c>
      <c r="J184">
        <v>1</v>
      </c>
      <c r="K184">
        <v>0</v>
      </c>
      <c r="L184">
        <v>0</v>
      </c>
      <c r="M184" t="s">
        <v>34</v>
      </c>
      <c r="N184" t="s">
        <v>43</v>
      </c>
      <c r="O184" t="s">
        <v>102</v>
      </c>
      <c r="P184" t="s">
        <v>76</v>
      </c>
      <c r="Q184">
        <v>0</v>
      </c>
      <c r="R184">
        <v>0</v>
      </c>
      <c r="S184">
        <v>0</v>
      </c>
      <c r="T184" t="s">
        <v>57</v>
      </c>
      <c r="U184" t="s">
        <v>57</v>
      </c>
      <c r="V184">
        <v>0</v>
      </c>
      <c r="W184" t="s">
        <v>38</v>
      </c>
      <c r="Y184">
        <v>153</v>
      </c>
      <c r="Z184">
        <v>0</v>
      </c>
      <c r="AA184" t="s">
        <v>39</v>
      </c>
      <c r="AB184">
        <v>94</v>
      </c>
      <c r="AC184">
        <v>0</v>
      </c>
      <c r="AD184">
        <v>0</v>
      </c>
      <c r="AE184" t="s">
        <v>47</v>
      </c>
      <c r="AF184" s="1">
        <v>42676</v>
      </c>
    </row>
    <row r="185" spans="1:32" x14ac:dyDescent="0.25">
      <c r="A185" t="s">
        <v>41</v>
      </c>
      <c r="B185">
        <v>0</v>
      </c>
      <c r="C185">
        <v>13</v>
      </c>
      <c r="D185">
        <v>2016</v>
      </c>
      <c r="E185" t="s">
        <v>52</v>
      </c>
      <c r="F185">
        <v>14</v>
      </c>
      <c r="G185">
        <v>27</v>
      </c>
      <c r="H185">
        <v>2</v>
      </c>
      <c r="I185">
        <v>2</v>
      </c>
      <c r="J185">
        <v>2</v>
      </c>
      <c r="K185">
        <v>0</v>
      </c>
      <c r="L185">
        <v>0</v>
      </c>
      <c r="M185" t="s">
        <v>34</v>
      </c>
      <c r="N185" t="s">
        <v>56</v>
      </c>
      <c r="O185" t="s">
        <v>49</v>
      </c>
      <c r="P185" t="s">
        <v>45</v>
      </c>
      <c r="Q185">
        <v>0</v>
      </c>
      <c r="R185">
        <v>0</v>
      </c>
      <c r="S185">
        <v>0</v>
      </c>
      <c r="T185" t="s">
        <v>46</v>
      </c>
      <c r="U185" t="s">
        <v>46</v>
      </c>
      <c r="V185">
        <v>0</v>
      </c>
      <c r="W185" t="s">
        <v>38</v>
      </c>
      <c r="X185">
        <v>138</v>
      </c>
      <c r="Z185">
        <v>0</v>
      </c>
      <c r="AA185" t="s">
        <v>39</v>
      </c>
      <c r="AB185">
        <v>79.150000000000006</v>
      </c>
      <c r="AC185">
        <v>0</v>
      </c>
      <c r="AD185">
        <v>0</v>
      </c>
      <c r="AE185" t="s">
        <v>40</v>
      </c>
      <c r="AF185" s="1">
        <v>42460</v>
      </c>
    </row>
    <row r="186" spans="1:32" x14ac:dyDescent="0.25">
      <c r="A186" t="s">
        <v>41</v>
      </c>
      <c r="B186">
        <v>0</v>
      </c>
      <c r="C186">
        <v>5</v>
      </c>
      <c r="D186">
        <v>2016</v>
      </c>
      <c r="E186" t="s">
        <v>61</v>
      </c>
      <c r="F186">
        <v>46</v>
      </c>
      <c r="G186">
        <v>6</v>
      </c>
      <c r="H186">
        <v>2</v>
      </c>
      <c r="I186">
        <v>3</v>
      </c>
      <c r="J186">
        <v>2</v>
      </c>
      <c r="K186">
        <v>0</v>
      </c>
      <c r="L186">
        <v>0</v>
      </c>
      <c r="M186" t="s">
        <v>55</v>
      </c>
      <c r="N186" t="s">
        <v>71</v>
      </c>
      <c r="O186" t="s">
        <v>44</v>
      </c>
      <c r="P186" t="s">
        <v>45</v>
      </c>
      <c r="Q186">
        <v>0</v>
      </c>
      <c r="R186">
        <v>0</v>
      </c>
      <c r="S186">
        <v>0</v>
      </c>
      <c r="T186" t="s">
        <v>46</v>
      </c>
      <c r="U186" t="s">
        <v>46</v>
      </c>
      <c r="V186">
        <v>0</v>
      </c>
      <c r="W186" t="s">
        <v>38</v>
      </c>
      <c r="X186">
        <v>7</v>
      </c>
      <c r="Z186">
        <v>0</v>
      </c>
      <c r="AA186" t="s">
        <v>39</v>
      </c>
      <c r="AB186">
        <v>106.68</v>
      </c>
      <c r="AC186">
        <v>0</v>
      </c>
      <c r="AD186">
        <v>1</v>
      </c>
      <c r="AE186" t="s">
        <v>40</v>
      </c>
      <c r="AF186" s="1">
        <v>42685</v>
      </c>
    </row>
    <row r="187" spans="1:32" x14ac:dyDescent="0.25">
      <c r="A187" t="s">
        <v>41</v>
      </c>
      <c r="B187">
        <v>1</v>
      </c>
      <c r="C187">
        <v>153</v>
      </c>
      <c r="D187">
        <v>2015</v>
      </c>
      <c r="E187" t="s">
        <v>67</v>
      </c>
      <c r="F187">
        <v>32</v>
      </c>
      <c r="G187">
        <v>3</v>
      </c>
      <c r="H187">
        <v>1</v>
      </c>
      <c r="I187">
        <v>2</v>
      </c>
      <c r="J187">
        <v>2</v>
      </c>
      <c r="K187">
        <v>0</v>
      </c>
      <c r="L187">
        <v>0</v>
      </c>
      <c r="M187" t="s">
        <v>34</v>
      </c>
      <c r="N187" t="s">
        <v>43</v>
      </c>
      <c r="O187" t="s">
        <v>64</v>
      </c>
      <c r="P187" t="s">
        <v>45</v>
      </c>
      <c r="Q187">
        <v>0</v>
      </c>
      <c r="R187">
        <v>1</v>
      </c>
      <c r="S187">
        <v>0</v>
      </c>
      <c r="T187" t="s">
        <v>46</v>
      </c>
      <c r="U187" t="s">
        <v>46</v>
      </c>
      <c r="V187">
        <v>0</v>
      </c>
      <c r="W187" t="s">
        <v>68</v>
      </c>
      <c r="X187">
        <v>1</v>
      </c>
      <c r="Z187">
        <v>0</v>
      </c>
      <c r="AA187" t="s">
        <v>39</v>
      </c>
      <c r="AB187">
        <v>60</v>
      </c>
      <c r="AC187">
        <v>0</v>
      </c>
      <c r="AD187">
        <v>0</v>
      </c>
      <c r="AE187" t="s">
        <v>47</v>
      </c>
      <c r="AF187" s="1">
        <v>42143</v>
      </c>
    </row>
    <row r="188" spans="1:32" x14ac:dyDescent="0.25">
      <c r="A188" t="s">
        <v>41</v>
      </c>
      <c r="B188">
        <v>0</v>
      </c>
      <c r="C188">
        <v>54</v>
      </c>
      <c r="D188">
        <v>2016</v>
      </c>
      <c r="E188" t="s">
        <v>66</v>
      </c>
      <c r="F188">
        <v>7</v>
      </c>
      <c r="G188">
        <v>8</v>
      </c>
      <c r="H188">
        <v>1</v>
      </c>
      <c r="I188">
        <v>4</v>
      </c>
      <c r="J188">
        <v>2</v>
      </c>
      <c r="K188">
        <v>0</v>
      </c>
      <c r="L188">
        <v>0</v>
      </c>
      <c r="M188" t="s">
        <v>34</v>
      </c>
      <c r="N188" t="s">
        <v>56</v>
      </c>
      <c r="O188" t="s">
        <v>44</v>
      </c>
      <c r="P188" t="s">
        <v>45</v>
      </c>
      <c r="Q188">
        <v>0</v>
      </c>
      <c r="R188">
        <v>0</v>
      </c>
      <c r="S188">
        <v>0</v>
      </c>
      <c r="T188" t="s">
        <v>46</v>
      </c>
      <c r="U188" t="s">
        <v>46</v>
      </c>
      <c r="V188">
        <v>0</v>
      </c>
      <c r="W188" t="s">
        <v>38</v>
      </c>
      <c r="X188">
        <v>9</v>
      </c>
      <c r="Z188">
        <v>0</v>
      </c>
      <c r="AA188" t="s">
        <v>39</v>
      </c>
      <c r="AB188">
        <v>75.95</v>
      </c>
      <c r="AC188">
        <v>0</v>
      </c>
      <c r="AD188">
        <v>1</v>
      </c>
      <c r="AE188" t="s">
        <v>40</v>
      </c>
      <c r="AF188" s="1">
        <v>42413</v>
      </c>
    </row>
    <row r="189" spans="1:32" x14ac:dyDescent="0.25">
      <c r="A189" t="s">
        <v>32</v>
      </c>
      <c r="B189">
        <v>0</v>
      </c>
      <c r="C189">
        <v>10</v>
      </c>
      <c r="D189">
        <v>2017</v>
      </c>
      <c r="E189" t="s">
        <v>66</v>
      </c>
      <c r="F189">
        <v>7</v>
      </c>
      <c r="G189">
        <v>12</v>
      </c>
      <c r="H189">
        <v>1</v>
      </c>
      <c r="I189">
        <v>0</v>
      </c>
      <c r="J189">
        <v>2</v>
      </c>
      <c r="K189">
        <v>0</v>
      </c>
      <c r="L189">
        <v>0</v>
      </c>
      <c r="M189" t="s">
        <v>34</v>
      </c>
      <c r="N189" t="s">
        <v>43</v>
      </c>
      <c r="O189" t="s">
        <v>44</v>
      </c>
      <c r="P189" t="s">
        <v>45</v>
      </c>
      <c r="Q189">
        <v>0</v>
      </c>
      <c r="R189">
        <v>0</v>
      </c>
      <c r="S189">
        <v>0</v>
      </c>
      <c r="T189" t="s">
        <v>46</v>
      </c>
      <c r="U189" t="s">
        <v>46</v>
      </c>
      <c r="V189">
        <v>0</v>
      </c>
      <c r="W189" t="s">
        <v>38</v>
      </c>
      <c r="X189">
        <v>240</v>
      </c>
      <c r="Z189">
        <v>0</v>
      </c>
      <c r="AA189" t="s">
        <v>39</v>
      </c>
      <c r="AB189">
        <v>48</v>
      </c>
      <c r="AC189">
        <v>0</v>
      </c>
      <c r="AD189">
        <v>1</v>
      </c>
      <c r="AE189" t="s">
        <v>40</v>
      </c>
      <c r="AF189" s="1">
        <v>42779</v>
      </c>
    </row>
    <row r="190" spans="1:32" x14ac:dyDescent="0.25">
      <c r="A190" t="s">
        <v>32</v>
      </c>
      <c r="B190">
        <v>1</v>
      </c>
      <c r="C190">
        <v>23</v>
      </c>
      <c r="D190">
        <v>2016</v>
      </c>
      <c r="E190" t="s">
        <v>67</v>
      </c>
      <c r="F190">
        <v>32</v>
      </c>
      <c r="G190">
        <v>4</v>
      </c>
      <c r="H190">
        <v>0</v>
      </c>
      <c r="I190">
        <v>3</v>
      </c>
      <c r="J190">
        <v>2</v>
      </c>
      <c r="K190">
        <v>1</v>
      </c>
      <c r="L190">
        <v>0</v>
      </c>
      <c r="M190" t="s">
        <v>60</v>
      </c>
      <c r="N190" t="s">
        <v>43</v>
      </c>
      <c r="O190" t="s">
        <v>44</v>
      </c>
      <c r="P190" t="s">
        <v>45</v>
      </c>
      <c r="Q190">
        <v>0</v>
      </c>
      <c r="R190">
        <v>0</v>
      </c>
      <c r="S190">
        <v>0</v>
      </c>
      <c r="T190" t="s">
        <v>46</v>
      </c>
      <c r="U190" t="s">
        <v>46</v>
      </c>
      <c r="V190">
        <v>0</v>
      </c>
      <c r="W190" t="s">
        <v>38</v>
      </c>
      <c r="X190">
        <v>242</v>
      </c>
      <c r="Z190">
        <v>0</v>
      </c>
      <c r="AA190" t="s">
        <v>39</v>
      </c>
      <c r="AB190">
        <v>272.7</v>
      </c>
      <c r="AC190">
        <v>0</v>
      </c>
      <c r="AD190">
        <v>0</v>
      </c>
      <c r="AE190" t="s">
        <v>47</v>
      </c>
      <c r="AF190" s="1">
        <v>42581</v>
      </c>
    </row>
    <row r="191" spans="1:32" x14ac:dyDescent="0.25">
      <c r="A191" t="s">
        <v>41</v>
      </c>
      <c r="B191">
        <v>0</v>
      </c>
      <c r="C191">
        <v>235</v>
      </c>
      <c r="D191">
        <v>2016</v>
      </c>
      <c r="E191" t="s">
        <v>67</v>
      </c>
      <c r="F191">
        <v>32</v>
      </c>
      <c r="G191">
        <v>6</v>
      </c>
      <c r="H191">
        <v>1</v>
      </c>
      <c r="I191">
        <v>1</v>
      </c>
      <c r="J191">
        <v>2</v>
      </c>
      <c r="K191">
        <v>0</v>
      </c>
      <c r="L191">
        <v>0</v>
      </c>
      <c r="M191" t="s">
        <v>34</v>
      </c>
      <c r="N191" t="s">
        <v>43</v>
      </c>
      <c r="O191" t="s">
        <v>44</v>
      </c>
      <c r="P191" t="s">
        <v>45</v>
      </c>
      <c r="Q191">
        <v>0</v>
      </c>
      <c r="R191">
        <v>0</v>
      </c>
      <c r="S191">
        <v>0</v>
      </c>
      <c r="T191" t="s">
        <v>46</v>
      </c>
      <c r="U191" t="s">
        <v>46</v>
      </c>
      <c r="V191">
        <v>0</v>
      </c>
      <c r="W191" t="s">
        <v>38</v>
      </c>
      <c r="X191">
        <v>9</v>
      </c>
      <c r="Z191">
        <v>0</v>
      </c>
      <c r="AA191" t="s">
        <v>51</v>
      </c>
      <c r="AB191">
        <v>105.3</v>
      </c>
      <c r="AC191">
        <v>1</v>
      </c>
      <c r="AD191">
        <v>2</v>
      </c>
      <c r="AE191" t="s">
        <v>40</v>
      </c>
      <c r="AF191" s="1">
        <v>42590</v>
      </c>
    </row>
    <row r="192" spans="1:32" x14ac:dyDescent="0.25">
      <c r="A192" t="s">
        <v>41</v>
      </c>
      <c r="B192">
        <v>0</v>
      </c>
      <c r="C192">
        <v>242</v>
      </c>
      <c r="D192">
        <v>2016</v>
      </c>
      <c r="E192" t="s">
        <v>59</v>
      </c>
      <c r="F192">
        <v>44</v>
      </c>
      <c r="G192">
        <v>28</v>
      </c>
      <c r="H192">
        <v>2</v>
      </c>
      <c r="I192">
        <v>2</v>
      </c>
      <c r="J192">
        <v>2</v>
      </c>
      <c r="K192">
        <v>1</v>
      </c>
      <c r="L192">
        <v>0</v>
      </c>
      <c r="M192" t="s">
        <v>34</v>
      </c>
      <c r="N192" t="s">
        <v>70</v>
      </c>
      <c r="O192" t="s">
        <v>44</v>
      </c>
      <c r="P192" t="s">
        <v>45</v>
      </c>
      <c r="Q192">
        <v>0</v>
      </c>
      <c r="R192">
        <v>0</v>
      </c>
      <c r="S192">
        <v>0</v>
      </c>
      <c r="T192" t="s">
        <v>57</v>
      </c>
      <c r="U192" t="s">
        <v>57</v>
      </c>
      <c r="V192">
        <v>0</v>
      </c>
      <c r="W192" t="s">
        <v>38</v>
      </c>
      <c r="X192">
        <v>7</v>
      </c>
      <c r="Z192">
        <v>0</v>
      </c>
      <c r="AA192" t="s">
        <v>39</v>
      </c>
      <c r="AB192">
        <v>95.13</v>
      </c>
      <c r="AC192">
        <v>0</v>
      </c>
      <c r="AD192">
        <v>1</v>
      </c>
      <c r="AE192" t="s">
        <v>40</v>
      </c>
      <c r="AF192" s="1">
        <v>42675</v>
      </c>
    </row>
    <row r="193" spans="1:32" x14ac:dyDescent="0.25">
      <c r="A193" t="s">
        <v>41</v>
      </c>
      <c r="B193">
        <v>1</v>
      </c>
      <c r="C193">
        <v>185</v>
      </c>
      <c r="D193">
        <v>2017</v>
      </c>
      <c r="E193" t="s">
        <v>69</v>
      </c>
      <c r="F193">
        <v>19</v>
      </c>
      <c r="G193">
        <v>12</v>
      </c>
      <c r="H193">
        <v>2</v>
      </c>
      <c r="I193">
        <v>3</v>
      </c>
      <c r="J193">
        <v>2</v>
      </c>
      <c r="K193">
        <v>0</v>
      </c>
      <c r="L193">
        <v>0</v>
      </c>
      <c r="M193" t="s">
        <v>55</v>
      </c>
      <c r="N193" t="s">
        <v>82</v>
      </c>
      <c r="O193" t="s">
        <v>44</v>
      </c>
      <c r="P193" t="s">
        <v>45</v>
      </c>
      <c r="Q193">
        <v>0</v>
      </c>
      <c r="R193">
        <v>0</v>
      </c>
      <c r="S193">
        <v>0</v>
      </c>
      <c r="T193" t="s">
        <v>46</v>
      </c>
      <c r="U193" t="s">
        <v>46</v>
      </c>
      <c r="V193">
        <v>0</v>
      </c>
      <c r="W193" t="s">
        <v>38</v>
      </c>
      <c r="X193">
        <v>9</v>
      </c>
      <c r="Z193">
        <v>0</v>
      </c>
      <c r="AA193" t="s">
        <v>39</v>
      </c>
      <c r="AB193">
        <v>114.3</v>
      </c>
      <c r="AC193">
        <v>0</v>
      </c>
      <c r="AD193">
        <v>0</v>
      </c>
      <c r="AE193" t="s">
        <v>47</v>
      </c>
      <c r="AF193" s="1">
        <v>42682</v>
      </c>
    </row>
    <row r="194" spans="1:32" x14ac:dyDescent="0.25">
      <c r="A194" t="s">
        <v>41</v>
      </c>
      <c r="B194">
        <v>1</v>
      </c>
      <c r="C194">
        <v>16</v>
      </c>
      <c r="D194">
        <v>2016</v>
      </c>
      <c r="E194" t="s">
        <v>59</v>
      </c>
      <c r="F194">
        <v>44</v>
      </c>
      <c r="G194">
        <v>29</v>
      </c>
      <c r="H194">
        <v>2</v>
      </c>
      <c r="I194">
        <v>1</v>
      </c>
      <c r="J194">
        <v>2</v>
      </c>
      <c r="K194">
        <v>0</v>
      </c>
      <c r="L194">
        <v>0</v>
      </c>
      <c r="M194" t="s">
        <v>34</v>
      </c>
      <c r="N194" t="s">
        <v>63</v>
      </c>
      <c r="O194" t="s">
        <v>44</v>
      </c>
      <c r="P194" t="s">
        <v>45</v>
      </c>
      <c r="Q194">
        <v>0</v>
      </c>
      <c r="R194">
        <v>0</v>
      </c>
      <c r="S194">
        <v>0</v>
      </c>
      <c r="T194" t="s">
        <v>46</v>
      </c>
      <c r="U194" t="s">
        <v>46</v>
      </c>
      <c r="V194">
        <v>0</v>
      </c>
      <c r="W194" t="s">
        <v>38</v>
      </c>
      <c r="X194">
        <v>9</v>
      </c>
      <c r="Z194">
        <v>0</v>
      </c>
      <c r="AA194" t="s">
        <v>39</v>
      </c>
      <c r="AB194">
        <v>140</v>
      </c>
      <c r="AC194">
        <v>0</v>
      </c>
      <c r="AD194">
        <v>2</v>
      </c>
      <c r="AE194" t="s">
        <v>47</v>
      </c>
      <c r="AF194" s="1">
        <v>42667</v>
      </c>
    </row>
    <row r="195" spans="1:32" x14ac:dyDescent="0.25">
      <c r="A195" t="s">
        <v>41</v>
      </c>
      <c r="B195">
        <v>1</v>
      </c>
      <c r="C195">
        <v>229</v>
      </c>
      <c r="D195">
        <v>2017</v>
      </c>
      <c r="E195" t="s">
        <v>42</v>
      </c>
      <c r="F195">
        <v>28</v>
      </c>
      <c r="G195">
        <v>12</v>
      </c>
      <c r="H195">
        <v>1</v>
      </c>
      <c r="I195">
        <v>4</v>
      </c>
      <c r="J195">
        <v>2</v>
      </c>
      <c r="K195">
        <v>0</v>
      </c>
      <c r="L195">
        <v>0</v>
      </c>
      <c r="M195" t="s">
        <v>34</v>
      </c>
      <c r="N195" t="s">
        <v>43</v>
      </c>
      <c r="O195" t="s">
        <v>64</v>
      </c>
      <c r="P195" t="s">
        <v>45</v>
      </c>
      <c r="Q195">
        <v>0</v>
      </c>
      <c r="R195">
        <v>0</v>
      </c>
      <c r="S195">
        <v>0</v>
      </c>
      <c r="T195" t="s">
        <v>46</v>
      </c>
      <c r="U195" t="s">
        <v>46</v>
      </c>
      <c r="V195">
        <v>0</v>
      </c>
      <c r="W195" t="s">
        <v>68</v>
      </c>
      <c r="Z195">
        <v>0</v>
      </c>
      <c r="AA195" t="s">
        <v>39</v>
      </c>
      <c r="AB195">
        <v>110</v>
      </c>
      <c r="AC195">
        <v>0</v>
      </c>
      <c r="AD195">
        <v>0</v>
      </c>
      <c r="AE195" t="s">
        <v>47</v>
      </c>
      <c r="AF195" s="1">
        <v>42699</v>
      </c>
    </row>
    <row r="196" spans="1:32" x14ac:dyDescent="0.25">
      <c r="A196" t="s">
        <v>41</v>
      </c>
      <c r="B196">
        <v>1</v>
      </c>
      <c r="C196">
        <v>158</v>
      </c>
      <c r="D196">
        <v>2016</v>
      </c>
      <c r="E196" t="s">
        <v>69</v>
      </c>
      <c r="F196">
        <v>22</v>
      </c>
      <c r="G196">
        <v>24</v>
      </c>
      <c r="H196">
        <v>0</v>
      </c>
      <c r="I196">
        <v>2</v>
      </c>
      <c r="J196">
        <v>1</v>
      </c>
      <c r="K196">
        <v>0</v>
      </c>
      <c r="L196">
        <v>0</v>
      </c>
      <c r="M196" t="s">
        <v>34</v>
      </c>
      <c r="N196" t="s">
        <v>43</v>
      </c>
      <c r="O196" t="s">
        <v>64</v>
      </c>
      <c r="P196" t="s">
        <v>45</v>
      </c>
      <c r="Q196">
        <v>0</v>
      </c>
      <c r="R196">
        <v>0</v>
      </c>
      <c r="S196">
        <v>0</v>
      </c>
      <c r="T196" t="s">
        <v>46</v>
      </c>
      <c r="U196" t="s">
        <v>46</v>
      </c>
      <c r="V196">
        <v>0</v>
      </c>
      <c r="W196" t="s">
        <v>68</v>
      </c>
      <c r="X196">
        <v>37</v>
      </c>
      <c r="Z196">
        <v>31</v>
      </c>
      <c r="AA196" t="s">
        <v>39</v>
      </c>
      <c r="AB196">
        <v>130</v>
      </c>
      <c r="AC196">
        <v>0</v>
      </c>
      <c r="AD196">
        <v>0</v>
      </c>
      <c r="AE196" t="s">
        <v>47</v>
      </c>
      <c r="AF196" s="1">
        <v>42387</v>
      </c>
    </row>
    <row r="197" spans="1:32" x14ac:dyDescent="0.25">
      <c r="A197" t="s">
        <v>41</v>
      </c>
      <c r="B197">
        <v>0</v>
      </c>
      <c r="C197">
        <v>17</v>
      </c>
      <c r="D197">
        <v>2015</v>
      </c>
      <c r="E197" t="s">
        <v>62</v>
      </c>
      <c r="F197">
        <v>39</v>
      </c>
      <c r="G197">
        <v>26</v>
      </c>
      <c r="H197">
        <v>2</v>
      </c>
      <c r="I197">
        <v>2</v>
      </c>
      <c r="J197">
        <v>1</v>
      </c>
      <c r="K197">
        <v>0</v>
      </c>
      <c r="L197">
        <v>0</v>
      </c>
      <c r="M197" t="s">
        <v>34</v>
      </c>
      <c r="N197" t="s">
        <v>71</v>
      </c>
      <c r="O197" t="s">
        <v>64</v>
      </c>
      <c r="P197" t="s">
        <v>45</v>
      </c>
      <c r="Q197">
        <v>0</v>
      </c>
      <c r="R197">
        <v>0</v>
      </c>
      <c r="S197">
        <v>0</v>
      </c>
      <c r="T197" t="s">
        <v>46</v>
      </c>
      <c r="U197" t="s">
        <v>46</v>
      </c>
      <c r="V197">
        <v>1</v>
      </c>
      <c r="W197" t="s">
        <v>38</v>
      </c>
      <c r="X197">
        <v>1</v>
      </c>
      <c r="Z197">
        <v>0</v>
      </c>
      <c r="AA197" t="s">
        <v>51</v>
      </c>
      <c r="AB197">
        <v>170</v>
      </c>
      <c r="AC197">
        <v>0</v>
      </c>
      <c r="AD197">
        <v>0</v>
      </c>
      <c r="AE197" t="s">
        <v>40</v>
      </c>
      <c r="AF197" s="1">
        <v>42277</v>
      </c>
    </row>
    <row r="198" spans="1:32" x14ac:dyDescent="0.25">
      <c r="A198" t="s">
        <v>32</v>
      </c>
      <c r="B198">
        <v>0</v>
      </c>
      <c r="C198">
        <v>149</v>
      </c>
      <c r="D198">
        <v>2017</v>
      </c>
      <c r="E198" t="s">
        <v>42</v>
      </c>
      <c r="F198">
        <v>30</v>
      </c>
      <c r="G198">
        <v>26</v>
      </c>
      <c r="H198">
        <v>0</v>
      </c>
      <c r="I198">
        <v>4</v>
      </c>
      <c r="J198">
        <v>2</v>
      </c>
      <c r="K198">
        <v>2</v>
      </c>
      <c r="L198">
        <v>0</v>
      </c>
      <c r="M198" t="s">
        <v>34</v>
      </c>
      <c r="N198" t="s">
        <v>103</v>
      </c>
      <c r="O198" t="s">
        <v>36</v>
      </c>
      <c r="P198" t="s">
        <v>36</v>
      </c>
      <c r="Q198">
        <v>0</v>
      </c>
      <c r="R198">
        <v>0</v>
      </c>
      <c r="S198">
        <v>0</v>
      </c>
      <c r="T198" t="s">
        <v>104</v>
      </c>
      <c r="U198" t="s">
        <v>104</v>
      </c>
      <c r="V198">
        <v>0</v>
      </c>
      <c r="W198" t="s">
        <v>38</v>
      </c>
      <c r="X198">
        <v>250</v>
      </c>
      <c r="Z198">
        <v>0</v>
      </c>
      <c r="AA198" t="s">
        <v>39</v>
      </c>
      <c r="AB198">
        <v>211.25</v>
      </c>
      <c r="AC198">
        <v>0</v>
      </c>
      <c r="AD198">
        <v>0</v>
      </c>
      <c r="AE198" t="s">
        <v>40</v>
      </c>
      <c r="AF198" s="1">
        <v>42946</v>
      </c>
    </row>
    <row r="199" spans="1:32" x14ac:dyDescent="0.25">
      <c r="A199" t="s">
        <v>32</v>
      </c>
      <c r="B199">
        <v>0</v>
      </c>
      <c r="C199">
        <v>163</v>
      </c>
      <c r="D199">
        <v>2015</v>
      </c>
      <c r="E199" t="s">
        <v>59</v>
      </c>
      <c r="F199">
        <v>43</v>
      </c>
      <c r="G199">
        <v>23</v>
      </c>
      <c r="H199">
        <v>1</v>
      </c>
      <c r="I199">
        <v>2</v>
      </c>
      <c r="J199">
        <v>1</v>
      </c>
      <c r="K199">
        <v>0</v>
      </c>
      <c r="L199">
        <v>0</v>
      </c>
      <c r="M199" t="s">
        <v>34</v>
      </c>
      <c r="N199" t="s">
        <v>35</v>
      </c>
      <c r="O199" t="s">
        <v>44</v>
      </c>
      <c r="P199" t="s">
        <v>45</v>
      </c>
      <c r="Q199">
        <v>0</v>
      </c>
      <c r="R199">
        <v>0</v>
      </c>
      <c r="S199">
        <v>0</v>
      </c>
      <c r="T199" t="s">
        <v>46</v>
      </c>
      <c r="U199" t="s">
        <v>104</v>
      </c>
      <c r="V199">
        <v>0</v>
      </c>
      <c r="W199" t="s">
        <v>38</v>
      </c>
      <c r="X199">
        <v>240</v>
      </c>
      <c r="Z199">
        <v>0</v>
      </c>
      <c r="AA199" t="s">
        <v>51</v>
      </c>
      <c r="AB199">
        <v>47</v>
      </c>
      <c r="AC199">
        <v>0</v>
      </c>
      <c r="AD199">
        <v>1</v>
      </c>
      <c r="AE199" t="s">
        <v>40</v>
      </c>
      <c r="AF199" s="1">
        <v>42303</v>
      </c>
    </row>
    <row r="200" spans="1:32" x14ac:dyDescent="0.25">
      <c r="A200" t="s">
        <v>32</v>
      </c>
      <c r="B200">
        <v>0</v>
      </c>
      <c r="C200">
        <v>1</v>
      </c>
      <c r="D200">
        <v>2016</v>
      </c>
      <c r="E200" t="s">
        <v>67</v>
      </c>
      <c r="F200">
        <v>33</v>
      </c>
      <c r="G200">
        <v>11</v>
      </c>
      <c r="H200">
        <v>0</v>
      </c>
      <c r="I200">
        <v>1</v>
      </c>
      <c r="J200">
        <v>1</v>
      </c>
      <c r="K200">
        <v>0</v>
      </c>
      <c r="L200">
        <v>0</v>
      </c>
      <c r="M200" t="s">
        <v>34</v>
      </c>
      <c r="N200" t="s">
        <v>43</v>
      </c>
      <c r="O200" t="s">
        <v>36</v>
      </c>
      <c r="P200" t="s">
        <v>36</v>
      </c>
      <c r="Q200">
        <v>0</v>
      </c>
      <c r="R200">
        <v>0</v>
      </c>
      <c r="S200">
        <v>0</v>
      </c>
      <c r="T200" t="s">
        <v>46</v>
      </c>
      <c r="U200" t="s">
        <v>46</v>
      </c>
      <c r="V200">
        <v>0</v>
      </c>
      <c r="W200" t="s">
        <v>38</v>
      </c>
      <c r="X200">
        <v>250</v>
      </c>
      <c r="Z200">
        <v>0</v>
      </c>
      <c r="AA200" t="s">
        <v>39</v>
      </c>
      <c r="AB200">
        <v>149</v>
      </c>
      <c r="AC200">
        <v>0</v>
      </c>
      <c r="AD200">
        <v>0</v>
      </c>
      <c r="AE200" t="s">
        <v>40</v>
      </c>
      <c r="AF200" s="1">
        <v>42594</v>
      </c>
    </row>
    <row r="201" spans="1:32" x14ac:dyDescent="0.25">
      <c r="A201" t="s">
        <v>32</v>
      </c>
      <c r="B201">
        <v>0</v>
      </c>
      <c r="C201">
        <v>81</v>
      </c>
      <c r="D201">
        <v>2016</v>
      </c>
      <c r="E201" t="s">
        <v>54</v>
      </c>
      <c r="F201">
        <v>15</v>
      </c>
      <c r="G201">
        <v>3</v>
      </c>
      <c r="H201">
        <v>2</v>
      </c>
      <c r="I201">
        <v>3</v>
      </c>
      <c r="J201">
        <v>2</v>
      </c>
      <c r="K201">
        <v>0</v>
      </c>
      <c r="L201">
        <v>0</v>
      </c>
      <c r="M201" t="s">
        <v>34</v>
      </c>
      <c r="N201" t="s">
        <v>43</v>
      </c>
      <c r="O201" t="s">
        <v>44</v>
      </c>
      <c r="P201" t="s">
        <v>45</v>
      </c>
      <c r="Q201">
        <v>0</v>
      </c>
      <c r="R201">
        <v>0</v>
      </c>
      <c r="S201">
        <v>0</v>
      </c>
      <c r="T201" t="s">
        <v>46</v>
      </c>
      <c r="U201" t="s">
        <v>46</v>
      </c>
      <c r="V201">
        <v>0</v>
      </c>
      <c r="W201" t="s">
        <v>38</v>
      </c>
      <c r="X201">
        <v>240</v>
      </c>
      <c r="Z201">
        <v>0</v>
      </c>
      <c r="AA201" t="s">
        <v>39</v>
      </c>
      <c r="AB201">
        <v>52.2</v>
      </c>
      <c r="AC201">
        <v>0</v>
      </c>
      <c r="AD201">
        <v>1</v>
      </c>
      <c r="AE201" t="s">
        <v>40</v>
      </c>
      <c r="AF201" s="1">
        <v>42468</v>
      </c>
    </row>
    <row r="202" spans="1:32" x14ac:dyDescent="0.25">
      <c r="A202" t="s">
        <v>41</v>
      </c>
      <c r="B202">
        <v>0</v>
      </c>
      <c r="C202">
        <v>91</v>
      </c>
      <c r="D202">
        <v>2017</v>
      </c>
      <c r="E202" t="s">
        <v>54</v>
      </c>
      <c r="F202">
        <v>14</v>
      </c>
      <c r="G202">
        <v>2</v>
      </c>
      <c r="H202">
        <v>2</v>
      </c>
      <c r="I202">
        <v>2</v>
      </c>
      <c r="J202">
        <v>2</v>
      </c>
      <c r="K202">
        <v>0</v>
      </c>
      <c r="L202">
        <v>0</v>
      </c>
      <c r="M202" t="s">
        <v>34</v>
      </c>
      <c r="N202" t="s">
        <v>56</v>
      </c>
      <c r="O202" t="s">
        <v>44</v>
      </c>
      <c r="P202" t="s">
        <v>45</v>
      </c>
      <c r="Q202">
        <v>0</v>
      </c>
      <c r="R202">
        <v>0</v>
      </c>
      <c r="S202">
        <v>0</v>
      </c>
      <c r="T202" t="s">
        <v>46</v>
      </c>
      <c r="U202" t="s">
        <v>46</v>
      </c>
      <c r="V202">
        <v>2</v>
      </c>
      <c r="W202" t="s">
        <v>38</v>
      </c>
      <c r="X202">
        <v>9</v>
      </c>
      <c r="Z202">
        <v>0</v>
      </c>
      <c r="AA202" t="s">
        <v>39</v>
      </c>
      <c r="AB202">
        <v>117</v>
      </c>
      <c r="AC202">
        <v>0</v>
      </c>
      <c r="AD202">
        <v>4</v>
      </c>
      <c r="AE202" t="s">
        <v>40</v>
      </c>
      <c r="AF202" s="1">
        <v>42831</v>
      </c>
    </row>
    <row r="203" spans="1:32" x14ac:dyDescent="0.25">
      <c r="A203" t="s">
        <v>41</v>
      </c>
      <c r="B203">
        <v>0</v>
      </c>
      <c r="C203">
        <v>122</v>
      </c>
      <c r="D203">
        <v>2016</v>
      </c>
      <c r="E203" t="s">
        <v>54</v>
      </c>
      <c r="F203">
        <v>16</v>
      </c>
      <c r="G203">
        <v>15</v>
      </c>
      <c r="H203">
        <v>0</v>
      </c>
      <c r="I203">
        <v>2</v>
      </c>
      <c r="J203">
        <v>2</v>
      </c>
      <c r="K203">
        <v>0</v>
      </c>
      <c r="L203">
        <v>0</v>
      </c>
      <c r="M203" t="s">
        <v>34</v>
      </c>
      <c r="N203" t="s">
        <v>43</v>
      </c>
      <c r="O203" t="s">
        <v>49</v>
      </c>
      <c r="P203" t="s">
        <v>45</v>
      </c>
      <c r="Q203">
        <v>0</v>
      </c>
      <c r="R203">
        <v>0</v>
      </c>
      <c r="S203">
        <v>0</v>
      </c>
      <c r="T203" t="s">
        <v>46</v>
      </c>
      <c r="U203" t="s">
        <v>46</v>
      </c>
      <c r="V203">
        <v>0</v>
      </c>
      <c r="W203" t="s">
        <v>38</v>
      </c>
      <c r="X203">
        <v>151</v>
      </c>
      <c r="Z203">
        <v>56</v>
      </c>
      <c r="AA203" t="s">
        <v>51</v>
      </c>
      <c r="AB203">
        <v>85</v>
      </c>
      <c r="AC203">
        <v>0</v>
      </c>
      <c r="AD203">
        <v>0</v>
      </c>
      <c r="AE203" t="s">
        <v>40</v>
      </c>
      <c r="AF203" s="1">
        <v>42477</v>
      </c>
    </row>
    <row r="204" spans="1:32" x14ac:dyDescent="0.25">
      <c r="A204" t="s">
        <v>41</v>
      </c>
      <c r="B204">
        <v>1</v>
      </c>
      <c r="C204">
        <v>143</v>
      </c>
      <c r="D204">
        <v>2016</v>
      </c>
      <c r="E204" t="s">
        <v>61</v>
      </c>
      <c r="F204">
        <v>47</v>
      </c>
      <c r="G204">
        <v>17</v>
      </c>
      <c r="H204">
        <v>0</v>
      </c>
      <c r="I204">
        <v>1</v>
      </c>
      <c r="J204">
        <v>1</v>
      </c>
      <c r="K204">
        <v>0</v>
      </c>
      <c r="L204">
        <v>0</v>
      </c>
      <c r="M204" t="s">
        <v>34</v>
      </c>
      <c r="N204" t="s">
        <v>48</v>
      </c>
      <c r="O204" t="s">
        <v>44</v>
      </c>
      <c r="P204" t="s">
        <v>45</v>
      </c>
      <c r="Q204">
        <v>0</v>
      </c>
      <c r="R204">
        <v>0</v>
      </c>
      <c r="S204">
        <v>0</v>
      </c>
      <c r="T204" t="s">
        <v>46</v>
      </c>
      <c r="U204" t="s">
        <v>46</v>
      </c>
      <c r="V204">
        <v>0</v>
      </c>
      <c r="W204" t="s">
        <v>38</v>
      </c>
      <c r="X204">
        <v>9</v>
      </c>
      <c r="Z204">
        <v>0</v>
      </c>
      <c r="AA204" t="s">
        <v>39</v>
      </c>
      <c r="AB204">
        <v>84.6</v>
      </c>
      <c r="AC204">
        <v>0</v>
      </c>
      <c r="AD204">
        <v>1</v>
      </c>
      <c r="AE204" t="s">
        <v>47</v>
      </c>
      <c r="AF204" s="1">
        <v>42597</v>
      </c>
    </row>
    <row r="205" spans="1:32" x14ac:dyDescent="0.25">
      <c r="A205" t="s">
        <v>32</v>
      </c>
      <c r="B205">
        <v>0</v>
      </c>
      <c r="C205">
        <v>120</v>
      </c>
      <c r="D205">
        <v>2015</v>
      </c>
      <c r="E205" t="s">
        <v>67</v>
      </c>
      <c r="F205">
        <v>32</v>
      </c>
      <c r="G205">
        <v>4</v>
      </c>
      <c r="H205">
        <v>2</v>
      </c>
      <c r="I205">
        <v>5</v>
      </c>
      <c r="J205">
        <v>2</v>
      </c>
      <c r="K205">
        <v>0</v>
      </c>
      <c r="L205">
        <v>0</v>
      </c>
      <c r="M205" t="s">
        <v>34</v>
      </c>
      <c r="N205" t="s">
        <v>70</v>
      </c>
      <c r="O205" t="s">
        <v>49</v>
      </c>
      <c r="P205" t="s">
        <v>45</v>
      </c>
      <c r="Q205">
        <v>0</v>
      </c>
      <c r="R205">
        <v>0</v>
      </c>
      <c r="S205">
        <v>0</v>
      </c>
      <c r="T205" t="s">
        <v>46</v>
      </c>
      <c r="U205" t="s">
        <v>57</v>
      </c>
      <c r="V205">
        <v>0</v>
      </c>
      <c r="W205" t="s">
        <v>38</v>
      </c>
      <c r="X205">
        <v>6</v>
      </c>
      <c r="Z205">
        <v>0</v>
      </c>
      <c r="AA205" t="s">
        <v>51</v>
      </c>
      <c r="AB205">
        <v>90.95</v>
      </c>
      <c r="AC205">
        <v>0</v>
      </c>
      <c r="AD205">
        <v>1</v>
      </c>
      <c r="AE205" t="s">
        <v>40</v>
      </c>
      <c r="AF205" s="1">
        <v>42227</v>
      </c>
    </row>
    <row r="206" spans="1:32" x14ac:dyDescent="0.25">
      <c r="A206" t="s">
        <v>41</v>
      </c>
      <c r="B206">
        <v>1</v>
      </c>
      <c r="C206">
        <v>113</v>
      </c>
      <c r="D206">
        <v>2016</v>
      </c>
      <c r="E206" t="s">
        <v>66</v>
      </c>
      <c r="F206">
        <v>9</v>
      </c>
      <c r="G206">
        <v>25</v>
      </c>
      <c r="H206">
        <v>0</v>
      </c>
      <c r="I206">
        <v>3</v>
      </c>
      <c r="J206">
        <v>2</v>
      </c>
      <c r="K206">
        <v>0</v>
      </c>
      <c r="L206">
        <v>0</v>
      </c>
      <c r="M206" t="s">
        <v>34</v>
      </c>
      <c r="N206" t="s">
        <v>43</v>
      </c>
      <c r="O206" t="s">
        <v>49</v>
      </c>
      <c r="P206" t="s">
        <v>45</v>
      </c>
      <c r="Q206">
        <v>0</v>
      </c>
      <c r="R206">
        <v>1</v>
      </c>
      <c r="S206">
        <v>0</v>
      </c>
      <c r="T206" t="s">
        <v>46</v>
      </c>
      <c r="U206" t="s">
        <v>46</v>
      </c>
      <c r="V206">
        <v>0</v>
      </c>
      <c r="W206" t="s">
        <v>68</v>
      </c>
      <c r="X206">
        <v>19</v>
      </c>
      <c r="Z206">
        <v>44</v>
      </c>
      <c r="AA206" t="s">
        <v>39</v>
      </c>
      <c r="AB206">
        <v>75</v>
      </c>
      <c r="AC206">
        <v>0</v>
      </c>
      <c r="AD206">
        <v>0</v>
      </c>
      <c r="AE206" t="s">
        <v>47</v>
      </c>
      <c r="AF206" s="1">
        <v>42356</v>
      </c>
    </row>
    <row r="207" spans="1:32" x14ac:dyDescent="0.25">
      <c r="A207" t="s">
        <v>41</v>
      </c>
      <c r="B207">
        <v>1</v>
      </c>
      <c r="C207">
        <v>395</v>
      </c>
      <c r="D207">
        <v>2016</v>
      </c>
      <c r="E207" t="s">
        <v>52</v>
      </c>
      <c r="F207">
        <v>13</v>
      </c>
      <c r="G207">
        <v>21</v>
      </c>
      <c r="H207">
        <v>1</v>
      </c>
      <c r="I207">
        <v>2</v>
      </c>
      <c r="J207">
        <v>2</v>
      </c>
      <c r="K207">
        <v>0</v>
      </c>
      <c r="L207">
        <v>0</v>
      </c>
      <c r="M207" t="s">
        <v>34</v>
      </c>
      <c r="N207" t="s">
        <v>43</v>
      </c>
      <c r="O207" t="s">
        <v>64</v>
      </c>
      <c r="P207" t="s">
        <v>45</v>
      </c>
      <c r="Q207">
        <v>0</v>
      </c>
      <c r="R207">
        <v>1</v>
      </c>
      <c r="S207">
        <v>0</v>
      </c>
      <c r="T207" t="s">
        <v>46</v>
      </c>
      <c r="U207" t="s">
        <v>46</v>
      </c>
      <c r="V207">
        <v>0</v>
      </c>
      <c r="W207" t="s">
        <v>68</v>
      </c>
      <c r="X207">
        <v>1</v>
      </c>
      <c r="Z207">
        <v>0</v>
      </c>
      <c r="AA207" t="s">
        <v>39</v>
      </c>
      <c r="AB207">
        <v>62.8</v>
      </c>
      <c r="AC207">
        <v>0</v>
      </c>
      <c r="AD207">
        <v>0</v>
      </c>
      <c r="AE207" t="s">
        <v>47</v>
      </c>
      <c r="AF207" s="1">
        <v>42226</v>
      </c>
    </row>
    <row r="208" spans="1:32" x14ac:dyDescent="0.25">
      <c r="A208" t="s">
        <v>41</v>
      </c>
      <c r="B208">
        <v>1</v>
      </c>
      <c r="C208">
        <v>391</v>
      </c>
      <c r="D208">
        <v>2016</v>
      </c>
      <c r="E208" t="s">
        <v>67</v>
      </c>
      <c r="F208">
        <v>32</v>
      </c>
      <c r="G208">
        <v>4</v>
      </c>
      <c r="H208">
        <v>0</v>
      </c>
      <c r="I208">
        <v>1</v>
      </c>
      <c r="J208">
        <v>1</v>
      </c>
      <c r="K208">
        <v>0</v>
      </c>
      <c r="L208">
        <v>0</v>
      </c>
      <c r="M208" t="s">
        <v>34</v>
      </c>
      <c r="N208" t="s">
        <v>43</v>
      </c>
      <c r="O208" t="s">
        <v>64</v>
      </c>
      <c r="P208" t="s">
        <v>45</v>
      </c>
      <c r="Q208">
        <v>0</v>
      </c>
      <c r="R208">
        <v>0</v>
      </c>
      <c r="S208">
        <v>0</v>
      </c>
      <c r="T208" t="s">
        <v>46</v>
      </c>
      <c r="U208" t="s">
        <v>46</v>
      </c>
      <c r="V208">
        <v>0</v>
      </c>
      <c r="W208" t="s">
        <v>68</v>
      </c>
      <c r="X208">
        <v>1</v>
      </c>
      <c r="Z208">
        <v>0</v>
      </c>
      <c r="AA208" t="s">
        <v>39</v>
      </c>
      <c r="AB208">
        <v>59</v>
      </c>
      <c r="AC208">
        <v>0</v>
      </c>
      <c r="AD208">
        <v>0</v>
      </c>
      <c r="AE208" t="s">
        <v>47</v>
      </c>
      <c r="AF208" s="1">
        <v>42298</v>
      </c>
    </row>
    <row r="209" spans="1:32" x14ac:dyDescent="0.25">
      <c r="A209" t="s">
        <v>41</v>
      </c>
      <c r="B209">
        <v>0</v>
      </c>
      <c r="C209">
        <v>71</v>
      </c>
      <c r="D209">
        <v>2017</v>
      </c>
      <c r="E209" t="s">
        <v>42</v>
      </c>
      <c r="F209">
        <v>27</v>
      </c>
      <c r="G209">
        <v>7</v>
      </c>
      <c r="H209">
        <v>1</v>
      </c>
      <c r="I209">
        <v>2</v>
      </c>
      <c r="J209">
        <v>2</v>
      </c>
      <c r="K209">
        <v>0</v>
      </c>
      <c r="L209">
        <v>0</v>
      </c>
      <c r="M209" t="s">
        <v>34</v>
      </c>
      <c r="N209" t="s">
        <v>98</v>
      </c>
      <c r="O209" t="s">
        <v>44</v>
      </c>
      <c r="P209" t="s">
        <v>45</v>
      </c>
      <c r="Q209">
        <v>0</v>
      </c>
      <c r="R209">
        <v>0</v>
      </c>
      <c r="S209">
        <v>0</v>
      </c>
      <c r="T209" t="s">
        <v>57</v>
      </c>
      <c r="U209" t="s">
        <v>57</v>
      </c>
      <c r="V209">
        <v>0</v>
      </c>
      <c r="W209" t="s">
        <v>38</v>
      </c>
      <c r="X209">
        <v>9</v>
      </c>
      <c r="Z209">
        <v>0</v>
      </c>
      <c r="AA209" t="s">
        <v>39</v>
      </c>
      <c r="AB209">
        <v>150</v>
      </c>
      <c r="AC209">
        <v>0</v>
      </c>
      <c r="AD209">
        <v>1</v>
      </c>
      <c r="AE209" t="s">
        <v>40</v>
      </c>
      <c r="AF209" s="1">
        <v>42926</v>
      </c>
    </row>
    <row r="210" spans="1:32" x14ac:dyDescent="0.25">
      <c r="A210" t="s">
        <v>32</v>
      </c>
      <c r="B210">
        <v>0</v>
      </c>
      <c r="C210">
        <v>7</v>
      </c>
      <c r="D210">
        <v>2017</v>
      </c>
      <c r="E210" t="s">
        <v>52</v>
      </c>
      <c r="F210">
        <v>9</v>
      </c>
      <c r="G210">
        <v>2</v>
      </c>
      <c r="H210">
        <v>1</v>
      </c>
      <c r="I210">
        <v>3</v>
      </c>
      <c r="J210">
        <v>1</v>
      </c>
      <c r="K210">
        <v>0</v>
      </c>
      <c r="L210">
        <v>0</v>
      </c>
      <c r="M210" t="s">
        <v>34</v>
      </c>
      <c r="N210" t="s">
        <v>35</v>
      </c>
      <c r="O210" t="s">
        <v>64</v>
      </c>
      <c r="P210" t="s">
        <v>76</v>
      </c>
      <c r="Q210">
        <v>0</v>
      </c>
      <c r="R210">
        <v>0</v>
      </c>
      <c r="S210">
        <v>0</v>
      </c>
      <c r="T210" t="s">
        <v>46</v>
      </c>
      <c r="U210" t="s">
        <v>46</v>
      </c>
      <c r="V210">
        <v>1</v>
      </c>
      <c r="W210" t="s">
        <v>38</v>
      </c>
      <c r="Y210">
        <v>223</v>
      </c>
      <c r="Z210">
        <v>0</v>
      </c>
      <c r="AA210" t="s">
        <v>51</v>
      </c>
      <c r="AB210">
        <v>29</v>
      </c>
      <c r="AC210">
        <v>0</v>
      </c>
      <c r="AD210">
        <v>0</v>
      </c>
      <c r="AE210" t="s">
        <v>40</v>
      </c>
      <c r="AF210" s="1">
        <v>42800</v>
      </c>
    </row>
    <row r="211" spans="1:32" x14ac:dyDescent="0.25">
      <c r="A211" t="s">
        <v>41</v>
      </c>
      <c r="B211">
        <v>1</v>
      </c>
      <c r="C211">
        <v>151</v>
      </c>
      <c r="D211">
        <v>2015</v>
      </c>
      <c r="E211" t="s">
        <v>42</v>
      </c>
      <c r="F211">
        <v>30</v>
      </c>
      <c r="G211">
        <v>25</v>
      </c>
      <c r="H211">
        <v>2</v>
      </c>
      <c r="I211">
        <v>1</v>
      </c>
      <c r="J211">
        <v>2</v>
      </c>
      <c r="K211">
        <v>0</v>
      </c>
      <c r="L211">
        <v>0</v>
      </c>
      <c r="M211" t="s">
        <v>60</v>
      </c>
      <c r="N211" t="s">
        <v>43</v>
      </c>
      <c r="O211" t="s">
        <v>64</v>
      </c>
      <c r="P211" t="s">
        <v>45</v>
      </c>
      <c r="Q211">
        <v>0</v>
      </c>
      <c r="R211">
        <v>1</v>
      </c>
      <c r="S211">
        <v>0</v>
      </c>
      <c r="T211" t="s">
        <v>46</v>
      </c>
      <c r="U211" t="s">
        <v>46</v>
      </c>
      <c r="V211">
        <v>0</v>
      </c>
      <c r="W211" t="s">
        <v>68</v>
      </c>
      <c r="X211">
        <v>1</v>
      </c>
      <c r="Z211">
        <v>0</v>
      </c>
      <c r="AA211" t="s">
        <v>51</v>
      </c>
      <c r="AB211">
        <v>86</v>
      </c>
      <c r="AC211">
        <v>0</v>
      </c>
      <c r="AD211">
        <v>0</v>
      </c>
      <c r="AE211" t="s">
        <v>47</v>
      </c>
      <c r="AF211" s="1">
        <v>42194</v>
      </c>
    </row>
    <row r="212" spans="1:32" x14ac:dyDescent="0.25">
      <c r="A212" t="s">
        <v>41</v>
      </c>
      <c r="B212">
        <v>1</v>
      </c>
      <c r="C212">
        <v>277</v>
      </c>
      <c r="D212">
        <v>2016</v>
      </c>
      <c r="E212" t="s">
        <v>61</v>
      </c>
      <c r="F212">
        <v>46</v>
      </c>
      <c r="G212">
        <v>7</v>
      </c>
      <c r="H212">
        <v>1</v>
      </c>
      <c r="I212">
        <v>2</v>
      </c>
      <c r="J212">
        <v>2</v>
      </c>
      <c r="K212">
        <v>0</v>
      </c>
      <c r="L212">
        <v>0</v>
      </c>
      <c r="M212" t="s">
        <v>34</v>
      </c>
      <c r="N212" t="s">
        <v>43</v>
      </c>
      <c r="O212" t="s">
        <v>64</v>
      </c>
      <c r="P212" t="s">
        <v>45</v>
      </c>
      <c r="Q212">
        <v>0</v>
      </c>
      <c r="R212">
        <v>0</v>
      </c>
      <c r="S212">
        <v>0</v>
      </c>
      <c r="T212" t="s">
        <v>46</v>
      </c>
      <c r="U212" t="s">
        <v>46</v>
      </c>
      <c r="V212">
        <v>0</v>
      </c>
      <c r="W212" t="s">
        <v>68</v>
      </c>
      <c r="Z212">
        <v>0</v>
      </c>
      <c r="AA212" t="s">
        <v>39</v>
      </c>
      <c r="AB212">
        <v>100</v>
      </c>
      <c r="AC212">
        <v>0</v>
      </c>
      <c r="AD212">
        <v>0</v>
      </c>
      <c r="AE212" t="s">
        <v>47</v>
      </c>
      <c r="AF212" s="1">
        <v>42464</v>
      </c>
    </row>
    <row r="213" spans="1:32" x14ac:dyDescent="0.25">
      <c r="A213" t="s">
        <v>41</v>
      </c>
      <c r="B213">
        <v>1</v>
      </c>
      <c r="C213">
        <v>169</v>
      </c>
      <c r="D213">
        <v>2017</v>
      </c>
      <c r="E213" t="s">
        <v>83</v>
      </c>
      <c r="F213">
        <v>23</v>
      </c>
      <c r="G213">
        <v>8</v>
      </c>
      <c r="H213">
        <v>0</v>
      </c>
      <c r="I213">
        <v>3</v>
      </c>
      <c r="J213">
        <v>2</v>
      </c>
      <c r="K213">
        <v>0</v>
      </c>
      <c r="L213">
        <v>0</v>
      </c>
      <c r="M213" t="s">
        <v>34</v>
      </c>
      <c r="N213" t="s">
        <v>43</v>
      </c>
      <c r="O213" t="s">
        <v>49</v>
      </c>
      <c r="P213" t="s">
        <v>45</v>
      </c>
      <c r="Q213">
        <v>0</v>
      </c>
      <c r="R213">
        <v>0</v>
      </c>
      <c r="S213">
        <v>0</v>
      </c>
      <c r="T213" t="s">
        <v>46</v>
      </c>
      <c r="U213" t="s">
        <v>46</v>
      </c>
      <c r="V213">
        <v>0</v>
      </c>
      <c r="W213" t="s">
        <v>68</v>
      </c>
      <c r="X213">
        <v>19</v>
      </c>
      <c r="Z213">
        <v>0</v>
      </c>
      <c r="AA213" t="s">
        <v>39</v>
      </c>
      <c r="AB213">
        <v>170</v>
      </c>
      <c r="AC213">
        <v>0</v>
      </c>
      <c r="AD213">
        <v>0</v>
      </c>
      <c r="AE213" t="s">
        <v>47</v>
      </c>
      <c r="AF213" s="1">
        <v>42725</v>
      </c>
    </row>
    <row r="214" spans="1:32" x14ac:dyDescent="0.25">
      <c r="A214" t="s">
        <v>41</v>
      </c>
      <c r="B214">
        <v>0</v>
      </c>
      <c r="C214">
        <v>158</v>
      </c>
      <c r="D214">
        <v>2016</v>
      </c>
      <c r="E214" t="s">
        <v>69</v>
      </c>
      <c r="F214">
        <v>22</v>
      </c>
      <c r="G214">
        <v>25</v>
      </c>
      <c r="H214">
        <v>0</v>
      </c>
      <c r="I214">
        <v>4</v>
      </c>
      <c r="J214">
        <v>2</v>
      </c>
      <c r="K214">
        <v>1</v>
      </c>
      <c r="L214">
        <v>0</v>
      </c>
      <c r="M214" t="s">
        <v>34</v>
      </c>
      <c r="N214" t="s">
        <v>82</v>
      </c>
      <c r="O214" t="s">
        <v>44</v>
      </c>
      <c r="P214" t="s">
        <v>45</v>
      </c>
      <c r="Q214">
        <v>0</v>
      </c>
      <c r="R214">
        <v>0</v>
      </c>
      <c r="S214">
        <v>0</v>
      </c>
      <c r="T214" t="s">
        <v>46</v>
      </c>
      <c r="U214" t="s">
        <v>57</v>
      </c>
      <c r="V214">
        <v>13</v>
      </c>
      <c r="W214" t="s">
        <v>38</v>
      </c>
      <c r="X214">
        <v>9</v>
      </c>
      <c r="Z214">
        <v>0</v>
      </c>
      <c r="AA214" t="s">
        <v>39</v>
      </c>
      <c r="AB214">
        <v>114.75</v>
      </c>
      <c r="AC214">
        <v>0</v>
      </c>
      <c r="AD214">
        <v>1</v>
      </c>
      <c r="AE214" t="s">
        <v>40</v>
      </c>
      <c r="AF214" s="1">
        <v>42519</v>
      </c>
    </row>
    <row r="215" spans="1:32" x14ac:dyDescent="0.25">
      <c r="A215" t="s">
        <v>32</v>
      </c>
      <c r="B215">
        <v>1</v>
      </c>
      <c r="C215">
        <v>50</v>
      </c>
      <c r="D215">
        <v>2016</v>
      </c>
      <c r="E215" t="s">
        <v>59</v>
      </c>
      <c r="F215">
        <v>44</v>
      </c>
      <c r="G215">
        <v>29</v>
      </c>
      <c r="H215">
        <v>0</v>
      </c>
      <c r="I215">
        <v>1</v>
      </c>
      <c r="J215">
        <v>2</v>
      </c>
      <c r="K215">
        <v>0</v>
      </c>
      <c r="L215">
        <v>0</v>
      </c>
      <c r="M215" t="s">
        <v>34</v>
      </c>
      <c r="N215" t="s">
        <v>63</v>
      </c>
      <c r="O215" t="s">
        <v>44</v>
      </c>
      <c r="P215" t="s">
        <v>45</v>
      </c>
      <c r="Q215">
        <v>0</v>
      </c>
      <c r="R215">
        <v>0</v>
      </c>
      <c r="S215">
        <v>0</v>
      </c>
      <c r="T215" t="s">
        <v>72</v>
      </c>
      <c r="U215" t="s">
        <v>72</v>
      </c>
      <c r="V215">
        <v>0</v>
      </c>
      <c r="W215" t="s">
        <v>38</v>
      </c>
      <c r="X215">
        <v>240</v>
      </c>
      <c r="Z215">
        <v>0</v>
      </c>
      <c r="AA215" t="s">
        <v>39</v>
      </c>
      <c r="AB215">
        <v>88</v>
      </c>
      <c r="AC215">
        <v>0</v>
      </c>
      <c r="AD215">
        <v>1</v>
      </c>
      <c r="AE215" t="s">
        <v>47</v>
      </c>
      <c r="AF215" s="1">
        <v>42662</v>
      </c>
    </row>
    <row r="216" spans="1:32" x14ac:dyDescent="0.25">
      <c r="A216" t="s">
        <v>41</v>
      </c>
      <c r="B216">
        <v>0</v>
      </c>
      <c r="C216">
        <v>0</v>
      </c>
      <c r="D216">
        <v>2017</v>
      </c>
      <c r="E216" t="s">
        <v>42</v>
      </c>
      <c r="F216">
        <v>27</v>
      </c>
      <c r="G216">
        <v>2</v>
      </c>
      <c r="H216">
        <v>1</v>
      </c>
      <c r="I216">
        <v>0</v>
      </c>
      <c r="J216">
        <v>2</v>
      </c>
      <c r="K216">
        <v>0</v>
      </c>
      <c r="L216">
        <v>0</v>
      </c>
      <c r="M216" t="s">
        <v>55</v>
      </c>
      <c r="N216" t="s">
        <v>43</v>
      </c>
      <c r="O216" t="s">
        <v>36</v>
      </c>
      <c r="P216" t="s">
        <v>36</v>
      </c>
      <c r="Q216">
        <v>0</v>
      </c>
      <c r="R216">
        <v>0</v>
      </c>
      <c r="S216">
        <v>0</v>
      </c>
      <c r="T216" t="s">
        <v>86</v>
      </c>
      <c r="U216" t="s">
        <v>86</v>
      </c>
      <c r="V216">
        <v>1</v>
      </c>
      <c r="W216" t="s">
        <v>38</v>
      </c>
      <c r="Z216">
        <v>0</v>
      </c>
      <c r="AA216" t="s">
        <v>39</v>
      </c>
      <c r="AB216">
        <v>98</v>
      </c>
      <c r="AC216">
        <v>0</v>
      </c>
      <c r="AD216">
        <v>0</v>
      </c>
      <c r="AE216" t="s">
        <v>40</v>
      </c>
      <c r="AF216" s="1">
        <v>42919</v>
      </c>
    </row>
    <row r="217" spans="1:32" x14ac:dyDescent="0.25">
      <c r="A217" t="s">
        <v>41</v>
      </c>
      <c r="B217">
        <v>0</v>
      </c>
      <c r="C217">
        <v>73</v>
      </c>
      <c r="D217">
        <v>2017</v>
      </c>
      <c r="E217" t="s">
        <v>42</v>
      </c>
      <c r="F217">
        <v>30</v>
      </c>
      <c r="G217">
        <v>24</v>
      </c>
      <c r="H217">
        <v>1</v>
      </c>
      <c r="I217">
        <v>3</v>
      </c>
      <c r="J217">
        <v>2</v>
      </c>
      <c r="K217">
        <v>0</v>
      </c>
      <c r="L217">
        <v>0</v>
      </c>
      <c r="M217" t="s">
        <v>34</v>
      </c>
      <c r="N217" t="s">
        <v>78</v>
      </c>
      <c r="O217" t="s">
        <v>44</v>
      </c>
      <c r="P217" t="s">
        <v>45</v>
      </c>
      <c r="Q217">
        <v>0</v>
      </c>
      <c r="R217">
        <v>0</v>
      </c>
      <c r="S217">
        <v>0</v>
      </c>
      <c r="T217" t="s">
        <v>46</v>
      </c>
      <c r="U217" t="s">
        <v>46</v>
      </c>
      <c r="V217">
        <v>0</v>
      </c>
      <c r="W217" t="s">
        <v>38</v>
      </c>
      <c r="X217">
        <v>159</v>
      </c>
      <c r="Z217">
        <v>0</v>
      </c>
      <c r="AA217" t="s">
        <v>39</v>
      </c>
      <c r="AB217">
        <v>147.5</v>
      </c>
      <c r="AC217">
        <v>0</v>
      </c>
      <c r="AD217">
        <v>0</v>
      </c>
      <c r="AE217" t="s">
        <v>40</v>
      </c>
      <c r="AF217" s="1">
        <v>42944</v>
      </c>
    </row>
    <row r="218" spans="1:32" x14ac:dyDescent="0.25">
      <c r="A218" t="s">
        <v>41</v>
      </c>
      <c r="B218">
        <v>0</v>
      </c>
      <c r="C218">
        <v>0</v>
      </c>
      <c r="D218">
        <v>2016</v>
      </c>
      <c r="E218" t="s">
        <v>54</v>
      </c>
      <c r="F218">
        <v>18</v>
      </c>
      <c r="G218">
        <v>28</v>
      </c>
      <c r="H218">
        <v>0</v>
      </c>
      <c r="I218">
        <v>1</v>
      </c>
      <c r="J218">
        <v>1</v>
      </c>
      <c r="K218">
        <v>0</v>
      </c>
      <c r="L218">
        <v>0</v>
      </c>
      <c r="M218" t="s">
        <v>34</v>
      </c>
      <c r="N218" t="s">
        <v>35</v>
      </c>
      <c r="O218" t="s">
        <v>49</v>
      </c>
      <c r="P218" t="s">
        <v>45</v>
      </c>
      <c r="Q218">
        <v>0</v>
      </c>
      <c r="R218">
        <v>0</v>
      </c>
      <c r="S218">
        <v>0</v>
      </c>
      <c r="T218" t="s">
        <v>46</v>
      </c>
      <c r="U218" t="s">
        <v>72</v>
      </c>
      <c r="V218">
        <v>0</v>
      </c>
      <c r="W218" t="s">
        <v>38</v>
      </c>
      <c r="X218">
        <v>94</v>
      </c>
      <c r="Z218">
        <v>0</v>
      </c>
      <c r="AA218" t="s">
        <v>51</v>
      </c>
      <c r="AB218">
        <v>45</v>
      </c>
      <c r="AC218">
        <v>0</v>
      </c>
      <c r="AD218">
        <v>2</v>
      </c>
      <c r="AE218" t="s">
        <v>40</v>
      </c>
      <c r="AF218" s="1">
        <v>42489</v>
      </c>
    </row>
    <row r="219" spans="1:32" x14ac:dyDescent="0.25">
      <c r="A219" t="s">
        <v>32</v>
      </c>
      <c r="B219">
        <v>0</v>
      </c>
      <c r="C219">
        <v>0</v>
      </c>
      <c r="D219">
        <v>2017</v>
      </c>
      <c r="E219" t="s">
        <v>69</v>
      </c>
      <c r="F219">
        <v>18</v>
      </c>
      <c r="G219">
        <v>5</v>
      </c>
      <c r="H219">
        <v>0</v>
      </c>
      <c r="I219">
        <v>2</v>
      </c>
      <c r="J219">
        <v>2</v>
      </c>
      <c r="K219">
        <v>0</v>
      </c>
      <c r="L219">
        <v>0</v>
      </c>
      <c r="M219" t="s">
        <v>34</v>
      </c>
      <c r="N219" t="s">
        <v>43</v>
      </c>
      <c r="O219" t="s">
        <v>44</v>
      </c>
      <c r="P219" t="s">
        <v>45</v>
      </c>
      <c r="Q219">
        <v>0</v>
      </c>
      <c r="R219">
        <v>0</v>
      </c>
      <c r="S219">
        <v>0</v>
      </c>
      <c r="T219" t="s">
        <v>46</v>
      </c>
      <c r="U219" t="s">
        <v>46</v>
      </c>
      <c r="V219">
        <v>0</v>
      </c>
      <c r="W219" t="s">
        <v>38</v>
      </c>
      <c r="X219">
        <v>240</v>
      </c>
      <c r="Z219">
        <v>0</v>
      </c>
      <c r="AA219" t="s">
        <v>39</v>
      </c>
      <c r="AB219">
        <v>80</v>
      </c>
      <c r="AC219">
        <v>0</v>
      </c>
      <c r="AD219">
        <v>0</v>
      </c>
      <c r="AE219" t="s">
        <v>40</v>
      </c>
      <c r="AF219" s="1">
        <v>42862</v>
      </c>
    </row>
    <row r="220" spans="1:32" x14ac:dyDescent="0.25">
      <c r="A220" t="s">
        <v>41</v>
      </c>
      <c r="B220">
        <v>1</v>
      </c>
      <c r="C220">
        <v>316</v>
      </c>
      <c r="D220">
        <v>2016</v>
      </c>
      <c r="E220" t="s">
        <v>69</v>
      </c>
      <c r="F220">
        <v>21</v>
      </c>
      <c r="G220">
        <v>19</v>
      </c>
      <c r="H220">
        <v>0</v>
      </c>
      <c r="I220">
        <v>2</v>
      </c>
      <c r="J220">
        <v>2</v>
      </c>
      <c r="K220">
        <v>0</v>
      </c>
      <c r="L220">
        <v>0</v>
      </c>
      <c r="M220" t="s">
        <v>34</v>
      </c>
      <c r="N220" t="s">
        <v>43</v>
      </c>
      <c r="O220" t="s">
        <v>64</v>
      </c>
      <c r="P220" t="s">
        <v>45</v>
      </c>
      <c r="Q220">
        <v>0</v>
      </c>
      <c r="R220">
        <v>0</v>
      </c>
      <c r="S220">
        <v>0</v>
      </c>
      <c r="T220" t="s">
        <v>46</v>
      </c>
      <c r="U220" t="s">
        <v>46</v>
      </c>
      <c r="V220">
        <v>0</v>
      </c>
      <c r="W220" t="s">
        <v>68</v>
      </c>
      <c r="X220">
        <v>1</v>
      </c>
      <c r="Z220">
        <v>0</v>
      </c>
      <c r="AA220" t="s">
        <v>39</v>
      </c>
      <c r="AB220">
        <v>62</v>
      </c>
      <c r="AC220">
        <v>0</v>
      </c>
      <c r="AD220">
        <v>0</v>
      </c>
      <c r="AE220" t="s">
        <v>47</v>
      </c>
      <c r="AF220" s="1">
        <v>42299</v>
      </c>
    </row>
    <row r="221" spans="1:32" x14ac:dyDescent="0.25">
      <c r="A221" t="s">
        <v>41</v>
      </c>
      <c r="B221">
        <v>0</v>
      </c>
      <c r="C221">
        <v>158</v>
      </c>
      <c r="D221">
        <v>2017</v>
      </c>
      <c r="E221" t="s">
        <v>52</v>
      </c>
      <c r="F221">
        <v>13</v>
      </c>
      <c r="G221">
        <v>27</v>
      </c>
      <c r="H221">
        <v>1</v>
      </c>
      <c r="I221">
        <v>1</v>
      </c>
      <c r="J221">
        <v>2</v>
      </c>
      <c r="K221">
        <v>0</v>
      </c>
      <c r="L221">
        <v>0</v>
      </c>
      <c r="M221" t="s">
        <v>34</v>
      </c>
      <c r="N221" t="s">
        <v>100</v>
      </c>
      <c r="O221" t="s">
        <v>64</v>
      </c>
      <c r="P221" t="s">
        <v>45</v>
      </c>
      <c r="Q221">
        <v>0</v>
      </c>
      <c r="R221">
        <v>0</v>
      </c>
      <c r="S221">
        <v>0</v>
      </c>
      <c r="T221" t="s">
        <v>46</v>
      </c>
      <c r="U221" t="s">
        <v>46</v>
      </c>
      <c r="V221">
        <v>0</v>
      </c>
      <c r="W221" t="s">
        <v>38</v>
      </c>
      <c r="X221">
        <v>37</v>
      </c>
      <c r="Z221">
        <v>0</v>
      </c>
      <c r="AA221" t="s">
        <v>51</v>
      </c>
      <c r="AB221">
        <v>95</v>
      </c>
      <c r="AC221">
        <v>0</v>
      </c>
      <c r="AD221">
        <v>0</v>
      </c>
      <c r="AE221" t="s">
        <v>40</v>
      </c>
      <c r="AF221" s="1">
        <v>42823</v>
      </c>
    </row>
    <row r="222" spans="1:32" x14ac:dyDescent="0.25">
      <c r="A222" t="s">
        <v>32</v>
      </c>
      <c r="B222">
        <v>1</v>
      </c>
      <c r="C222">
        <v>43</v>
      </c>
      <c r="D222">
        <v>2017</v>
      </c>
      <c r="E222" t="s">
        <v>74</v>
      </c>
      <c r="F222">
        <v>4</v>
      </c>
      <c r="G222">
        <v>27</v>
      </c>
      <c r="H222">
        <v>1</v>
      </c>
      <c r="I222">
        <v>2</v>
      </c>
      <c r="J222">
        <v>2</v>
      </c>
      <c r="K222">
        <v>0</v>
      </c>
      <c r="L222">
        <v>0</v>
      </c>
      <c r="M222" t="s">
        <v>34</v>
      </c>
      <c r="N222" t="s">
        <v>35</v>
      </c>
      <c r="O222" t="s">
        <v>44</v>
      </c>
      <c r="P222" t="s">
        <v>45</v>
      </c>
      <c r="Q222">
        <v>0</v>
      </c>
      <c r="R222">
        <v>0</v>
      </c>
      <c r="S222">
        <v>0</v>
      </c>
      <c r="T222" t="s">
        <v>46</v>
      </c>
      <c r="U222" t="s">
        <v>46</v>
      </c>
      <c r="V222">
        <v>0</v>
      </c>
      <c r="W222" t="s">
        <v>38</v>
      </c>
      <c r="X222">
        <v>240</v>
      </c>
      <c r="Z222">
        <v>0</v>
      </c>
      <c r="AA222" t="s">
        <v>51</v>
      </c>
      <c r="AB222">
        <v>48</v>
      </c>
      <c r="AC222">
        <v>0</v>
      </c>
      <c r="AD222">
        <v>0</v>
      </c>
      <c r="AE222" t="s">
        <v>47</v>
      </c>
      <c r="AF222" s="1">
        <v>42740</v>
      </c>
    </row>
    <row r="223" spans="1:32" x14ac:dyDescent="0.25">
      <c r="A223" t="s">
        <v>41</v>
      </c>
      <c r="B223">
        <v>1</v>
      </c>
      <c r="C223">
        <v>364</v>
      </c>
      <c r="D223">
        <v>2015</v>
      </c>
      <c r="E223" t="s">
        <v>59</v>
      </c>
      <c r="F223">
        <v>42</v>
      </c>
      <c r="G223">
        <v>16</v>
      </c>
      <c r="H223">
        <v>0</v>
      </c>
      <c r="I223">
        <v>2</v>
      </c>
      <c r="J223">
        <v>2</v>
      </c>
      <c r="K223">
        <v>0</v>
      </c>
      <c r="L223">
        <v>0</v>
      </c>
      <c r="M223" t="s">
        <v>60</v>
      </c>
      <c r="N223" t="s">
        <v>43</v>
      </c>
      <c r="O223" t="s">
        <v>49</v>
      </c>
      <c r="P223" t="s">
        <v>45</v>
      </c>
      <c r="Q223">
        <v>0</v>
      </c>
      <c r="R223">
        <v>1</v>
      </c>
      <c r="S223">
        <v>0</v>
      </c>
      <c r="T223" t="s">
        <v>46</v>
      </c>
      <c r="U223" t="s">
        <v>46</v>
      </c>
      <c r="V223">
        <v>0</v>
      </c>
      <c r="W223" t="s">
        <v>68</v>
      </c>
      <c r="X223">
        <v>6</v>
      </c>
      <c r="Z223">
        <v>0</v>
      </c>
      <c r="AA223" t="s">
        <v>51</v>
      </c>
      <c r="AB223">
        <v>101.5</v>
      </c>
      <c r="AC223">
        <v>0</v>
      </c>
      <c r="AD223">
        <v>0</v>
      </c>
      <c r="AE223" t="s">
        <v>47</v>
      </c>
      <c r="AF223" s="1">
        <v>42191</v>
      </c>
    </row>
    <row r="224" spans="1:32" x14ac:dyDescent="0.25">
      <c r="A224" t="s">
        <v>32</v>
      </c>
      <c r="B224">
        <v>1</v>
      </c>
      <c r="C224">
        <v>219</v>
      </c>
      <c r="D224">
        <v>2016</v>
      </c>
      <c r="E224" t="s">
        <v>52</v>
      </c>
      <c r="F224">
        <v>10</v>
      </c>
      <c r="G224">
        <v>2</v>
      </c>
      <c r="H224">
        <v>2</v>
      </c>
      <c r="I224">
        <v>5</v>
      </c>
      <c r="J224">
        <v>2</v>
      </c>
      <c r="K224">
        <v>0</v>
      </c>
      <c r="L224">
        <v>0</v>
      </c>
      <c r="M224" t="s">
        <v>60</v>
      </c>
      <c r="N224" t="s">
        <v>43</v>
      </c>
      <c r="O224" t="s">
        <v>49</v>
      </c>
      <c r="P224" t="s">
        <v>45</v>
      </c>
      <c r="Q224">
        <v>0</v>
      </c>
      <c r="R224">
        <v>0</v>
      </c>
      <c r="S224">
        <v>0</v>
      </c>
      <c r="T224" t="s">
        <v>46</v>
      </c>
      <c r="U224" t="s">
        <v>46</v>
      </c>
      <c r="V224">
        <v>0</v>
      </c>
      <c r="W224" t="s">
        <v>68</v>
      </c>
      <c r="X224">
        <v>310</v>
      </c>
      <c r="Z224">
        <v>0</v>
      </c>
      <c r="AA224" t="s">
        <v>39</v>
      </c>
      <c r="AB224">
        <v>52</v>
      </c>
      <c r="AC224">
        <v>0</v>
      </c>
      <c r="AD224">
        <v>0</v>
      </c>
      <c r="AE224" t="s">
        <v>47</v>
      </c>
      <c r="AF224" s="1">
        <v>42328</v>
      </c>
    </row>
    <row r="225" spans="1:32" x14ac:dyDescent="0.25">
      <c r="A225" t="s">
        <v>41</v>
      </c>
      <c r="B225">
        <v>1</v>
      </c>
      <c r="C225">
        <v>288</v>
      </c>
      <c r="D225">
        <v>2016</v>
      </c>
      <c r="E225" t="s">
        <v>69</v>
      </c>
      <c r="F225">
        <v>19</v>
      </c>
      <c r="G225">
        <v>5</v>
      </c>
      <c r="H225">
        <v>0</v>
      </c>
      <c r="I225">
        <v>3</v>
      </c>
      <c r="J225">
        <v>2</v>
      </c>
      <c r="K225">
        <v>0</v>
      </c>
      <c r="L225">
        <v>0</v>
      </c>
      <c r="M225" t="s">
        <v>34</v>
      </c>
      <c r="N225" t="s">
        <v>43</v>
      </c>
      <c r="O225" t="s">
        <v>64</v>
      </c>
      <c r="P225" t="s">
        <v>45</v>
      </c>
      <c r="Q225">
        <v>0</v>
      </c>
      <c r="R225">
        <v>0</v>
      </c>
      <c r="S225">
        <v>0</v>
      </c>
      <c r="T225" t="s">
        <v>46</v>
      </c>
      <c r="U225" t="s">
        <v>46</v>
      </c>
      <c r="V225">
        <v>0</v>
      </c>
      <c r="W225" t="s">
        <v>38</v>
      </c>
      <c r="X225">
        <v>1</v>
      </c>
      <c r="Z225">
        <v>236</v>
      </c>
      <c r="AA225" t="s">
        <v>51</v>
      </c>
      <c r="AB225">
        <v>65</v>
      </c>
      <c r="AC225">
        <v>0</v>
      </c>
      <c r="AD225">
        <v>0</v>
      </c>
      <c r="AE225" t="s">
        <v>47</v>
      </c>
      <c r="AF225" s="1">
        <v>42443</v>
      </c>
    </row>
    <row r="226" spans="1:32" x14ac:dyDescent="0.25">
      <c r="A226" t="s">
        <v>32</v>
      </c>
      <c r="B226">
        <v>0</v>
      </c>
      <c r="C226">
        <v>162</v>
      </c>
      <c r="D226">
        <v>2016</v>
      </c>
      <c r="E226" t="s">
        <v>52</v>
      </c>
      <c r="F226">
        <v>13</v>
      </c>
      <c r="G226">
        <v>24</v>
      </c>
      <c r="H226">
        <v>0</v>
      </c>
      <c r="I226">
        <v>3</v>
      </c>
      <c r="J226">
        <v>2</v>
      </c>
      <c r="K226">
        <v>0</v>
      </c>
      <c r="L226">
        <v>0</v>
      </c>
      <c r="M226" t="s">
        <v>77</v>
      </c>
      <c r="N226" t="s">
        <v>63</v>
      </c>
      <c r="O226" t="s">
        <v>64</v>
      </c>
      <c r="P226" t="s">
        <v>45</v>
      </c>
      <c r="Q226">
        <v>0</v>
      </c>
      <c r="R226">
        <v>0</v>
      </c>
      <c r="S226">
        <v>0</v>
      </c>
      <c r="T226" t="s">
        <v>46</v>
      </c>
      <c r="U226" t="s">
        <v>46</v>
      </c>
      <c r="V226">
        <v>0</v>
      </c>
      <c r="W226" t="s">
        <v>38</v>
      </c>
      <c r="Z226">
        <v>0</v>
      </c>
      <c r="AA226" t="s">
        <v>51</v>
      </c>
      <c r="AB226">
        <v>84</v>
      </c>
      <c r="AC226">
        <v>0</v>
      </c>
      <c r="AD226">
        <v>0</v>
      </c>
      <c r="AE226" t="s">
        <v>40</v>
      </c>
      <c r="AF226" s="1">
        <v>42456</v>
      </c>
    </row>
    <row r="227" spans="1:32" x14ac:dyDescent="0.25">
      <c r="A227" t="s">
        <v>41</v>
      </c>
      <c r="B227">
        <v>0</v>
      </c>
      <c r="C227">
        <v>97</v>
      </c>
      <c r="D227">
        <v>2016</v>
      </c>
      <c r="E227" t="s">
        <v>67</v>
      </c>
      <c r="F227">
        <v>32</v>
      </c>
      <c r="G227">
        <v>5</v>
      </c>
      <c r="H227">
        <v>1</v>
      </c>
      <c r="I227">
        <v>2</v>
      </c>
      <c r="J227">
        <v>3</v>
      </c>
      <c r="K227">
        <v>0</v>
      </c>
      <c r="L227">
        <v>0</v>
      </c>
      <c r="M227" t="s">
        <v>34</v>
      </c>
      <c r="N227" t="s">
        <v>95</v>
      </c>
      <c r="O227" t="s">
        <v>44</v>
      </c>
      <c r="P227" t="s">
        <v>45</v>
      </c>
      <c r="Q227">
        <v>0</v>
      </c>
      <c r="R227">
        <v>0</v>
      </c>
      <c r="S227">
        <v>0</v>
      </c>
      <c r="T227" t="s">
        <v>57</v>
      </c>
      <c r="U227" t="s">
        <v>57</v>
      </c>
      <c r="V227">
        <v>0</v>
      </c>
      <c r="W227" t="s">
        <v>38</v>
      </c>
      <c r="X227">
        <v>9</v>
      </c>
      <c r="Z227">
        <v>0</v>
      </c>
      <c r="AA227" t="s">
        <v>39</v>
      </c>
      <c r="AB227">
        <v>150.30000000000001</v>
      </c>
      <c r="AC227">
        <v>0</v>
      </c>
      <c r="AD227">
        <v>1</v>
      </c>
      <c r="AE227" t="s">
        <v>40</v>
      </c>
      <c r="AF227" s="1">
        <v>42590</v>
      </c>
    </row>
    <row r="228" spans="1:32" x14ac:dyDescent="0.25">
      <c r="A228" t="s">
        <v>32</v>
      </c>
      <c r="B228">
        <v>1</v>
      </c>
      <c r="C228">
        <v>21</v>
      </c>
      <c r="D228">
        <v>2017</v>
      </c>
      <c r="E228" t="s">
        <v>42</v>
      </c>
      <c r="F228">
        <v>29</v>
      </c>
      <c r="G228">
        <v>17</v>
      </c>
      <c r="H228">
        <v>1</v>
      </c>
      <c r="I228">
        <v>3</v>
      </c>
      <c r="J228">
        <v>2</v>
      </c>
      <c r="K228">
        <v>0</v>
      </c>
      <c r="L228">
        <v>0</v>
      </c>
      <c r="M228" t="s">
        <v>34</v>
      </c>
      <c r="N228" t="s">
        <v>105</v>
      </c>
      <c r="O228" t="s">
        <v>44</v>
      </c>
      <c r="P228" t="s">
        <v>45</v>
      </c>
      <c r="Q228">
        <v>0</v>
      </c>
      <c r="R228">
        <v>0</v>
      </c>
      <c r="S228">
        <v>0</v>
      </c>
      <c r="T228" t="s">
        <v>72</v>
      </c>
      <c r="U228" t="s">
        <v>72</v>
      </c>
      <c r="V228">
        <v>0</v>
      </c>
      <c r="W228" t="s">
        <v>38</v>
      </c>
      <c r="X228">
        <v>240</v>
      </c>
      <c r="Z228">
        <v>0</v>
      </c>
      <c r="AA228" t="s">
        <v>39</v>
      </c>
      <c r="AB228">
        <v>230</v>
      </c>
      <c r="AC228">
        <v>0</v>
      </c>
      <c r="AD228">
        <v>1</v>
      </c>
      <c r="AE228" t="s">
        <v>47</v>
      </c>
      <c r="AF228" s="1">
        <v>42915</v>
      </c>
    </row>
    <row r="229" spans="1:32" x14ac:dyDescent="0.25">
      <c r="A229" t="s">
        <v>41</v>
      </c>
      <c r="B229">
        <v>0</v>
      </c>
      <c r="C229">
        <v>214</v>
      </c>
      <c r="D229">
        <v>2016</v>
      </c>
      <c r="E229" t="s">
        <v>61</v>
      </c>
      <c r="F229">
        <v>48</v>
      </c>
      <c r="G229">
        <v>20</v>
      </c>
      <c r="H229">
        <v>2</v>
      </c>
      <c r="I229">
        <v>1</v>
      </c>
      <c r="J229">
        <v>1</v>
      </c>
      <c r="K229">
        <v>0</v>
      </c>
      <c r="L229">
        <v>0</v>
      </c>
      <c r="M229" t="s">
        <v>34</v>
      </c>
      <c r="N229" t="s">
        <v>63</v>
      </c>
      <c r="O229" t="s">
        <v>64</v>
      </c>
      <c r="P229" t="s">
        <v>76</v>
      </c>
      <c r="Q229">
        <v>0</v>
      </c>
      <c r="R229">
        <v>0</v>
      </c>
      <c r="S229">
        <v>0</v>
      </c>
      <c r="T229" t="s">
        <v>46</v>
      </c>
      <c r="U229" t="s">
        <v>57</v>
      </c>
      <c r="V229">
        <v>2</v>
      </c>
      <c r="W229" t="s">
        <v>38</v>
      </c>
      <c r="Y229">
        <v>233</v>
      </c>
      <c r="Z229">
        <v>0</v>
      </c>
      <c r="AA229" t="s">
        <v>39</v>
      </c>
      <c r="AB229">
        <v>75</v>
      </c>
      <c r="AC229">
        <v>0</v>
      </c>
      <c r="AD229">
        <v>0</v>
      </c>
      <c r="AE229" t="s">
        <v>40</v>
      </c>
      <c r="AF229" s="1">
        <v>42697</v>
      </c>
    </row>
    <row r="230" spans="1:32" x14ac:dyDescent="0.25">
      <c r="A230" t="s">
        <v>41</v>
      </c>
      <c r="B230">
        <v>0</v>
      </c>
      <c r="C230">
        <v>1</v>
      </c>
      <c r="D230">
        <v>2016</v>
      </c>
      <c r="E230" t="s">
        <v>33</v>
      </c>
      <c r="F230">
        <v>53</v>
      </c>
      <c r="G230">
        <v>29</v>
      </c>
      <c r="H230">
        <v>0</v>
      </c>
      <c r="I230">
        <v>2</v>
      </c>
      <c r="J230">
        <v>2</v>
      </c>
      <c r="K230">
        <v>0</v>
      </c>
      <c r="L230">
        <v>0</v>
      </c>
      <c r="M230" t="s">
        <v>55</v>
      </c>
      <c r="N230" t="s">
        <v>71</v>
      </c>
      <c r="O230" t="s">
        <v>44</v>
      </c>
      <c r="P230" t="s">
        <v>45</v>
      </c>
      <c r="Q230">
        <v>0</v>
      </c>
      <c r="R230">
        <v>0</v>
      </c>
      <c r="S230">
        <v>0</v>
      </c>
      <c r="T230" t="s">
        <v>46</v>
      </c>
      <c r="U230" t="s">
        <v>46</v>
      </c>
      <c r="V230">
        <v>1</v>
      </c>
      <c r="W230" t="s">
        <v>38</v>
      </c>
      <c r="X230">
        <v>9</v>
      </c>
      <c r="Z230">
        <v>0</v>
      </c>
      <c r="AA230" t="s">
        <v>39</v>
      </c>
      <c r="AB230">
        <v>120</v>
      </c>
      <c r="AC230">
        <v>0</v>
      </c>
      <c r="AD230">
        <v>1</v>
      </c>
      <c r="AE230" t="s">
        <v>40</v>
      </c>
      <c r="AF230" s="1">
        <v>42735</v>
      </c>
    </row>
    <row r="231" spans="1:32" x14ac:dyDescent="0.25">
      <c r="A231" t="s">
        <v>41</v>
      </c>
      <c r="B231">
        <v>0</v>
      </c>
      <c r="C231">
        <v>18</v>
      </c>
      <c r="D231">
        <v>2017</v>
      </c>
      <c r="E231" t="s">
        <v>66</v>
      </c>
      <c r="F231">
        <v>7</v>
      </c>
      <c r="G231">
        <v>17</v>
      </c>
      <c r="H231">
        <v>0</v>
      </c>
      <c r="I231">
        <v>2</v>
      </c>
      <c r="J231">
        <v>2</v>
      </c>
      <c r="K231">
        <v>0</v>
      </c>
      <c r="L231">
        <v>0</v>
      </c>
      <c r="M231" t="s">
        <v>34</v>
      </c>
      <c r="N231" t="s">
        <v>63</v>
      </c>
      <c r="O231" t="s">
        <v>36</v>
      </c>
      <c r="P231" t="s">
        <v>36</v>
      </c>
      <c r="Q231">
        <v>0</v>
      </c>
      <c r="R231">
        <v>0</v>
      </c>
      <c r="S231">
        <v>0</v>
      </c>
      <c r="T231" t="s">
        <v>57</v>
      </c>
      <c r="U231" t="s">
        <v>57</v>
      </c>
      <c r="V231">
        <v>0</v>
      </c>
      <c r="W231" t="s">
        <v>38</v>
      </c>
      <c r="X231">
        <v>14</v>
      </c>
      <c r="Z231">
        <v>0</v>
      </c>
      <c r="AA231" t="s">
        <v>39</v>
      </c>
      <c r="AB231">
        <v>98.88</v>
      </c>
      <c r="AC231">
        <v>0</v>
      </c>
      <c r="AD231">
        <v>0</v>
      </c>
      <c r="AE231" t="s">
        <v>40</v>
      </c>
      <c r="AF231" s="1">
        <v>42785</v>
      </c>
    </row>
    <row r="232" spans="1:32" x14ac:dyDescent="0.25">
      <c r="A232" t="s">
        <v>41</v>
      </c>
      <c r="B232">
        <v>0</v>
      </c>
      <c r="C232">
        <v>142</v>
      </c>
      <c r="D232">
        <v>2016</v>
      </c>
      <c r="E232" t="s">
        <v>69</v>
      </c>
      <c r="F232">
        <v>19</v>
      </c>
      <c r="G232">
        <v>6</v>
      </c>
      <c r="H232">
        <v>1</v>
      </c>
      <c r="I232">
        <v>2</v>
      </c>
      <c r="J232">
        <v>2</v>
      </c>
      <c r="K232">
        <v>0</v>
      </c>
      <c r="L232">
        <v>0</v>
      </c>
      <c r="M232" t="s">
        <v>34</v>
      </c>
      <c r="N232" t="s">
        <v>70</v>
      </c>
      <c r="O232" t="s">
        <v>44</v>
      </c>
      <c r="P232" t="s">
        <v>45</v>
      </c>
      <c r="Q232">
        <v>0</v>
      </c>
      <c r="R232">
        <v>0</v>
      </c>
      <c r="S232">
        <v>0</v>
      </c>
      <c r="T232" t="s">
        <v>57</v>
      </c>
      <c r="U232" t="s">
        <v>57</v>
      </c>
      <c r="V232">
        <v>0</v>
      </c>
      <c r="W232" t="s">
        <v>38</v>
      </c>
      <c r="X232">
        <v>9</v>
      </c>
      <c r="Z232">
        <v>0</v>
      </c>
      <c r="AA232" t="s">
        <v>39</v>
      </c>
      <c r="AB232">
        <v>114.3</v>
      </c>
      <c r="AC232">
        <v>0</v>
      </c>
      <c r="AD232">
        <v>0</v>
      </c>
      <c r="AE232" t="s">
        <v>40</v>
      </c>
      <c r="AF232" s="1">
        <v>42499</v>
      </c>
    </row>
    <row r="233" spans="1:32" x14ac:dyDescent="0.25">
      <c r="A233" t="s">
        <v>41</v>
      </c>
      <c r="B233">
        <v>0</v>
      </c>
      <c r="C233">
        <v>99</v>
      </c>
      <c r="D233">
        <v>2017</v>
      </c>
      <c r="E233" t="s">
        <v>69</v>
      </c>
      <c r="F233">
        <v>22</v>
      </c>
      <c r="G233">
        <v>30</v>
      </c>
      <c r="H233">
        <v>0</v>
      </c>
      <c r="I233">
        <v>4</v>
      </c>
      <c r="J233">
        <v>2</v>
      </c>
      <c r="K233">
        <v>0</v>
      </c>
      <c r="L233">
        <v>0</v>
      </c>
      <c r="M233" t="s">
        <v>60</v>
      </c>
      <c r="N233" t="s">
        <v>65</v>
      </c>
      <c r="O233" t="s">
        <v>44</v>
      </c>
      <c r="P233" t="s">
        <v>45</v>
      </c>
      <c r="Q233">
        <v>0</v>
      </c>
      <c r="R233">
        <v>0</v>
      </c>
      <c r="S233">
        <v>0</v>
      </c>
      <c r="T233" t="s">
        <v>46</v>
      </c>
      <c r="U233" t="s">
        <v>46</v>
      </c>
      <c r="V233">
        <v>1</v>
      </c>
      <c r="W233" t="s">
        <v>38</v>
      </c>
      <c r="X233">
        <v>9</v>
      </c>
      <c r="Z233">
        <v>0</v>
      </c>
      <c r="AA233" t="s">
        <v>39</v>
      </c>
      <c r="AB233">
        <v>169.2</v>
      </c>
      <c r="AC233">
        <v>0</v>
      </c>
      <c r="AD233">
        <v>2</v>
      </c>
      <c r="AE233" t="s">
        <v>40</v>
      </c>
      <c r="AF233" s="1">
        <v>42889</v>
      </c>
    </row>
    <row r="234" spans="1:32" x14ac:dyDescent="0.25">
      <c r="A234" t="s">
        <v>32</v>
      </c>
      <c r="B234">
        <v>1</v>
      </c>
      <c r="C234">
        <v>320</v>
      </c>
      <c r="D234">
        <v>2017</v>
      </c>
      <c r="E234" t="s">
        <v>42</v>
      </c>
      <c r="F234">
        <v>27</v>
      </c>
      <c r="G234">
        <v>4</v>
      </c>
      <c r="H234">
        <v>0</v>
      </c>
      <c r="I234">
        <v>3</v>
      </c>
      <c r="J234">
        <v>2</v>
      </c>
      <c r="K234">
        <v>0</v>
      </c>
      <c r="L234">
        <v>0</v>
      </c>
      <c r="M234" t="s">
        <v>34</v>
      </c>
      <c r="N234" t="s">
        <v>70</v>
      </c>
      <c r="O234" t="s">
        <v>44</v>
      </c>
      <c r="P234" t="s">
        <v>45</v>
      </c>
      <c r="Q234">
        <v>0</v>
      </c>
      <c r="R234">
        <v>0</v>
      </c>
      <c r="S234">
        <v>0</v>
      </c>
      <c r="T234" t="s">
        <v>46</v>
      </c>
      <c r="U234" t="s">
        <v>46</v>
      </c>
      <c r="V234">
        <v>0</v>
      </c>
      <c r="W234" t="s">
        <v>38</v>
      </c>
      <c r="X234">
        <v>240</v>
      </c>
      <c r="Z234">
        <v>0</v>
      </c>
      <c r="AA234" t="s">
        <v>39</v>
      </c>
      <c r="AB234">
        <v>93.38</v>
      </c>
      <c r="AC234">
        <v>0</v>
      </c>
      <c r="AD234">
        <v>0</v>
      </c>
      <c r="AE234" t="s">
        <v>47</v>
      </c>
      <c r="AF234" s="1">
        <v>42600</v>
      </c>
    </row>
    <row r="235" spans="1:32" x14ac:dyDescent="0.25">
      <c r="A235" t="s">
        <v>41</v>
      </c>
      <c r="B235">
        <v>1</v>
      </c>
      <c r="C235">
        <v>211</v>
      </c>
      <c r="D235">
        <v>2016</v>
      </c>
      <c r="E235" t="s">
        <v>69</v>
      </c>
      <c r="F235">
        <v>21</v>
      </c>
      <c r="G235">
        <v>20</v>
      </c>
      <c r="H235">
        <v>0</v>
      </c>
      <c r="I235">
        <v>2</v>
      </c>
      <c r="J235">
        <v>2</v>
      </c>
      <c r="K235">
        <v>0</v>
      </c>
      <c r="L235">
        <v>0</v>
      </c>
      <c r="M235" t="s">
        <v>34</v>
      </c>
      <c r="N235" t="s">
        <v>43</v>
      </c>
      <c r="O235" t="s">
        <v>49</v>
      </c>
      <c r="P235" t="s">
        <v>45</v>
      </c>
      <c r="Q235">
        <v>0</v>
      </c>
      <c r="R235">
        <v>0</v>
      </c>
      <c r="S235">
        <v>0</v>
      </c>
      <c r="T235" t="s">
        <v>46</v>
      </c>
      <c r="U235" t="s">
        <v>46</v>
      </c>
      <c r="V235">
        <v>0</v>
      </c>
      <c r="W235" t="s">
        <v>68</v>
      </c>
      <c r="X235">
        <v>6</v>
      </c>
      <c r="Z235">
        <v>111</v>
      </c>
      <c r="AA235" t="s">
        <v>39</v>
      </c>
      <c r="AB235">
        <v>100</v>
      </c>
      <c r="AC235">
        <v>0</v>
      </c>
      <c r="AD235">
        <v>0</v>
      </c>
      <c r="AE235" t="s">
        <v>47</v>
      </c>
      <c r="AF235" s="1">
        <v>42447</v>
      </c>
    </row>
    <row r="236" spans="1:32" x14ac:dyDescent="0.25">
      <c r="A236" t="s">
        <v>32</v>
      </c>
      <c r="B236">
        <v>1</v>
      </c>
      <c r="C236">
        <v>198</v>
      </c>
      <c r="D236">
        <v>2016</v>
      </c>
      <c r="E236" t="s">
        <v>59</v>
      </c>
      <c r="F236">
        <v>42</v>
      </c>
      <c r="G236">
        <v>15</v>
      </c>
      <c r="H236">
        <v>2</v>
      </c>
      <c r="I236">
        <v>5</v>
      </c>
      <c r="J236">
        <v>2</v>
      </c>
      <c r="K236">
        <v>0</v>
      </c>
      <c r="L236">
        <v>0</v>
      </c>
      <c r="M236" t="s">
        <v>34</v>
      </c>
      <c r="N236" t="s">
        <v>82</v>
      </c>
      <c r="O236" t="s">
        <v>44</v>
      </c>
      <c r="P236" t="s">
        <v>45</v>
      </c>
      <c r="Q236">
        <v>0</v>
      </c>
      <c r="R236">
        <v>0</v>
      </c>
      <c r="S236">
        <v>0</v>
      </c>
      <c r="T236" t="s">
        <v>57</v>
      </c>
      <c r="U236" t="s">
        <v>57</v>
      </c>
      <c r="V236">
        <v>1</v>
      </c>
      <c r="W236" t="s">
        <v>38</v>
      </c>
      <c r="X236">
        <v>240</v>
      </c>
      <c r="Z236">
        <v>0</v>
      </c>
      <c r="AA236" t="s">
        <v>51</v>
      </c>
      <c r="AB236">
        <v>68</v>
      </c>
      <c r="AC236">
        <v>0</v>
      </c>
      <c r="AD236">
        <v>0</v>
      </c>
      <c r="AE236" t="s">
        <v>47</v>
      </c>
      <c r="AF236" s="1">
        <v>42584</v>
      </c>
    </row>
    <row r="237" spans="1:32" x14ac:dyDescent="0.25">
      <c r="A237" t="s">
        <v>41</v>
      </c>
      <c r="B237">
        <v>0</v>
      </c>
      <c r="C237">
        <v>37</v>
      </c>
      <c r="D237">
        <v>2016</v>
      </c>
      <c r="E237" t="s">
        <v>83</v>
      </c>
      <c r="F237">
        <v>27</v>
      </c>
      <c r="G237">
        <v>29</v>
      </c>
      <c r="H237">
        <v>0</v>
      </c>
      <c r="I237">
        <v>1</v>
      </c>
      <c r="J237">
        <v>3</v>
      </c>
      <c r="K237">
        <v>0</v>
      </c>
      <c r="L237">
        <v>0</v>
      </c>
      <c r="M237" t="s">
        <v>34</v>
      </c>
      <c r="N237" t="s">
        <v>35</v>
      </c>
      <c r="O237" t="s">
        <v>49</v>
      </c>
      <c r="P237" t="s">
        <v>45</v>
      </c>
      <c r="Q237">
        <v>0</v>
      </c>
      <c r="R237">
        <v>0</v>
      </c>
      <c r="S237">
        <v>0</v>
      </c>
      <c r="T237" t="s">
        <v>46</v>
      </c>
      <c r="U237" t="s">
        <v>84</v>
      </c>
      <c r="V237">
        <v>0</v>
      </c>
      <c r="W237" t="s">
        <v>38</v>
      </c>
      <c r="X237">
        <v>22</v>
      </c>
      <c r="Z237">
        <v>0</v>
      </c>
      <c r="AA237" t="s">
        <v>39</v>
      </c>
      <c r="AB237">
        <v>111.6</v>
      </c>
      <c r="AC237">
        <v>0</v>
      </c>
      <c r="AD237">
        <v>1</v>
      </c>
      <c r="AE237" t="s">
        <v>40</v>
      </c>
      <c r="AF237" s="1">
        <v>42551</v>
      </c>
    </row>
    <row r="238" spans="1:32" x14ac:dyDescent="0.25">
      <c r="A238" t="s">
        <v>41</v>
      </c>
      <c r="B238">
        <v>1</v>
      </c>
      <c r="C238">
        <v>408</v>
      </c>
      <c r="D238">
        <v>2017</v>
      </c>
      <c r="E238" t="s">
        <v>69</v>
      </c>
      <c r="F238">
        <v>22</v>
      </c>
      <c r="G238">
        <v>30</v>
      </c>
      <c r="H238">
        <v>0</v>
      </c>
      <c r="I238">
        <v>1</v>
      </c>
      <c r="J238">
        <v>2</v>
      </c>
      <c r="K238">
        <v>0</v>
      </c>
      <c r="L238">
        <v>0</v>
      </c>
      <c r="M238" t="s">
        <v>34</v>
      </c>
      <c r="N238" t="s">
        <v>43</v>
      </c>
      <c r="O238" t="s">
        <v>64</v>
      </c>
      <c r="P238" t="s">
        <v>45</v>
      </c>
      <c r="Q238">
        <v>0</v>
      </c>
      <c r="R238">
        <v>0</v>
      </c>
      <c r="S238">
        <v>0</v>
      </c>
      <c r="T238" t="s">
        <v>46</v>
      </c>
      <c r="U238" t="s">
        <v>46</v>
      </c>
      <c r="V238">
        <v>0</v>
      </c>
      <c r="W238" t="s">
        <v>68</v>
      </c>
      <c r="X238">
        <v>229</v>
      </c>
      <c r="Z238">
        <v>0</v>
      </c>
      <c r="AA238" t="s">
        <v>39</v>
      </c>
      <c r="AB238">
        <v>90</v>
      </c>
      <c r="AC238">
        <v>0</v>
      </c>
      <c r="AD238">
        <v>0</v>
      </c>
      <c r="AE238" t="s">
        <v>47</v>
      </c>
      <c r="AF238" s="1">
        <v>42860</v>
      </c>
    </row>
    <row r="239" spans="1:32" x14ac:dyDescent="0.25">
      <c r="A239" t="s">
        <v>41</v>
      </c>
      <c r="B239">
        <v>1</v>
      </c>
      <c r="C239">
        <v>27</v>
      </c>
      <c r="D239">
        <v>2017</v>
      </c>
      <c r="E239" t="s">
        <v>66</v>
      </c>
      <c r="F239">
        <v>8</v>
      </c>
      <c r="G239">
        <v>23</v>
      </c>
      <c r="H239">
        <v>0</v>
      </c>
      <c r="I239">
        <v>3</v>
      </c>
      <c r="J239">
        <v>2</v>
      </c>
      <c r="K239">
        <v>0</v>
      </c>
      <c r="L239">
        <v>0</v>
      </c>
      <c r="M239" t="s">
        <v>34</v>
      </c>
      <c r="N239" t="s">
        <v>106</v>
      </c>
      <c r="O239" t="s">
        <v>44</v>
      </c>
      <c r="P239" t="s">
        <v>45</v>
      </c>
      <c r="Q239">
        <v>0</v>
      </c>
      <c r="R239">
        <v>0</v>
      </c>
      <c r="S239">
        <v>0</v>
      </c>
      <c r="T239" t="s">
        <v>57</v>
      </c>
      <c r="U239" t="s">
        <v>57</v>
      </c>
      <c r="V239">
        <v>0</v>
      </c>
      <c r="W239" t="s">
        <v>38</v>
      </c>
      <c r="X239">
        <v>9</v>
      </c>
      <c r="Z239">
        <v>0</v>
      </c>
      <c r="AA239" t="s">
        <v>39</v>
      </c>
      <c r="AB239">
        <v>118</v>
      </c>
      <c r="AC239">
        <v>0</v>
      </c>
      <c r="AD239">
        <v>0</v>
      </c>
      <c r="AE239" t="s">
        <v>47</v>
      </c>
      <c r="AF239" s="1">
        <v>42764</v>
      </c>
    </row>
    <row r="240" spans="1:32" x14ac:dyDescent="0.25">
      <c r="A240" t="s">
        <v>41</v>
      </c>
      <c r="B240">
        <v>1</v>
      </c>
      <c r="C240">
        <v>110</v>
      </c>
      <c r="D240">
        <v>2015</v>
      </c>
      <c r="E240" t="s">
        <v>42</v>
      </c>
      <c r="F240">
        <v>30</v>
      </c>
      <c r="G240">
        <v>25</v>
      </c>
      <c r="H240">
        <v>2</v>
      </c>
      <c r="I240">
        <v>1</v>
      </c>
      <c r="J240">
        <v>2</v>
      </c>
      <c r="K240">
        <v>0</v>
      </c>
      <c r="L240">
        <v>0</v>
      </c>
      <c r="M240" t="s">
        <v>60</v>
      </c>
      <c r="N240" t="s">
        <v>106</v>
      </c>
      <c r="O240" t="s">
        <v>49</v>
      </c>
      <c r="P240" t="s">
        <v>45</v>
      </c>
      <c r="Q240">
        <v>0</v>
      </c>
      <c r="R240">
        <v>0</v>
      </c>
      <c r="S240">
        <v>0</v>
      </c>
      <c r="T240" t="s">
        <v>46</v>
      </c>
      <c r="U240" t="s">
        <v>46</v>
      </c>
      <c r="V240">
        <v>0</v>
      </c>
      <c r="W240" t="s">
        <v>38</v>
      </c>
      <c r="X240">
        <v>17</v>
      </c>
      <c r="Z240">
        <v>0</v>
      </c>
      <c r="AA240" t="s">
        <v>51</v>
      </c>
      <c r="AB240">
        <v>94.5</v>
      </c>
      <c r="AC240">
        <v>0</v>
      </c>
      <c r="AD240">
        <v>0</v>
      </c>
      <c r="AE240" t="s">
        <v>47</v>
      </c>
      <c r="AF240" s="1">
        <v>42201</v>
      </c>
    </row>
    <row r="241" spans="1:32" x14ac:dyDescent="0.25">
      <c r="A241" t="s">
        <v>41</v>
      </c>
      <c r="B241">
        <v>1</v>
      </c>
      <c r="C241">
        <v>129</v>
      </c>
      <c r="D241">
        <v>2017</v>
      </c>
      <c r="E241" t="s">
        <v>83</v>
      </c>
      <c r="F241">
        <v>22</v>
      </c>
      <c r="G241">
        <v>2</v>
      </c>
      <c r="H241">
        <v>1</v>
      </c>
      <c r="I241">
        <v>2</v>
      </c>
      <c r="J241">
        <v>2</v>
      </c>
      <c r="K241">
        <v>0</v>
      </c>
      <c r="L241">
        <v>0</v>
      </c>
      <c r="M241" t="s">
        <v>34</v>
      </c>
      <c r="N241" t="s">
        <v>43</v>
      </c>
      <c r="O241" t="s">
        <v>64</v>
      </c>
      <c r="P241" t="s">
        <v>45</v>
      </c>
      <c r="Q241">
        <v>0</v>
      </c>
      <c r="R241">
        <v>0</v>
      </c>
      <c r="S241">
        <v>0</v>
      </c>
      <c r="T241" t="s">
        <v>46</v>
      </c>
      <c r="U241" t="s">
        <v>46</v>
      </c>
      <c r="V241">
        <v>0</v>
      </c>
      <c r="W241" t="s">
        <v>68</v>
      </c>
      <c r="X241">
        <v>154</v>
      </c>
      <c r="Z241">
        <v>0</v>
      </c>
      <c r="AA241" t="s">
        <v>39</v>
      </c>
      <c r="AB241">
        <v>130</v>
      </c>
      <c r="AC241">
        <v>0</v>
      </c>
      <c r="AD241">
        <v>0</v>
      </c>
      <c r="AE241" t="s">
        <v>47</v>
      </c>
      <c r="AF241" s="1">
        <v>42759</v>
      </c>
    </row>
    <row r="242" spans="1:32" x14ac:dyDescent="0.25">
      <c r="A242" t="s">
        <v>32</v>
      </c>
      <c r="B242">
        <v>1</v>
      </c>
      <c r="C242">
        <v>275</v>
      </c>
      <c r="D242">
        <v>2015</v>
      </c>
      <c r="E242" t="s">
        <v>59</v>
      </c>
      <c r="F242">
        <v>41</v>
      </c>
      <c r="G242">
        <v>4</v>
      </c>
      <c r="H242">
        <v>2</v>
      </c>
      <c r="I242">
        <v>0</v>
      </c>
      <c r="J242">
        <v>2</v>
      </c>
      <c r="K242">
        <v>0</v>
      </c>
      <c r="L242">
        <v>0</v>
      </c>
      <c r="M242" t="s">
        <v>60</v>
      </c>
      <c r="N242" t="s">
        <v>43</v>
      </c>
      <c r="O242" t="s">
        <v>49</v>
      </c>
      <c r="P242" t="s">
        <v>45</v>
      </c>
      <c r="Q242">
        <v>0</v>
      </c>
      <c r="R242">
        <v>26</v>
      </c>
      <c r="S242">
        <v>0</v>
      </c>
      <c r="T242" t="s">
        <v>46</v>
      </c>
      <c r="U242" t="s">
        <v>46</v>
      </c>
      <c r="V242">
        <v>0</v>
      </c>
      <c r="W242" t="s">
        <v>68</v>
      </c>
      <c r="X242">
        <v>208</v>
      </c>
      <c r="Z242">
        <v>0</v>
      </c>
      <c r="AA242" t="s">
        <v>39</v>
      </c>
      <c r="AB242">
        <v>50</v>
      </c>
      <c r="AC242">
        <v>0</v>
      </c>
      <c r="AD242">
        <v>0</v>
      </c>
      <c r="AE242" t="s">
        <v>47</v>
      </c>
      <c r="AF242" s="1">
        <v>42034</v>
      </c>
    </row>
    <row r="243" spans="1:32" x14ac:dyDescent="0.25">
      <c r="A243" t="s">
        <v>41</v>
      </c>
      <c r="B243">
        <v>0</v>
      </c>
      <c r="C243">
        <v>152</v>
      </c>
      <c r="D243">
        <v>2016</v>
      </c>
      <c r="E243" t="s">
        <v>42</v>
      </c>
      <c r="F243">
        <v>29</v>
      </c>
      <c r="G243">
        <v>11</v>
      </c>
      <c r="H243">
        <v>1</v>
      </c>
      <c r="I243">
        <v>1</v>
      </c>
      <c r="J243">
        <v>2</v>
      </c>
      <c r="K243">
        <v>0</v>
      </c>
      <c r="L243">
        <v>0</v>
      </c>
      <c r="M243" t="s">
        <v>34</v>
      </c>
      <c r="N243" t="s">
        <v>43</v>
      </c>
      <c r="O243" t="s">
        <v>44</v>
      </c>
      <c r="P243" t="s">
        <v>45</v>
      </c>
      <c r="Q243">
        <v>0</v>
      </c>
      <c r="R243">
        <v>0</v>
      </c>
      <c r="S243">
        <v>0</v>
      </c>
      <c r="T243" t="s">
        <v>46</v>
      </c>
      <c r="U243" t="s">
        <v>46</v>
      </c>
      <c r="V243">
        <v>2</v>
      </c>
      <c r="W243" t="s">
        <v>38</v>
      </c>
      <c r="X243">
        <v>9</v>
      </c>
      <c r="Z243">
        <v>0</v>
      </c>
      <c r="AA243" t="s">
        <v>51</v>
      </c>
      <c r="AB243">
        <v>99</v>
      </c>
      <c r="AC243">
        <v>0</v>
      </c>
      <c r="AD243">
        <v>2</v>
      </c>
      <c r="AE243" t="s">
        <v>40</v>
      </c>
      <c r="AF243" s="1">
        <v>42564</v>
      </c>
    </row>
    <row r="244" spans="1:32" x14ac:dyDescent="0.25">
      <c r="A244" t="s">
        <v>32</v>
      </c>
      <c r="B244">
        <v>0</v>
      </c>
      <c r="C244">
        <v>43</v>
      </c>
      <c r="D244">
        <v>2017</v>
      </c>
      <c r="E244" t="s">
        <v>83</v>
      </c>
      <c r="F244">
        <v>24</v>
      </c>
      <c r="G244">
        <v>11</v>
      </c>
      <c r="H244">
        <v>2</v>
      </c>
      <c r="I244">
        <v>5</v>
      </c>
      <c r="J244">
        <v>2</v>
      </c>
      <c r="K244">
        <v>0</v>
      </c>
      <c r="L244">
        <v>0</v>
      </c>
      <c r="M244" t="s">
        <v>34</v>
      </c>
      <c r="N244" t="s">
        <v>70</v>
      </c>
      <c r="O244" t="s">
        <v>44</v>
      </c>
      <c r="P244" t="s">
        <v>45</v>
      </c>
      <c r="Q244">
        <v>0</v>
      </c>
      <c r="R244">
        <v>0</v>
      </c>
      <c r="S244">
        <v>0</v>
      </c>
      <c r="T244" t="s">
        <v>46</v>
      </c>
      <c r="U244" t="s">
        <v>46</v>
      </c>
      <c r="V244">
        <v>0</v>
      </c>
      <c r="W244" t="s">
        <v>38</v>
      </c>
      <c r="X244">
        <v>240</v>
      </c>
      <c r="Z244">
        <v>0</v>
      </c>
      <c r="AA244" t="s">
        <v>39</v>
      </c>
      <c r="AB244">
        <v>140</v>
      </c>
      <c r="AC244">
        <v>0</v>
      </c>
      <c r="AD244">
        <v>1</v>
      </c>
      <c r="AE244" t="s">
        <v>40</v>
      </c>
      <c r="AF244" s="1">
        <v>42904</v>
      </c>
    </row>
    <row r="245" spans="1:32" x14ac:dyDescent="0.25">
      <c r="A245" t="s">
        <v>41</v>
      </c>
      <c r="B245">
        <v>0</v>
      </c>
      <c r="C245">
        <v>19</v>
      </c>
      <c r="D245">
        <v>2016</v>
      </c>
      <c r="E245" t="s">
        <v>66</v>
      </c>
      <c r="F245">
        <v>7</v>
      </c>
      <c r="G245">
        <v>13</v>
      </c>
      <c r="H245">
        <v>0</v>
      </c>
      <c r="I245">
        <v>1</v>
      </c>
      <c r="J245">
        <v>2</v>
      </c>
      <c r="K245">
        <v>0</v>
      </c>
      <c r="L245">
        <v>0</v>
      </c>
      <c r="M245" t="s">
        <v>34</v>
      </c>
      <c r="N245" t="s">
        <v>43</v>
      </c>
      <c r="O245" t="s">
        <v>36</v>
      </c>
      <c r="P245" t="s">
        <v>36</v>
      </c>
      <c r="Q245">
        <v>0</v>
      </c>
      <c r="R245">
        <v>0</v>
      </c>
      <c r="S245">
        <v>0</v>
      </c>
      <c r="T245" t="s">
        <v>57</v>
      </c>
      <c r="U245" t="s">
        <v>57</v>
      </c>
      <c r="V245">
        <v>0</v>
      </c>
      <c r="W245" t="s">
        <v>38</v>
      </c>
      <c r="Z245">
        <v>0</v>
      </c>
      <c r="AA245" t="s">
        <v>39</v>
      </c>
      <c r="AB245">
        <v>100.5</v>
      </c>
      <c r="AC245">
        <v>0</v>
      </c>
      <c r="AD245">
        <v>2</v>
      </c>
      <c r="AE245" t="s">
        <v>40</v>
      </c>
      <c r="AF245" s="1">
        <v>42414</v>
      </c>
    </row>
    <row r="246" spans="1:32" x14ac:dyDescent="0.25">
      <c r="A246" t="s">
        <v>41</v>
      </c>
      <c r="B246">
        <v>0</v>
      </c>
      <c r="C246">
        <v>107</v>
      </c>
      <c r="D246">
        <v>2016</v>
      </c>
      <c r="E246" t="s">
        <v>83</v>
      </c>
      <c r="F246">
        <v>24</v>
      </c>
      <c r="G246">
        <v>10</v>
      </c>
      <c r="H246">
        <v>0</v>
      </c>
      <c r="I246">
        <v>2</v>
      </c>
      <c r="J246">
        <v>1</v>
      </c>
      <c r="K246">
        <v>0</v>
      </c>
      <c r="L246">
        <v>0</v>
      </c>
      <c r="M246" t="s">
        <v>34</v>
      </c>
      <c r="N246" t="s">
        <v>63</v>
      </c>
      <c r="O246" t="s">
        <v>49</v>
      </c>
      <c r="P246" t="s">
        <v>45</v>
      </c>
      <c r="Q246">
        <v>0</v>
      </c>
      <c r="R246">
        <v>0</v>
      </c>
      <c r="S246">
        <v>0</v>
      </c>
      <c r="T246" t="s">
        <v>46</v>
      </c>
      <c r="U246" t="s">
        <v>46</v>
      </c>
      <c r="V246">
        <v>1</v>
      </c>
      <c r="W246" t="s">
        <v>38</v>
      </c>
      <c r="X246">
        <v>187</v>
      </c>
      <c r="Z246">
        <v>0</v>
      </c>
      <c r="AA246" t="s">
        <v>51</v>
      </c>
      <c r="AB246">
        <v>120</v>
      </c>
      <c r="AC246">
        <v>0</v>
      </c>
      <c r="AD246">
        <v>0</v>
      </c>
      <c r="AE246" t="s">
        <v>40</v>
      </c>
      <c r="AF246" s="1">
        <v>42533</v>
      </c>
    </row>
    <row r="247" spans="1:32" x14ac:dyDescent="0.25">
      <c r="A247" t="s">
        <v>41</v>
      </c>
      <c r="B247">
        <v>1</v>
      </c>
      <c r="C247">
        <v>16</v>
      </c>
      <c r="D247">
        <v>2016</v>
      </c>
      <c r="E247" t="s">
        <v>66</v>
      </c>
      <c r="F247">
        <v>9</v>
      </c>
      <c r="G247">
        <v>27</v>
      </c>
      <c r="H247">
        <v>2</v>
      </c>
      <c r="I247">
        <v>5</v>
      </c>
      <c r="J247">
        <v>1</v>
      </c>
      <c r="K247">
        <v>0</v>
      </c>
      <c r="L247">
        <v>0</v>
      </c>
      <c r="M247" t="s">
        <v>34</v>
      </c>
      <c r="N247" t="s">
        <v>107</v>
      </c>
      <c r="O247" t="s">
        <v>36</v>
      </c>
      <c r="P247" t="s">
        <v>36</v>
      </c>
      <c r="Q247">
        <v>0</v>
      </c>
      <c r="R247">
        <v>0</v>
      </c>
      <c r="S247">
        <v>0</v>
      </c>
      <c r="T247" t="s">
        <v>57</v>
      </c>
      <c r="U247" t="s">
        <v>57</v>
      </c>
      <c r="V247">
        <v>0</v>
      </c>
      <c r="W247" t="s">
        <v>38</v>
      </c>
      <c r="X247">
        <v>14</v>
      </c>
      <c r="Z247">
        <v>0</v>
      </c>
      <c r="AA247" t="s">
        <v>39</v>
      </c>
      <c r="AB247">
        <v>101</v>
      </c>
      <c r="AC247">
        <v>0</v>
      </c>
      <c r="AD247">
        <v>0</v>
      </c>
      <c r="AE247" t="s">
        <v>89</v>
      </c>
      <c r="AF247" s="1">
        <v>42427</v>
      </c>
    </row>
    <row r="248" spans="1:32" x14ac:dyDescent="0.25">
      <c r="A248" t="s">
        <v>41</v>
      </c>
      <c r="B248">
        <v>1</v>
      </c>
      <c r="C248">
        <v>281</v>
      </c>
      <c r="D248">
        <v>2016</v>
      </c>
      <c r="E248" t="s">
        <v>54</v>
      </c>
      <c r="F248">
        <v>16</v>
      </c>
      <c r="G248">
        <v>14</v>
      </c>
      <c r="H248">
        <v>0</v>
      </c>
      <c r="I248">
        <v>2</v>
      </c>
      <c r="J248">
        <v>2</v>
      </c>
      <c r="K248">
        <v>0</v>
      </c>
      <c r="L248">
        <v>0</v>
      </c>
      <c r="M248" t="s">
        <v>34</v>
      </c>
      <c r="N248" t="s">
        <v>43</v>
      </c>
      <c r="O248" t="s">
        <v>64</v>
      </c>
      <c r="P248" t="s">
        <v>45</v>
      </c>
      <c r="Q248">
        <v>0</v>
      </c>
      <c r="R248">
        <v>0</v>
      </c>
      <c r="S248">
        <v>0</v>
      </c>
      <c r="T248" t="s">
        <v>46</v>
      </c>
      <c r="U248" t="s">
        <v>46</v>
      </c>
      <c r="V248">
        <v>0</v>
      </c>
      <c r="W248" t="s">
        <v>68</v>
      </c>
      <c r="X248">
        <v>1</v>
      </c>
      <c r="Z248">
        <v>0</v>
      </c>
      <c r="AA248" t="s">
        <v>39</v>
      </c>
      <c r="AB248">
        <v>62</v>
      </c>
      <c r="AC248">
        <v>0</v>
      </c>
      <c r="AD248">
        <v>0</v>
      </c>
      <c r="AE248" t="s">
        <v>47</v>
      </c>
      <c r="AF248" s="1">
        <v>42298</v>
      </c>
    </row>
    <row r="249" spans="1:32" x14ac:dyDescent="0.25">
      <c r="A249" t="s">
        <v>41</v>
      </c>
      <c r="B249">
        <v>0</v>
      </c>
      <c r="C249">
        <v>1</v>
      </c>
      <c r="D249">
        <v>2017</v>
      </c>
      <c r="E249" t="s">
        <v>67</v>
      </c>
      <c r="F249">
        <v>35</v>
      </c>
      <c r="G249">
        <v>27</v>
      </c>
      <c r="H249">
        <v>1</v>
      </c>
      <c r="I249">
        <v>0</v>
      </c>
      <c r="J249">
        <v>1</v>
      </c>
      <c r="K249">
        <v>0</v>
      </c>
      <c r="L249">
        <v>0</v>
      </c>
      <c r="M249" t="s">
        <v>55</v>
      </c>
      <c r="N249" t="s">
        <v>63</v>
      </c>
      <c r="O249" t="s">
        <v>44</v>
      </c>
      <c r="P249" t="s">
        <v>45</v>
      </c>
      <c r="Q249">
        <v>0</v>
      </c>
      <c r="R249">
        <v>0</v>
      </c>
      <c r="S249">
        <v>0</v>
      </c>
      <c r="T249" t="s">
        <v>46</v>
      </c>
      <c r="U249" t="s">
        <v>46</v>
      </c>
      <c r="V249">
        <v>1</v>
      </c>
      <c r="W249" t="s">
        <v>38</v>
      </c>
      <c r="X249">
        <v>9</v>
      </c>
      <c r="Z249">
        <v>0</v>
      </c>
      <c r="AA249" t="s">
        <v>39</v>
      </c>
      <c r="AB249">
        <v>80.099999999999994</v>
      </c>
      <c r="AC249">
        <v>0</v>
      </c>
      <c r="AD249">
        <v>0</v>
      </c>
      <c r="AE249" t="s">
        <v>40</v>
      </c>
      <c r="AF249" s="1">
        <v>42975</v>
      </c>
    </row>
    <row r="250" spans="1:32" x14ac:dyDescent="0.25">
      <c r="A250" t="s">
        <v>41</v>
      </c>
      <c r="B250">
        <v>1</v>
      </c>
      <c r="C250">
        <v>88</v>
      </c>
      <c r="D250">
        <v>2017</v>
      </c>
      <c r="E250" t="s">
        <v>83</v>
      </c>
      <c r="F250">
        <v>24</v>
      </c>
      <c r="G250">
        <v>17</v>
      </c>
      <c r="H250">
        <v>0</v>
      </c>
      <c r="I250">
        <v>1</v>
      </c>
      <c r="J250">
        <v>2</v>
      </c>
      <c r="K250">
        <v>1</v>
      </c>
      <c r="L250">
        <v>0</v>
      </c>
      <c r="M250" t="s">
        <v>60</v>
      </c>
      <c r="N250" t="s">
        <v>63</v>
      </c>
      <c r="O250" t="s">
        <v>44</v>
      </c>
      <c r="P250" t="s">
        <v>45</v>
      </c>
      <c r="Q250">
        <v>0</v>
      </c>
      <c r="R250">
        <v>0</v>
      </c>
      <c r="S250">
        <v>0</v>
      </c>
      <c r="T250" t="s">
        <v>46</v>
      </c>
      <c r="U250" t="s">
        <v>46</v>
      </c>
      <c r="V250">
        <v>0</v>
      </c>
      <c r="W250" t="s">
        <v>38</v>
      </c>
      <c r="X250">
        <v>9</v>
      </c>
      <c r="Z250">
        <v>0</v>
      </c>
      <c r="AA250" t="s">
        <v>39</v>
      </c>
      <c r="AB250">
        <v>204.3</v>
      </c>
      <c r="AC250">
        <v>0</v>
      </c>
      <c r="AD250">
        <v>0</v>
      </c>
      <c r="AE250" t="s">
        <v>47</v>
      </c>
      <c r="AF250" s="1">
        <v>42822</v>
      </c>
    </row>
    <row r="251" spans="1:32" x14ac:dyDescent="0.25">
      <c r="A251" t="s">
        <v>32</v>
      </c>
      <c r="B251">
        <v>0</v>
      </c>
      <c r="C251">
        <v>4</v>
      </c>
      <c r="D251">
        <v>2016</v>
      </c>
      <c r="E251" t="s">
        <v>67</v>
      </c>
      <c r="F251">
        <v>35</v>
      </c>
      <c r="G251">
        <v>23</v>
      </c>
      <c r="H251">
        <v>0</v>
      </c>
      <c r="I251">
        <v>1</v>
      </c>
      <c r="J251">
        <v>1</v>
      </c>
      <c r="K251">
        <v>0</v>
      </c>
      <c r="L251">
        <v>0</v>
      </c>
      <c r="M251" t="s">
        <v>34</v>
      </c>
      <c r="N251" t="s">
        <v>43</v>
      </c>
      <c r="O251" t="s">
        <v>76</v>
      </c>
      <c r="P251" t="s">
        <v>76</v>
      </c>
      <c r="Q251">
        <v>0</v>
      </c>
      <c r="R251">
        <v>0</v>
      </c>
      <c r="S251">
        <v>0</v>
      </c>
      <c r="T251" t="s">
        <v>46</v>
      </c>
      <c r="U251" t="s">
        <v>57</v>
      </c>
      <c r="V251">
        <v>0</v>
      </c>
      <c r="W251" t="s">
        <v>38</v>
      </c>
      <c r="Y251">
        <v>42</v>
      </c>
      <c r="Z251">
        <v>0</v>
      </c>
      <c r="AA251" t="s">
        <v>39</v>
      </c>
      <c r="AB251">
        <v>138</v>
      </c>
      <c r="AC251">
        <v>1</v>
      </c>
      <c r="AD251">
        <v>0</v>
      </c>
      <c r="AE251" t="s">
        <v>40</v>
      </c>
      <c r="AF251" s="1">
        <v>42606</v>
      </c>
    </row>
    <row r="252" spans="1:32" x14ac:dyDescent="0.25">
      <c r="A252" t="s">
        <v>41</v>
      </c>
      <c r="B252">
        <v>0</v>
      </c>
      <c r="C252">
        <v>111</v>
      </c>
      <c r="D252">
        <v>2017</v>
      </c>
      <c r="E252" t="s">
        <v>69</v>
      </c>
      <c r="F252">
        <v>20</v>
      </c>
      <c r="G252">
        <v>14</v>
      </c>
      <c r="H252">
        <v>2</v>
      </c>
      <c r="I252">
        <v>1</v>
      </c>
      <c r="J252">
        <v>2</v>
      </c>
      <c r="K252">
        <v>0</v>
      </c>
      <c r="L252">
        <v>0</v>
      </c>
      <c r="M252" t="s">
        <v>34</v>
      </c>
      <c r="N252" t="s">
        <v>82</v>
      </c>
      <c r="O252" t="s">
        <v>44</v>
      </c>
      <c r="P252" t="s">
        <v>45</v>
      </c>
      <c r="Q252">
        <v>0</v>
      </c>
      <c r="R252">
        <v>0</v>
      </c>
      <c r="S252">
        <v>0</v>
      </c>
      <c r="T252" t="s">
        <v>57</v>
      </c>
      <c r="U252" t="s">
        <v>57</v>
      </c>
      <c r="V252">
        <v>0</v>
      </c>
      <c r="W252" t="s">
        <v>38</v>
      </c>
      <c r="X252">
        <v>83</v>
      </c>
      <c r="Z252">
        <v>0</v>
      </c>
      <c r="AA252" t="s">
        <v>39</v>
      </c>
      <c r="AB252">
        <v>117.6</v>
      </c>
      <c r="AC252">
        <v>0</v>
      </c>
      <c r="AD252">
        <v>0</v>
      </c>
      <c r="AE252" t="s">
        <v>40</v>
      </c>
      <c r="AF252" s="1">
        <v>42872</v>
      </c>
    </row>
    <row r="253" spans="1:32" x14ac:dyDescent="0.25">
      <c r="A253" t="s">
        <v>41</v>
      </c>
      <c r="B253">
        <v>0</v>
      </c>
      <c r="C253">
        <v>74</v>
      </c>
      <c r="D253">
        <v>2015</v>
      </c>
      <c r="E253" t="s">
        <v>62</v>
      </c>
      <c r="F253">
        <v>38</v>
      </c>
      <c r="G253">
        <v>18</v>
      </c>
      <c r="H253">
        <v>0</v>
      </c>
      <c r="I253">
        <v>2</v>
      </c>
      <c r="J253">
        <v>2</v>
      </c>
      <c r="K253">
        <v>0</v>
      </c>
      <c r="L253">
        <v>0</v>
      </c>
      <c r="M253" t="s">
        <v>60</v>
      </c>
      <c r="N253" t="s">
        <v>43</v>
      </c>
      <c r="O253" t="s">
        <v>49</v>
      </c>
      <c r="P253" t="s">
        <v>45</v>
      </c>
      <c r="Q253">
        <v>0</v>
      </c>
      <c r="R253">
        <v>0</v>
      </c>
      <c r="S253">
        <v>0</v>
      </c>
      <c r="T253" t="s">
        <v>46</v>
      </c>
      <c r="U253" t="s">
        <v>46</v>
      </c>
      <c r="V253">
        <v>0</v>
      </c>
      <c r="W253" t="s">
        <v>38</v>
      </c>
      <c r="X253">
        <v>6</v>
      </c>
      <c r="Z253">
        <v>0</v>
      </c>
      <c r="AA253" t="s">
        <v>51</v>
      </c>
      <c r="AB253">
        <v>109</v>
      </c>
      <c r="AC253">
        <v>0</v>
      </c>
      <c r="AD253">
        <v>0</v>
      </c>
      <c r="AE253" t="s">
        <v>40</v>
      </c>
      <c r="AF253" s="1">
        <v>42267</v>
      </c>
    </row>
    <row r="254" spans="1:32" x14ac:dyDescent="0.25">
      <c r="A254" t="s">
        <v>32</v>
      </c>
      <c r="B254">
        <v>1</v>
      </c>
      <c r="C254">
        <v>190</v>
      </c>
      <c r="D254">
        <v>2017</v>
      </c>
      <c r="E254" t="s">
        <v>42</v>
      </c>
      <c r="F254">
        <v>29</v>
      </c>
      <c r="G254">
        <v>17</v>
      </c>
      <c r="H254">
        <v>2</v>
      </c>
      <c r="I254">
        <v>5</v>
      </c>
      <c r="J254">
        <v>3</v>
      </c>
      <c r="K254">
        <v>0</v>
      </c>
      <c r="L254">
        <v>0</v>
      </c>
      <c r="M254" t="s">
        <v>77</v>
      </c>
      <c r="N254" t="s">
        <v>103</v>
      </c>
      <c r="O254" t="s">
        <v>36</v>
      </c>
      <c r="P254" t="s">
        <v>36</v>
      </c>
      <c r="Q254">
        <v>0</v>
      </c>
      <c r="R254">
        <v>0</v>
      </c>
      <c r="S254">
        <v>0</v>
      </c>
      <c r="T254" t="s">
        <v>57</v>
      </c>
      <c r="U254" t="s">
        <v>57</v>
      </c>
      <c r="V254">
        <v>3</v>
      </c>
      <c r="W254" t="s">
        <v>38</v>
      </c>
      <c r="X254">
        <v>250</v>
      </c>
      <c r="Z254">
        <v>0</v>
      </c>
      <c r="AA254" t="s">
        <v>39</v>
      </c>
      <c r="AB254">
        <v>274.45</v>
      </c>
      <c r="AC254">
        <v>0</v>
      </c>
      <c r="AD254">
        <v>0</v>
      </c>
      <c r="AE254" t="s">
        <v>47</v>
      </c>
      <c r="AF254" s="1">
        <v>42919</v>
      </c>
    </row>
    <row r="255" spans="1:32" x14ac:dyDescent="0.25">
      <c r="A255" t="s">
        <v>32</v>
      </c>
      <c r="B255">
        <v>0</v>
      </c>
      <c r="C255">
        <v>11</v>
      </c>
      <c r="D255">
        <v>2015</v>
      </c>
      <c r="E255" t="s">
        <v>33</v>
      </c>
      <c r="F255">
        <v>50</v>
      </c>
      <c r="G255">
        <v>6</v>
      </c>
      <c r="H255">
        <v>2</v>
      </c>
      <c r="I255">
        <v>0</v>
      </c>
      <c r="J255">
        <v>2</v>
      </c>
      <c r="K255">
        <v>0</v>
      </c>
      <c r="L255">
        <v>0</v>
      </c>
      <c r="M255" t="s">
        <v>34</v>
      </c>
      <c r="N255" t="s">
        <v>63</v>
      </c>
      <c r="O255" t="s">
        <v>49</v>
      </c>
      <c r="P255" t="s">
        <v>45</v>
      </c>
      <c r="Q255">
        <v>0</v>
      </c>
      <c r="R255">
        <v>0</v>
      </c>
      <c r="S255">
        <v>0</v>
      </c>
      <c r="T255" t="s">
        <v>57</v>
      </c>
      <c r="U255" t="s">
        <v>57</v>
      </c>
      <c r="V255">
        <v>0</v>
      </c>
      <c r="W255" t="s">
        <v>38</v>
      </c>
      <c r="X255">
        <v>5</v>
      </c>
      <c r="Z255">
        <v>0</v>
      </c>
      <c r="AA255" t="s">
        <v>39</v>
      </c>
      <c r="AB255">
        <v>37</v>
      </c>
      <c r="AC255">
        <v>0</v>
      </c>
      <c r="AD255">
        <v>0</v>
      </c>
      <c r="AE255" t="s">
        <v>40</v>
      </c>
      <c r="AF255" s="1">
        <v>42346</v>
      </c>
    </row>
    <row r="256" spans="1:32" x14ac:dyDescent="0.25">
      <c r="A256" t="s">
        <v>41</v>
      </c>
      <c r="B256">
        <v>1</v>
      </c>
      <c r="C256">
        <v>46</v>
      </c>
      <c r="D256">
        <v>2017</v>
      </c>
      <c r="E256" t="s">
        <v>52</v>
      </c>
      <c r="F256">
        <v>10</v>
      </c>
      <c r="G256">
        <v>6</v>
      </c>
      <c r="H256">
        <v>2</v>
      </c>
      <c r="I256">
        <v>5</v>
      </c>
      <c r="J256">
        <v>2</v>
      </c>
      <c r="K256">
        <v>0</v>
      </c>
      <c r="L256">
        <v>0</v>
      </c>
      <c r="M256" t="s">
        <v>34</v>
      </c>
      <c r="N256" t="s">
        <v>43</v>
      </c>
      <c r="O256" t="s">
        <v>44</v>
      </c>
      <c r="P256" t="s">
        <v>45</v>
      </c>
      <c r="Q256">
        <v>0</v>
      </c>
      <c r="R256">
        <v>0</v>
      </c>
      <c r="S256">
        <v>0</v>
      </c>
      <c r="T256" t="s">
        <v>57</v>
      </c>
      <c r="U256" t="s">
        <v>57</v>
      </c>
      <c r="V256">
        <v>2</v>
      </c>
      <c r="W256" t="s">
        <v>38</v>
      </c>
      <c r="X256">
        <v>8</v>
      </c>
      <c r="Z256">
        <v>0</v>
      </c>
      <c r="AA256" t="s">
        <v>39</v>
      </c>
      <c r="AB256">
        <v>100.3</v>
      </c>
      <c r="AC256">
        <v>0</v>
      </c>
      <c r="AD256">
        <v>0</v>
      </c>
      <c r="AE256" t="s">
        <v>47</v>
      </c>
      <c r="AF256" s="1">
        <v>42764</v>
      </c>
    </row>
    <row r="257" spans="1:32" x14ac:dyDescent="0.25">
      <c r="A257" t="s">
        <v>32</v>
      </c>
      <c r="B257">
        <v>0</v>
      </c>
      <c r="C257">
        <v>240</v>
      </c>
      <c r="D257">
        <v>2016</v>
      </c>
      <c r="E257" t="s">
        <v>59</v>
      </c>
      <c r="F257">
        <v>43</v>
      </c>
      <c r="G257">
        <v>21</v>
      </c>
      <c r="H257">
        <v>2</v>
      </c>
      <c r="I257">
        <v>5</v>
      </c>
      <c r="J257">
        <v>2</v>
      </c>
      <c r="K257">
        <v>0</v>
      </c>
      <c r="L257">
        <v>0</v>
      </c>
      <c r="M257" t="s">
        <v>60</v>
      </c>
      <c r="N257" t="s">
        <v>35</v>
      </c>
      <c r="O257" t="s">
        <v>49</v>
      </c>
      <c r="P257" t="s">
        <v>45</v>
      </c>
      <c r="Q257">
        <v>0</v>
      </c>
      <c r="R257">
        <v>0</v>
      </c>
      <c r="S257">
        <v>0</v>
      </c>
      <c r="T257" t="s">
        <v>72</v>
      </c>
      <c r="U257" t="s">
        <v>72</v>
      </c>
      <c r="V257">
        <v>0</v>
      </c>
      <c r="W257" t="s">
        <v>38</v>
      </c>
      <c r="X257">
        <v>2</v>
      </c>
      <c r="Z257">
        <v>0</v>
      </c>
      <c r="AA257" t="s">
        <v>73</v>
      </c>
      <c r="AB257">
        <v>84.95</v>
      </c>
      <c r="AC257">
        <v>1</v>
      </c>
      <c r="AD257">
        <v>2</v>
      </c>
      <c r="AE257" t="s">
        <v>40</v>
      </c>
      <c r="AF257" s="1">
        <v>42671</v>
      </c>
    </row>
    <row r="258" spans="1:32" x14ac:dyDescent="0.25">
      <c r="A258" t="s">
        <v>41</v>
      </c>
      <c r="B258">
        <v>1</v>
      </c>
      <c r="C258">
        <v>279</v>
      </c>
      <c r="D258">
        <v>2015</v>
      </c>
      <c r="E258" t="s">
        <v>42</v>
      </c>
      <c r="F258">
        <v>30</v>
      </c>
      <c r="G258">
        <v>23</v>
      </c>
      <c r="H258">
        <v>0</v>
      </c>
      <c r="I258">
        <v>2</v>
      </c>
      <c r="J258">
        <v>2</v>
      </c>
      <c r="K258">
        <v>0</v>
      </c>
      <c r="L258">
        <v>0</v>
      </c>
      <c r="M258" t="s">
        <v>34</v>
      </c>
      <c r="N258" t="s">
        <v>43</v>
      </c>
      <c r="O258" t="s">
        <v>64</v>
      </c>
      <c r="P258" t="s">
        <v>45</v>
      </c>
      <c r="Q258">
        <v>0</v>
      </c>
      <c r="R258">
        <v>1</v>
      </c>
      <c r="S258">
        <v>0</v>
      </c>
      <c r="T258" t="s">
        <v>46</v>
      </c>
      <c r="U258" t="s">
        <v>46</v>
      </c>
      <c r="V258">
        <v>0</v>
      </c>
      <c r="W258" t="s">
        <v>38</v>
      </c>
      <c r="X258">
        <v>1</v>
      </c>
      <c r="Z258">
        <v>0</v>
      </c>
      <c r="AA258" t="s">
        <v>73</v>
      </c>
      <c r="AB258">
        <v>62</v>
      </c>
      <c r="AC258">
        <v>0</v>
      </c>
      <c r="AD258">
        <v>0</v>
      </c>
      <c r="AE258" t="s">
        <v>47</v>
      </c>
      <c r="AF258" s="1">
        <v>42005</v>
      </c>
    </row>
    <row r="259" spans="1:32" x14ac:dyDescent="0.25">
      <c r="A259" t="s">
        <v>41</v>
      </c>
      <c r="B259">
        <v>1</v>
      </c>
      <c r="C259">
        <v>2</v>
      </c>
      <c r="D259">
        <v>2015</v>
      </c>
      <c r="E259" t="s">
        <v>61</v>
      </c>
      <c r="F259">
        <v>46</v>
      </c>
      <c r="G259">
        <v>9</v>
      </c>
      <c r="H259">
        <v>3</v>
      </c>
      <c r="I259">
        <v>8</v>
      </c>
      <c r="J259">
        <v>2</v>
      </c>
      <c r="K259">
        <v>0</v>
      </c>
      <c r="L259">
        <v>0</v>
      </c>
      <c r="M259" t="s">
        <v>34</v>
      </c>
      <c r="N259" t="s">
        <v>43</v>
      </c>
      <c r="O259" t="s">
        <v>36</v>
      </c>
      <c r="P259" t="s">
        <v>36</v>
      </c>
      <c r="Q259">
        <v>0</v>
      </c>
      <c r="R259">
        <v>0</v>
      </c>
      <c r="S259">
        <v>0</v>
      </c>
      <c r="T259" t="s">
        <v>46</v>
      </c>
      <c r="U259" t="s">
        <v>46</v>
      </c>
      <c r="V259">
        <v>0</v>
      </c>
      <c r="W259" t="s">
        <v>38</v>
      </c>
      <c r="X259">
        <v>14</v>
      </c>
      <c r="Z259">
        <v>0</v>
      </c>
      <c r="AA259" t="s">
        <v>39</v>
      </c>
      <c r="AB259">
        <v>95.81</v>
      </c>
      <c r="AC259">
        <v>0</v>
      </c>
      <c r="AD259">
        <v>0</v>
      </c>
      <c r="AE259" t="s">
        <v>47</v>
      </c>
      <c r="AF259" s="1">
        <v>42317</v>
      </c>
    </row>
    <row r="260" spans="1:32" x14ac:dyDescent="0.25">
      <c r="A260" t="s">
        <v>32</v>
      </c>
      <c r="B260">
        <v>0</v>
      </c>
      <c r="C260">
        <v>54</v>
      </c>
      <c r="D260">
        <v>2015</v>
      </c>
      <c r="E260" t="s">
        <v>67</v>
      </c>
      <c r="F260">
        <v>34</v>
      </c>
      <c r="G260">
        <v>18</v>
      </c>
      <c r="H260">
        <v>0</v>
      </c>
      <c r="I260">
        <v>5</v>
      </c>
      <c r="J260">
        <v>2</v>
      </c>
      <c r="K260">
        <v>0</v>
      </c>
      <c r="L260">
        <v>0</v>
      </c>
      <c r="M260" t="s">
        <v>60</v>
      </c>
      <c r="N260" t="s">
        <v>63</v>
      </c>
      <c r="O260" t="s">
        <v>44</v>
      </c>
      <c r="P260" t="s">
        <v>45</v>
      </c>
      <c r="Q260">
        <v>0</v>
      </c>
      <c r="R260">
        <v>0</v>
      </c>
      <c r="S260">
        <v>0</v>
      </c>
      <c r="T260" t="s">
        <v>46</v>
      </c>
      <c r="U260" t="s">
        <v>46</v>
      </c>
      <c r="V260">
        <v>0</v>
      </c>
      <c r="W260" t="s">
        <v>38</v>
      </c>
      <c r="X260">
        <v>241</v>
      </c>
      <c r="Z260">
        <v>0</v>
      </c>
      <c r="AA260" t="s">
        <v>39</v>
      </c>
      <c r="AB260">
        <v>151.22999999999999</v>
      </c>
      <c r="AC260">
        <v>0</v>
      </c>
      <c r="AD260">
        <v>1</v>
      </c>
      <c r="AE260" t="s">
        <v>40</v>
      </c>
      <c r="AF260" s="1">
        <v>42239</v>
      </c>
    </row>
    <row r="261" spans="1:32" x14ac:dyDescent="0.25">
      <c r="A261" t="s">
        <v>41</v>
      </c>
      <c r="B261">
        <v>0</v>
      </c>
      <c r="C261">
        <v>9</v>
      </c>
      <c r="D261">
        <v>2017</v>
      </c>
      <c r="E261" t="s">
        <v>66</v>
      </c>
      <c r="F261">
        <v>6</v>
      </c>
      <c r="G261">
        <v>8</v>
      </c>
      <c r="H261">
        <v>0</v>
      </c>
      <c r="I261">
        <v>4</v>
      </c>
      <c r="J261">
        <v>2</v>
      </c>
      <c r="K261">
        <v>0</v>
      </c>
      <c r="L261">
        <v>0</v>
      </c>
      <c r="M261" t="s">
        <v>34</v>
      </c>
      <c r="N261" t="s">
        <v>70</v>
      </c>
      <c r="O261" t="s">
        <v>36</v>
      </c>
      <c r="P261" t="s">
        <v>36</v>
      </c>
      <c r="Q261">
        <v>0</v>
      </c>
      <c r="R261">
        <v>0</v>
      </c>
      <c r="S261">
        <v>0</v>
      </c>
      <c r="T261" t="s">
        <v>86</v>
      </c>
      <c r="U261" t="s">
        <v>46</v>
      </c>
      <c r="V261">
        <v>1</v>
      </c>
      <c r="W261" t="s">
        <v>38</v>
      </c>
      <c r="X261">
        <v>14</v>
      </c>
      <c r="Z261">
        <v>0</v>
      </c>
      <c r="AA261" t="s">
        <v>39</v>
      </c>
      <c r="AB261">
        <v>91.1</v>
      </c>
      <c r="AC261">
        <v>0</v>
      </c>
      <c r="AD261">
        <v>0</v>
      </c>
      <c r="AE261" t="s">
        <v>40</v>
      </c>
      <c r="AF261" s="1">
        <v>42778</v>
      </c>
    </row>
    <row r="262" spans="1:32" x14ac:dyDescent="0.25">
      <c r="A262" t="s">
        <v>41</v>
      </c>
      <c r="B262">
        <v>0</v>
      </c>
      <c r="C262">
        <v>64</v>
      </c>
      <c r="D262">
        <v>2016</v>
      </c>
      <c r="E262" t="s">
        <v>59</v>
      </c>
      <c r="F262">
        <v>45</v>
      </c>
      <c r="G262">
        <v>31</v>
      </c>
      <c r="H262">
        <v>1</v>
      </c>
      <c r="I262">
        <v>2</v>
      </c>
      <c r="J262">
        <v>2</v>
      </c>
      <c r="K262">
        <v>0</v>
      </c>
      <c r="L262">
        <v>0</v>
      </c>
      <c r="M262" t="s">
        <v>34</v>
      </c>
      <c r="N262" t="s">
        <v>65</v>
      </c>
      <c r="O262" t="s">
        <v>44</v>
      </c>
      <c r="P262" t="s">
        <v>45</v>
      </c>
      <c r="Q262">
        <v>0</v>
      </c>
      <c r="R262">
        <v>0</v>
      </c>
      <c r="S262">
        <v>0</v>
      </c>
      <c r="T262" t="s">
        <v>57</v>
      </c>
      <c r="U262" t="s">
        <v>57</v>
      </c>
      <c r="V262">
        <v>0</v>
      </c>
      <c r="W262" t="s">
        <v>38</v>
      </c>
      <c r="X262">
        <v>9</v>
      </c>
      <c r="Z262">
        <v>0</v>
      </c>
      <c r="AA262" t="s">
        <v>39</v>
      </c>
      <c r="AB262">
        <v>105.6</v>
      </c>
      <c r="AC262">
        <v>0</v>
      </c>
      <c r="AD262">
        <v>4</v>
      </c>
      <c r="AE262" t="s">
        <v>40</v>
      </c>
      <c r="AF262" s="1">
        <v>42677</v>
      </c>
    </row>
    <row r="263" spans="1:32" x14ac:dyDescent="0.25">
      <c r="A263" t="s">
        <v>41</v>
      </c>
      <c r="B263">
        <v>1</v>
      </c>
      <c r="C263">
        <v>594</v>
      </c>
      <c r="D263">
        <v>2017</v>
      </c>
      <c r="E263" t="s">
        <v>66</v>
      </c>
      <c r="F263">
        <v>8</v>
      </c>
      <c r="G263">
        <v>23</v>
      </c>
      <c r="H263">
        <v>0</v>
      </c>
      <c r="I263">
        <v>2</v>
      </c>
      <c r="J263">
        <v>2</v>
      </c>
      <c r="K263">
        <v>0</v>
      </c>
      <c r="L263">
        <v>0</v>
      </c>
      <c r="M263" t="s">
        <v>34</v>
      </c>
      <c r="N263" t="s">
        <v>43</v>
      </c>
      <c r="O263" t="s">
        <v>64</v>
      </c>
      <c r="P263" t="s">
        <v>45</v>
      </c>
      <c r="Q263">
        <v>0</v>
      </c>
      <c r="R263">
        <v>0</v>
      </c>
      <c r="S263">
        <v>0</v>
      </c>
      <c r="T263" t="s">
        <v>46</v>
      </c>
      <c r="U263" t="s">
        <v>46</v>
      </c>
      <c r="V263">
        <v>0</v>
      </c>
      <c r="W263" t="s">
        <v>68</v>
      </c>
      <c r="X263">
        <v>1</v>
      </c>
      <c r="Z263">
        <v>0</v>
      </c>
      <c r="AA263" t="s">
        <v>39</v>
      </c>
      <c r="AB263">
        <v>62</v>
      </c>
      <c r="AC263">
        <v>0</v>
      </c>
      <c r="AD263">
        <v>0</v>
      </c>
      <c r="AE263" t="s">
        <v>47</v>
      </c>
      <c r="AF263" s="1">
        <v>42298</v>
      </c>
    </row>
    <row r="264" spans="1:32" x14ac:dyDescent="0.25">
      <c r="A264" t="s">
        <v>41</v>
      </c>
      <c r="B264">
        <v>1</v>
      </c>
      <c r="C264">
        <v>23</v>
      </c>
      <c r="D264">
        <v>2016</v>
      </c>
      <c r="E264" t="s">
        <v>66</v>
      </c>
      <c r="F264">
        <v>7</v>
      </c>
      <c r="G264">
        <v>12</v>
      </c>
      <c r="H264">
        <v>1</v>
      </c>
      <c r="I264">
        <v>2</v>
      </c>
      <c r="J264">
        <v>2</v>
      </c>
      <c r="K264">
        <v>0</v>
      </c>
      <c r="L264">
        <v>0</v>
      </c>
      <c r="M264" t="s">
        <v>34</v>
      </c>
      <c r="N264" t="s">
        <v>78</v>
      </c>
      <c r="O264" t="s">
        <v>44</v>
      </c>
      <c r="P264" t="s">
        <v>45</v>
      </c>
      <c r="Q264">
        <v>0</v>
      </c>
      <c r="R264">
        <v>0</v>
      </c>
      <c r="S264">
        <v>0</v>
      </c>
      <c r="T264" t="s">
        <v>46</v>
      </c>
      <c r="U264" t="s">
        <v>46</v>
      </c>
      <c r="V264">
        <v>0</v>
      </c>
      <c r="W264" t="s">
        <v>38</v>
      </c>
      <c r="X264">
        <v>9</v>
      </c>
      <c r="Z264">
        <v>0</v>
      </c>
      <c r="AA264" t="s">
        <v>39</v>
      </c>
      <c r="AB264">
        <v>72.8</v>
      </c>
      <c r="AC264">
        <v>0</v>
      </c>
      <c r="AD264">
        <v>0</v>
      </c>
      <c r="AE264" t="s">
        <v>47</v>
      </c>
      <c r="AF264" s="1">
        <v>42393</v>
      </c>
    </row>
    <row r="265" spans="1:32" x14ac:dyDescent="0.25">
      <c r="A265" t="s">
        <v>32</v>
      </c>
      <c r="B265">
        <v>0</v>
      </c>
      <c r="C265">
        <v>30</v>
      </c>
      <c r="D265">
        <v>2015</v>
      </c>
      <c r="E265" t="s">
        <v>67</v>
      </c>
      <c r="F265">
        <v>35</v>
      </c>
      <c r="G265">
        <v>28</v>
      </c>
      <c r="H265">
        <v>0</v>
      </c>
      <c r="I265">
        <v>1</v>
      </c>
      <c r="J265">
        <v>2</v>
      </c>
      <c r="K265">
        <v>0</v>
      </c>
      <c r="L265">
        <v>0</v>
      </c>
      <c r="M265" t="s">
        <v>34</v>
      </c>
      <c r="N265" t="s">
        <v>63</v>
      </c>
      <c r="O265" t="s">
        <v>36</v>
      </c>
      <c r="P265" t="s">
        <v>36</v>
      </c>
      <c r="Q265">
        <v>0</v>
      </c>
      <c r="R265">
        <v>0</v>
      </c>
      <c r="S265">
        <v>0</v>
      </c>
      <c r="T265" t="s">
        <v>46</v>
      </c>
      <c r="U265" t="s">
        <v>84</v>
      </c>
      <c r="V265">
        <v>0</v>
      </c>
      <c r="W265" t="s">
        <v>38</v>
      </c>
      <c r="X265">
        <v>250</v>
      </c>
      <c r="Z265">
        <v>0</v>
      </c>
      <c r="AA265" t="s">
        <v>39</v>
      </c>
      <c r="AB265">
        <v>115</v>
      </c>
      <c r="AC265">
        <v>0</v>
      </c>
      <c r="AD265">
        <v>3</v>
      </c>
      <c r="AE265" t="s">
        <v>40</v>
      </c>
      <c r="AF265" s="1">
        <v>42245</v>
      </c>
    </row>
    <row r="266" spans="1:32" x14ac:dyDescent="0.25">
      <c r="A266" t="s">
        <v>41</v>
      </c>
      <c r="B266">
        <v>0</v>
      </c>
      <c r="C266">
        <v>4</v>
      </c>
      <c r="D266">
        <v>2017</v>
      </c>
      <c r="E266" t="s">
        <v>54</v>
      </c>
      <c r="F266">
        <v>15</v>
      </c>
      <c r="G266">
        <v>12</v>
      </c>
      <c r="H266">
        <v>0</v>
      </c>
      <c r="I266">
        <v>3</v>
      </c>
      <c r="J266">
        <v>2</v>
      </c>
      <c r="K266">
        <v>0</v>
      </c>
      <c r="L266">
        <v>0</v>
      </c>
      <c r="M266" t="s">
        <v>55</v>
      </c>
      <c r="N266" t="s">
        <v>108</v>
      </c>
      <c r="O266" t="s">
        <v>44</v>
      </c>
      <c r="P266" t="s">
        <v>45</v>
      </c>
      <c r="Q266">
        <v>0</v>
      </c>
      <c r="R266">
        <v>0</v>
      </c>
      <c r="S266">
        <v>0</v>
      </c>
      <c r="T266" t="s">
        <v>46</v>
      </c>
      <c r="U266" t="s">
        <v>46</v>
      </c>
      <c r="V266">
        <v>0</v>
      </c>
      <c r="W266" t="s">
        <v>38</v>
      </c>
      <c r="X266">
        <v>9</v>
      </c>
      <c r="Z266">
        <v>0</v>
      </c>
      <c r="AA266" t="s">
        <v>39</v>
      </c>
      <c r="AB266">
        <v>156.66999999999999</v>
      </c>
      <c r="AC266">
        <v>0</v>
      </c>
      <c r="AD266">
        <v>2</v>
      </c>
      <c r="AE266" t="s">
        <v>40</v>
      </c>
      <c r="AF266" s="1">
        <v>42840</v>
      </c>
    </row>
    <row r="267" spans="1:32" x14ac:dyDescent="0.25">
      <c r="A267" t="s">
        <v>41</v>
      </c>
      <c r="B267">
        <v>1</v>
      </c>
      <c r="C267">
        <v>84</v>
      </c>
      <c r="D267">
        <v>2017</v>
      </c>
      <c r="E267" t="s">
        <v>69</v>
      </c>
      <c r="F267">
        <v>19</v>
      </c>
      <c r="G267">
        <v>12</v>
      </c>
      <c r="H267">
        <v>0</v>
      </c>
      <c r="I267">
        <v>2</v>
      </c>
      <c r="J267">
        <v>3</v>
      </c>
      <c r="K267">
        <v>0</v>
      </c>
      <c r="L267">
        <v>0</v>
      </c>
      <c r="M267" t="s">
        <v>34</v>
      </c>
      <c r="N267" t="s">
        <v>106</v>
      </c>
      <c r="O267" t="s">
        <v>44</v>
      </c>
      <c r="P267" t="s">
        <v>45</v>
      </c>
      <c r="Q267">
        <v>0</v>
      </c>
      <c r="R267">
        <v>0</v>
      </c>
      <c r="S267">
        <v>0</v>
      </c>
      <c r="T267" t="s">
        <v>57</v>
      </c>
      <c r="U267" t="s">
        <v>57</v>
      </c>
      <c r="V267">
        <v>0</v>
      </c>
      <c r="W267" t="s">
        <v>38</v>
      </c>
      <c r="X267">
        <v>9</v>
      </c>
      <c r="Z267">
        <v>0</v>
      </c>
      <c r="AA267" t="s">
        <v>39</v>
      </c>
      <c r="AB267">
        <v>189</v>
      </c>
      <c r="AC267">
        <v>0</v>
      </c>
      <c r="AD267">
        <v>0</v>
      </c>
      <c r="AE267" t="s">
        <v>47</v>
      </c>
      <c r="AF267" s="1">
        <v>42849</v>
      </c>
    </row>
    <row r="268" spans="1:32" x14ac:dyDescent="0.25">
      <c r="A268" t="s">
        <v>41</v>
      </c>
      <c r="B268">
        <v>1</v>
      </c>
      <c r="C268">
        <v>92</v>
      </c>
      <c r="D268">
        <v>2016</v>
      </c>
      <c r="E268" t="s">
        <v>61</v>
      </c>
      <c r="F268">
        <v>49</v>
      </c>
      <c r="G268">
        <v>29</v>
      </c>
      <c r="H268">
        <v>0</v>
      </c>
      <c r="I268">
        <v>3</v>
      </c>
      <c r="J268">
        <v>2</v>
      </c>
      <c r="K268">
        <v>0</v>
      </c>
      <c r="L268">
        <v>0</v>
      </c>
      <c r="M268" t="s">
        <v>34</v>
      </c>
      <c r="N268" t="s">
        <v>43</v>
      </c>
      <c r="O268" t="s">
        <v>64</v>
      </c>
      <c r="P268" t="s">
        <v>45</v>
      </c>
      <c r="Q268">
        <v>0</v>
      </c>
      <c r="R268">
        <v>0</v>
      </c>
      <c r="S268">
        <v>0</v>
      </c>
      <c r="T268" t="s">
        <v>46</v>
      </c>
      <c r="U268" t="s">
        <v>46</v>
      </c>
      <c r="V268">
        <v>0</v>
      </c>
      <c r="W268" t="s">
        <v>68</v>
      </c>
      <c r="Y268">
        <v>348</v>
      </c>
      <c r="Z268">
        <v>50</v>
      </c>
      <c r="AA268" t="s">
        <v>39</v>
      </c>
      <c r="AB268">
        <v>90</v>
      </c>
      <c r="AC268">
        <v>0</v>
      </c>
      <c r="AD268">
        <v>0</v>
      </c>
      <c r="AE268" t="s">
        <v>47</v>
      </c>
      <c r="AF268" s="1">
        <v>42689</v>
      </c>
    </row>
    <row r="269" spans="1:32" x14ac:dyDescent="0.25">
      <c r="A269" t="s">
        <v>41</v>
      </c>
      <c r="B269">
        <v>0</v>
      </c>
      <c r="C269">
        <v>4</v>
      </c>
      <c r="D269">
        <v>2016</v>
      </c>
      <c r="E269" t="s">
        <v>62</v>
      </c>
      <c r="F269">
        <v>38</v>
      </c>
      <c r="G269">
        <v>13</v>
      </c>
      <c r="H269">
        <v>0</v>
      </c>
      <c r="I269">
        <v>3</v>
      </c>
      <c r="J269">
        <v>2</v>
      </c>
      <c r="K269">
        <v>0</v>
      </c>
      <c r="L269">
        <v>0</v>
      </c>
      <c r="M269" t="s">
        <v>34</v>
      </c>
      <c r="N269" t="s">
        <v>70</v>
      </c>
      <c r="O269" t="s">
        <v>44</v>
      </c>
      <c r="P269" t="s">
        <v>45</v>
      </c>
      <c r="Q269">
        <v>0</v>
      </c>
      <c r="R269">
        <v>0</v>
      </c>
      <c r="S269">
        <v>0</v>
      </c>
      <c r="T269" t="s">
        <v>57</v>
      </c>
      <c r="U269" t="s">
        <v>57</v>
      </c>
      <c r="V269">
        <v>0</v>
      </c>
      <c r="W269" t="s">
        <v>38</v>
      </c>
      <c r="X269">
        <v>9</v>
      </c>
      <c r="Z269">
        <v>0</v>
      </c>
      <c r="AA269" t="s">
        <v>39</v>
      </c>
      <c r="AB269">
        <v>174.67</v>
      </c>
      <c r="AC269">
        <v>0</v>
      </c>
      <c r="AD269">
        <v>1</v>
      </c>
      <c r="AE269" t="s">
        <v>40</v>
      </c>
      <c r="AF269" s="1">
        <v>42629</v>
      </c>
    </row>
    <row r="270" spans="1:32" x14ac:dyDescent="0.25">
      <c r="A270" t="s">
        <v>41</v>
      </c>
      <c r="B270">
        <v>1</v>
      </c>
      <c r="C270">
        <v>32</v>
      </c>
      <c r="D270">
        <v>2016</v>
      </c>
      <c r="E270" t="s">
        <v>61</v>
      </c>
      <c r="F270">
        <v>46</v>
      </c>
      <c r="G270">
        <v>11</v>
      </c>
      <c r="H270">
        <v>0</v>
      </c>
      <c r="I270">
        <v>2</v>
      </c>
      <c r="J270">
        <v>2</v>
      </c>
      <c r="K270">
        <v>0</v>
      </c>
      <c r="L270">
        <v>0</v>
      </c>
      <c r="M270" t="s">
        <v>34</v>
      </c>
      <c r="N270" t="s">
        <v>70</v>
      </c>
      <c r="O270" t="s">
        <v>44</v>
      </c>
      <c r="P270" t="s">
        <v>45</v>
      </c>
      <c r="Q270">
        <v>0</v>
      </c>
      <c r="R270">
        <v>0</v>
      </c>
      <c r="S270">
        <v>0</v>
      </c>
      <c r="T270" t="s">
        <v>46</v>
      </c>
      <c r="U270" t="s">
        <v>46</v>
      </c>
      <c r="V270">
        <v>0</v>
      </c>
      <c r="W270" t="s">
        <v>38</v>
      </c>
      <c r="X270">
        <v>9</v>
      </c>
      <c r="Z270">
        <v>0</v>
      </c>
      <c r="AA270" t="s">
        <v>39</v>
      </c>
      <c r="AB270">
        <v>130</v>
      </c>
      <c r="AC270">
        <v>0</v>
      </c>
      <c r="AD270">
        <v>1</v>
      </c>
      <c r="AE270" t="s">
        <v>47</v>
      </c>
      <c r="AF270" s="1">
        <v>42660</v>
      </c>
    </row>
    <row r="271" spans="1:32" x14ac:dyDescent="0.25">
      <c r="A271" t="s">
        <v>32</v>
      </c>
      <c r="B271">
        <v>0</v>
      </c>
      <c r="C271">
        <v>0</v>
      </c>
      <c r="D271">
        <v>2017</v>
      </c>
      <c r="E271" t="s">
        <v>66</v>
      </c>
      <c r="F271">
        <v>8</v>
      </c>
      <c r="G271">
        <v>22</v>
      </c>
      <c r="H271">
        <v>0</v>
      </c>
      <c r="I271">
        <v>1</v>
      </c>
      <c r="J271">
        <v>2</v>
      </c>
      <c r="K271">
        <v>0</v>
      </c>
      <c r="L271">
        <v>0</v>
      </c>
      <c r="M271" t="s">
        <v>34</v>
      </c>
      <c r="N271" t="s">
        <v>109</v>
      </c>
      <c r="O271" t="s">
        <v>36</v>
      </c>
      <c r="P271" t="s">
        <v>36</v>
      </c>
      <c r="Q271">
        <v>0</v>
      </c>
      <c r="R271">
        <v>0</v>
      </c>
      <c r="S271">
        <v>0</v>
      </c>
      <c r="T271" t="s">
        <v>72</v>
      </c>
      <c r="U271" t="s">
        <v>72</v>
      </c>
      <c r="V271">
        <v>0</v>
      </c>
      <c r="W271" t="s">
        <v>38</v>
      </c>
      <c r="Z271">
        <v>0</v>
      </c>
      <c r="AA271" t="s">
        <v>39</v>
      </c>
      <c r="AB271">
        <v>80</v>
      </c>
      <c r="AC271">
        <v>0</v>
      </c>
      <c r="AD271">
        <v>0</v>
      </c>
      <c r="AE271" t="s">
        <v>40</v>
      </c>
      <c r="AF271" s="1">
        <v>42789</v>
      </c>
    </row>
    <row r="272" spans="1:32" x14ac:dyDescent="0.25">
      <c r="A272" t="s">
        <v>41</v>
      </c>
      <c r="B272">
        <v>0</v>
      </c>
      <c r="C272">
        <v>8</v>
      </c>
      <c r="D272">
        <v>2017</v>
      </c>
      <c r="E272" t="s">
        <v>54</v>
      </c>
      <c r="F272">
        <v>15</v>
      </c>
      <c r="G272">
        <v>13</v>
      </c>
      <c r="H272">
        <v>1</v>
      </c>
      <c r="I272">
        <v>3</v>
      </c>
      <c r="J272">
        <v>2</v>
      </c>
      <c r="K272">
        <v>0</v>
      </c>
      <c r="L272">
        <v>0</v>
      </c>
      <c r="M272" t="s">
        <v>55</v>
      </c>
      <c r="N272" t="s">
        <v>63</v>
      </c>
      <c r="O272" t="s">
        <v>44</v>
      </c>
      <c r="P272" t="s">
        <v>45</v>
      </c>
      <c r="Q272">
        <v>0</v>
      </c>
      <c r="R272">
        <v>0</v>
      </c>
      <c r="S272">
        <v>0</v>
      </c>
      <c r="T272" t="s">
        <v>46</v>
      </c>
      <c r="U272" t="s">
        <v>46</v>
      </c>
      <c r="V272">
        <v>0</v>
      </c>
      <c r="W272" t="s">
        <v>38</v>
      </c>
      <c r="X272">
        <v>9</v>
      </c>
      <c r="Z272">
        <v>0</v>
      </c>
      <c r="AA272" t="s">
        <v>39</v>
      </c>
      <c r="AB272">
        <v>185.25</v>
      </c>
      <c r="AC272">
        <v>0</v>
      </c>
      <c r="AD272">
        <v>1</v>
      </c>
      <c r="AE272" t="s">
        <v>40</v>
      </c>
      <c r="AF272" s="1">
        <v>42842</v>
      </c>
    </row>
    <row r="273" spans="1:32" x14ac:dyDescent="0.25">
      <c r="A273" t="s">
        <v>41</v>
      </c>
      <c r="B273">
        <v>0</v>
      </c>
      <c r="C273">
        <v>73</v>
      </c>
      <c r="D273">
        <v>2016</v>
      </c>
      <c r="E273" t="s">
        <v>42</v>
      </c>
      <c r="F273">
        <v>29</v>
      </c>
      <c r="G273">
        <v>12</v>
      </c>
      <c r="H273">
        <v>0</v>
      </c>
      <c r="I273">
        <v>1</v>
      </c>
      <c r="J273">
        <v>2</v>
      </c>
      <c r="K273">
        <v>0</v>
      </c>
      <c r="L273">
        <v>0</v>
      </c>
      <c r="M273" t="s">
        <v>55</v>
      </c>
      <c r="N273" t="s">
        <v>99</v>
      </c>
      <c r="O273" t="s">
        <v>36</v>
      </c>
      <c r="P273" t="s">
        <v>36</v>
      </c>
      <c r="Q273">
        <v>0</v>
      </c>
      <c r="R273">
        <v>0</v>
      </c>
      <c r="S273">
        <v>0</v>
      </c>
      <c r="T273" t="s">
        <v>46</v>
      </c>
      <c r="U273" t="s">
        <v>46</v>
      </c>
      <c r="V273">
        <v>0</v>
      </c>
      <c r="W273" t="s">
        <v>38</v>
      </c>
      <c r="X273">
        <v>14</v>
      </c>
      <c r="Z273">
        <v>0</v>
      </c>
      <c r="AA273" t="s">
        <v>39</v>
      </c>
      <c r="AB273">
        <v>105</v>
      </c>
      <c r="AC273">
        <v>0</v>
      </c>
      <c r="AD273">
        <v>1</v>
      </c>
      <c r="AE273" t="s">
        <v>40</v>
      </c>
      <c r="AF273" s="1">
        <v>42564</v>
      </c>
    </row>
    <row r="274" spans="1:32" x14ac:dyDescent="0.25">
      <c r="A274" t="s">
        <v>41</v>
      </c>
      <c r="B274">
        <v>1</v>
      </c>
      <c r="C274">
        <v>184</v>
      </c>
      <c r="D274">
        <v>2017</v>
      </c>
      <c r="E274" t="s">
        <v>69</v>
      </c>
      <c r="F274">
        <v>22</v>
      </c>
      <c r="G274">
        <v>28</v>
      </c>
      <c r="H274">
        <v>2</v>
      </c>
      <c r="I274">
        <v>3</v>
      </c>
      <c r="J274">
        <v>2</v>
      </c>
      <c r="K274">
        <v>0</v>
      </c>
      <c r="L274">
        <v>0</v>
      </c>
      <c r="M274" t="s">
        <v>34</v>
      </c>
      <c r="N274" t="s">
        <v>43</v>
      </c>
      <c r="O274" t="s">
        <v>64</v>
      </c>
      <c r="P274" t="s">
        <v>45</v>
      </c>
      <c r="Q274">
        <v>0</v>
      </c>
      <c r="R274">
        <v>0</v>
      </c>
      <c r="S274">
        <v>0</v>
      </c>
      <c r="T274" t="s">
        <v>46</v>
      </c>
      <c r="U274" t="s">
        <v>46</v>
      </c>
      <c r="V274">
        <v>0</v>
      </c>
      <c r="W274" t="s">
        <v>68</v>
      </c>
      <c r="X274">
        <v>19</v>
      </c>
      <c r="Z274">
        <v>0</v>
      </c>
      <c r="AA274" t="s">
        <v>39</v>
      </c>
      <c r="AB274">
        <v>130</v>
      </c>
      <c r="AC274">
        <v>0</v>
      </c>
      <c r="AD274">
        <v>0</v>
      </c>
      <c r="AE274" t="s">
        <v>47</v>
      </c>
      <c r="AF274" s="1">
        <v>42699</v>
      </c>
    </row>
    <row r="275" spans="1:32" x14ac:dyDescent="0.25">
      <c r="A275" t="s">
        <v>41</v>
      </c>
      <c r="B275">
        <v>1</v>
      </c>
      <c r="C275">
        <v>85</v>
      </c>
      <c r="D275">
        <v>2015</v>
      </c>
      <c r="E275" t="s">
        <v>42</v>
      </c>
      <c r="F275">
        <v>30</v>
      </c>
      <c r="G275">
        <v>24</v>
      </c>
      <c r="H275">
        <v>2</v>
      </c>
      <c r="I275">
        <v>3</v>
      </c>
      <c r="J275">
        <v>2</v>
      </c>
      <c r="K275">
        <v>0</v>
      </c>
      <c r="L275">
        <v>0</v>
      </c>
      <c r="M275" t="s">
        <v>34</v>
      </c>
      <c r="N275" t="s">
        <v>43</v>
      </c>
      <c r="O275" t="s">
        <v>44</v>
      </c>
      <c r="P275" t="s">
        <v>45</v>
      </c>
      <c r="Q275">
        <v>0</v>
      </c>
      <c r="R275">
        <v>0</v>
      </c>
      <c r="S275">
        <v>0</v>
      </c>
      <c r="T275" t="s">
        <v>46</v>
      </c>
      <c r="U275" t="s">
        <v>46</v>
      </c>
      <c r="V275">
        <v>0</v>
      </c>
      <c r="W275" t="s">
        <v>38</v>
      </c>
      <c r="X275">
        <v>9</v>
      </c>
      <c r="Z275">
        <v>0</v>
      </c>
      <c r="AA275" t="s">
        <v>39</v>
      </c>
      <c r="AB275">
        <v>76.5</v>
      </c>
      <c r="AC275">
        <v>0</v>
      </c>
      <c r="AD275">
        <v>0</v>
      </c>
      <c r="AE275" t="s">
        <v>47</v>
      </c>
      <c r="AF275" s="1">
        <v>42144</v>
      </c>
    </row>
    <row r="276" spans="1:32" x14ac:dyDescent="0.25">
      <c r="A276" t="s">
        <v>32</v>
      </c>
      <c r="B276">
        <v>0</v>
      </c>
      <c r="C276">
        <v>11</v>
      </c>
      <c r="D276">
        <v>2016</v>
      </c>
      <c r="E276" t="s">
        <v>74</v>
      </c>
      <c r="F276">
        <v>3</v>
      </c>
      <c r="G276">
        <v>15</v>
      </c>
      <c r="H276">
        <v>0</v>
      </c>
      <c r="I276">
        <v>2</v>
      </c>
      <c r="J276">
        <v>3</v>
      </c>
      <c r="K276">
        <v>1</v>
      </c>
      <c r="L276">
        <v>0</v>
      </c>
      <c r="M276" t="s">
        <v>34</v>
      </c>
      <c r="N276" t="s">
        <v>43</v>
      </c>
      <c r="O276" t="s">
        <v>44</v>
      </c>
      <c r="P276" t="s">
        <v>45</v>
      </c>
      <c r="Q276">
        <v>0</v>
      </c>
      <c r="R276">
        <v>0</v>
      </c>
      <c r="S276">
        <v>0</v>
      </c>
      <c r="T276" t="s">
        <v>92</v>
      </c>
      <c r="U276" t="s">
        <v>92</v>
      </c>
      <c r="V276">
        <v>0</v>
      </c>
      <c r="W276" t="s">
        <v>38</v>
      </c>
      <c r="X276">
        <v>240</v>
      </c>
      <c r="Z276">
        <v>0</v>
      </c>
      <c r="AA276" t="s">
        <v>39</v>
      </c>
      <c r="AB276">
        <v>71.2</v>
      </c>
      <c r="AC276">
        <v>0</v>
      </c>
      <c r="AD276">
        <v>0</v>
      </c>
      <c r="AE276" t="s">
        <v>40</v>
      </c>
      <c r="AF276" s="1">
        <v>42386</v>
      </c>
    </row>
    <row r="277" spans="1:32" x14ac:dyDescent="0.25">
      <c r="A277" t="s">
        <v>41</v>
      </c>
      <c r="B277">
        <v>0</v>
      </c>
      <c r="C277">
        <v>4</v>
      </c>
      <c r="D277">
        <v>2016</v>
      </c>
      <c r="E277" t="s">
        <v>42</v>
      </c>
      <c r="F277">
        <v>31</v>
      </c>
      <c r="G277">
        <v>27</v>
      </c>
      <c r="H277">
        <v>0</v>
      </c>
      <c r="I277">
        <v>3</v>
      </c>
      <c r="J277">
        <v>3</v>
      </c>
      <c r="K277">
        <v>0</v>
      </c>
      <c r="L277">
        <v>0</v>
      </c>
      <c r="M277" t="s">
        <v>34</v>
      </c>
      <c r="N277" t="s">
        <v>110</v>
      </c>
      <c r="O277" t="s">
        <v>44</v>
      </c>
      <c r="P277" t="s">
        <v>45</v>
      </c>
      <c r="Q277">
        <v>0</v>
      </c>
      <c r="R277">
        <v>0</v>
      </c>
      <c r="S277">
        <v>0</v>
      </c>
      <c r="T277" t="s">
        <v>57</v>
      </c>
      <c r="U277" t="s">
        <v>57</v>
      </c>
      <c r="V277">
        <v>0</v>
      </c>
      <c r="W277" t="s">
        <v>38</v>
      </c>
      <c r="X277">
        <v>9</v>
      </c>
      <c r="Z277">
        <v>0</v>
      </c>
      <c r="AA277" t="s">
        <v>39</v>
      </c>
      <c r="AB277">
        <v>177</v>
      </c>
      <c r="AC277">
        <v>1</v>
      </c>
      <c r="AD277">
        <v>1</v>
      </c>
      <c r="AE277" t="s">
        <v>40</v>
      </c>
      <c r="AF277" s="1">
        <v>42581</v>
      </c>
    </row>
    <row r="278" spans="1:32" x14ac:dyDescent="0.25">
      <c r="A278" t="s">
        <v>41</v>
      </c>
      <c r="B278">
        <v>0</v>
      </c>
      <c r="C278">
        <v>26</v>
      </c>
      <c r="D278">
        <v>2015</v>
      </c>
      <c r="E278" t="s">
        <v>59</v>
      </c>
      <c r="F278">
        <v>44</v>
      </c>
      <c r="G278">
        <v>31</v>
      </c>
      <c r="H278">
        <v>2</v>
      </c>
      <c r="I278">
        <v>5</v>
      </c>
      <c r="J278">
        <v>2</v>
      </c>
      <c r="K278">
        <v>0</v>
      </c>
      <c r="L278">
        <v>0</v>
      </c>
      <c r="M278" t="s">
        <v>34</v>
      </c>
      <c r="N278" t="s">
        <v>106</v>
      </c>
      <c r="O278" t="s">
        <v>44</v>
      </c>
      <c r="P278" t="s">
        <v>45</v>
      </c>
      <c r="Q278">
        <v>0</v>
      </c>
      <c r="R278">
        <v>0</v>
      </c>
      <c r="S278">
        <v>0</v>
      </c>
      <c r="T278" t="s">
        <v>46</v>
      </c>
      <c r="U278" t="s">
        <v>46</v>
      </c>
      <c r="V278">
        <v>0</v>
      </c>
      <c r="W278" t="s">
        <v>38</v>
      </c>
      <c r="X278">
        <v>9</v>
      </c>
      <c r="Z278">
        <v>0</v>
      </c>
      <c r="AA278" t="s">
        <v>73</v>
      </c>
      <c r="AB278">
        <v>95.96</v>
      </c>
      <c r="AC278">
        <v>0</v>
      </c>
      <c r="AD278">
        <v>1</v>
      </c>
      <c r="AE278" t="s">
        <v>40</v>
      </c>
      <c r="AF278" s="1">
        <v>42315</v>
      </c>
    </row>
    <row r="279" spans="1:32" x14ac:dyDescent="0.25">
      <c r="A279" t="s">
        <v>41</v>
      </c>
      <c r="B279">
        <v>0</v>
      </c>
      <c r="C279">
        <v>36</v>
      </c>
      <c r="D279">
        <v>2017</v>
      </c>
      <c r="E279" t="s">
        <v>52</v>
      </c>
      <c r="F279">
        <v>11</v>
      </c>
      <c r="G279">
        <v>14</v>
      </c>
      <c r="H279">
        <v>0</v>
      </c>
      <c r="I279">
        <v>4</v>
      </c>
      <c r="J279">
        <v>2</v>
      </c>
      <c r="K279">
        <v>0</v>
      </c>
      <c r="L279">
        <v>0</v>
      </c>
      <c r="M279" t="s">
        <v>34</v>
      </c>
      <c r="N279" t="s">
        <v>70</v>
      </c>
      <c r="O279" t="s">
        <v>44</v>
      </c>
      <c r="P279" t="s">
        <v>45</v>
      </c>
      <c r="Q279">
        <v>0</v>
      </c>
      <c r="R279">
        <v>0</v>
      </c>
      <c r="S279">
        <v>0</v>
      </c>
      <c r="T279" t="s">
        <v>57</v>
      </c>
      <c r="U279" t="s">
        <v>57</v>
      </c>
      <c r="V279">
        <v>0</v>
      </c>
      <c r="W279" t="s">
        <v>38</v>
      </c>
      <c r="X279">
        <v>9</v>
      </c>
      <c r="Z279">
        <v>0</v>
      </c>
      <c r="AA279" t="s">
        <v>39</v>
      </c>
      <c r="AB279">
        <v>106.68</v>
      </c>
      <c r="AC279">
        <v>0</v>
      </c>
      <c r="AD279">
        <v>0</v>
      </c>
      <c r="AE279" t="s">
        <v>40</v>
      </c>
      <c r="AF279" s="1">
        <v>42812</v>
      </c>
    </row>
    <row r="280" spans="1:32" x14ac:dyDescent="0.25">
      <c r="A280" t="s">
        <v>32</v>
      </c>
      <c r="B280">
        <v>1</v>
      </c>
      <c r="C280">
        <v>55</v>
      </c>
      <c r="D280">
        <v>2016</v>
      </c>
      <c r="E280" t="s">
        <v>59</v>
      </c>
      <c r="F280">
        <v>41</v>
      </c>
      <c r="G280">
        <v>3</v>
      </c>
      <c r="H280">
        <v>3</v>
      </c>
      <c r="I280">
        <v>6</v>
      </c>
      <c r="J280">
        <v>1</v>
      </c>
      <c r="K280">
        <v>0</v>
      </c>
      <c r="L280">
        <v>0</v>
      </c>
      <c r="M280" t="s">
        <v>34</v>
      </c>
      <c r="N280" t="s">
        <v>56</v>
      </c>
      <c r="O280" t="s">
        <v>44</v>
      </c>
      <c r="P280" t="s">
        <v>45</v>
      </c>
      <c r="Q280">
        <v>0</v>
      </c>
      <c r="R280">
        <v>0</v>
      </c>
      <c r="S280">
        <v>0</v>
      </c>
      <c r="T280" t="s">
        <v>57</v>
      </c>
      <c r="U280" t="s">
        <v>57</v>
      </c>
      <c r="V280">
        <v>0</v>
      </c>
      <c r="W280" t="s">
        <v>38</v>
      </c>
      <c r="X280">
        <v>240</v>
      </c>
      <c r="Z280">
        <v>0</v>
      </c>
      <c r="AA280" t="s">
        <v>39</v>
      </c>
      <c r="AB280">
        <v>89</v>
      </c>
      <c r="AC280">
        <v>0</v>
      </c>
      <c r="AD280">
        <v>2</v>
      </c>
      <c r="AE280" t="s">
        <v>47</v>
      </c>
      <c r="AF280" s="1">
        <v>42630</v>
      </c>
    </row>
    <row r="281" spans="1:32" x14ac:dyDescent="0.25">
      <c r="A281" t="s">
        <v>41</v>
      </c>
      <c r="B281">
        <v>1</v>
      </c>
      <c r="C281">
        <v>135</v>
      </c>
      <c r="D281">
        <v>2017</v>
      </c>
      <c r="E281" t="s">
        <v>83</v>
      </c>
      <c r="F281">
        <v>26</v>
      </c>
      <c r="G281">
        <v>30</v>
      </c>
      <c r="H281">
        <v>0</v>
      </c>
      <c r="I281">
        <v>1</v>
      </c>
      <c r="J281">
        <v>2</v>
      </c>
      <c r="K281">
        <v>0</v>
      </c>
      <c r="L281">
        <v>0</v>
      </c>
      <c r="M281" t="s">
        <v>34</v>
      </c>
      <c r="N281" t="s">
        <v>43</v>
      </c>
      <c r="O281" t="s">
        <v>64</v>
      </c>
      <c r="P281" t="s">
        <v>45</v>
      </c>
      <c r="Q281">
        <v>0</v>
      </c>
      <c r="R281">
        <v>0</v>
      </c>
      <c r="S281">
        <v>0</v>
      </c>
      <c r="T281" t="s">
        <v>46</v>
      </c>
      <c r="U281" t="s">
        <v>46</v>
      </c>
      <c r="V281">
        <v>0</v>
      </c>
      <c r="W281" t="s">
        <v>68</v>
      </c>
      <c r="X281">
        <v>30</v>
      </c>
      <c r="Z281">
        <v>0</v>
      </c>
      <c r="AA281" t="s">
        <v>39</v>
      </c>
      <c r="AB281">
        <v>130</v>
      </c>
      <c r="AC281">
        <v>0</v>
      </c>
      <c r="AD281">
        <v>0</v>
      </c>
      <c r="AE281" t="s">
        <v>47</v>
      </c>
      <c r="AF281" s="1">
        <v>42781</v>
      </c>
    </row>
    <row r="282" spans="1:32" x14ac:dyDescent="0.25">
      <c r="A282" t="s">
        <v>41</v>
      </c>
      <c r="B282">
        <v>0</v>
      </c>
      <c r="C282">
        <v>130</v>
      </c>
      <c r="D282">
        <v>2016</v>
      </c>
      <c r="E282" t="s">
        <v>62</v>
      </c>
      <c r="F282">
        <v>36</v>
      </c>
      <c r="G282">
        <v>3</v>
      </c>
      <c r="H282">
        <v>2</v>
      </c>
      <c r="I282">
        <v>1</v>
      </c>
      <c r="J282">
        <v>2</v>
      </c>
      <c r="K282">
        <v>0</v>
      </c>
      <c r="L282">
        <v>0</v>
      </c>
      <c r="M282" t="s">
        <v>34</v>
      </c>
      <c r="N282" t="s">
        <v>35</v>
      </c>
      <c r="O282" t="s">
        <v>49</v>
      </c>
      <c r="P282" t="s">
        <v>45</v>
      </c>
      <c r="Q282">
        <v>0</v>
      </c>
      <c r="R282">
        <v>0</v>
      </c>
      <c r="S282">
        <v>0</v>
      </c>
      <c r="T282" t="s">
        <v>46</v>
      </c>
      <c r="U282" t="s">
        <v>46</v>
      </c>
      <c r="V282">
        <v>0</v>
      </c>
      <c r="W282" t="s">
        <v>38</v>
      </c>
      <c r="X282">
        <v>42</v>
      </c>
      <c r="Z282">
        <v>0</v>
      </c>
      <c r="AA282" t="s">
        <v>39</v>
      </c>
      <c r="AB282">
        <v>80.75</v>
      </c>
      <c r="AC282">
        <v>0</v>
      </c>
      <c r="AD282">
        <v>0</v>
      </c>
      <c r="AE282" t="s">
        <v>40</v>
      </c>
      <c r="AF282" s="1">
        <v>42619</v>
      </c>
    </row>
    <row r="283" spans="1:32" x14ac:dyDescent="0.25">
      <c r="A283" t="s">
        <v>41</v>
      </c>
      <c r="B283">
        <v>0</v>
      </c>
      <c r="C283">
        <v>25</v>
      </c>
      <c r="D283">
        <v>2017</v>
      </c>
      <c r="E283" t="s">
        <v>74</v>
      </c>
      <c r="F283">
        <v>1</v>
      </c>
      <c r="G283">
        <v>6</v>
      </c>
      <c r="H283">
        <v>0</v>
      </c>
      <c r="I283">
        <v>2</v>
      </c>
      <c r="J283">
        <v>2</v>
      </c>
      <c r="K283">
        <v>0</v>
      </c>
      <c r="L283">
        <v>0</v>
      </c>
      <c r="M283" t="s">
        <v>34</v>
      </c>
      <c r="N283" t="s">
        <v>35</v>
      </c>
      <c r="O283" t="s">
        <v>36</v>
      </c>
      <c r="P283" t="s">
        <v>36</v>
      </c>
      <c r="Q283">
        <v>0</v>
      </c>
      <c r="R283">
        <v>0</v>
      </c>
      <c r="S283">
        <v>0</v>
      </c>
      <c r="T283" t="s">
        <v>84</v>
      </c>
      <c r="U283" t="s">
        <v>84</v>
      </c>
      <c r="V283">
        <v>0</v>
      </c>
      <c r="W283" t="s">
        <v>38</v>
      </c>
      <c r="X283">
        <v>14</v>
      </c>
      <c r="Z283">
        <v>0</v>
      </c>
      <c r="AA283" t="s">
        <v>39</v>
      </c>
      <c r="AB283">
        <v>198</v>
      </c>
      <c r="AC283">
        <v>0</v>
      </c>
      <c r="AD283">
        <v>0</v>
      </c>
      <c r="AE283" t="s">
        <v>40</v>
      </c>
      <c r="AF283" s="1">
        <v>42743</v>
      </c>
    </row>
    <row r="284" spans="1:32" x14ac:dyDescent="0.25">
      <c r="A284" t="s">
        <v>41</v>
      </c>
      <c r="B284">
        <v>0</v>
      </c>
      <c r="C284">
        <v>248</v>
      </c>
      <c r="D284">
        <v>2017</v>
      </c>
      <c r="E284" t="s">
        <v>54</v>
      </c>
      <c r="F284">
        <v>15</v>
      </c>
      <c r="G284">
        <v>9</v>
      </c>
      <c r="H284">
        <v>2</v>
      </c>
      <c r="I284">
        <v>0</v>
      </c>
      <c r="J284">
        <v>2</v>
      </c>
      <c r="K284">
        <v>0</v>
      </c>
      <c r="L284">
        <v>0</v>
      </c>
      <c r="M284" t="s">
        <v>34</v>
      </c>
      <c r="N284" t="s">
        <v>56</v>
      </c>
      <c r="O284" t="s">
        <v>64</v>
      </c>
      <c r="P284" t="s">
        <v>45</v>
      </c>
      <c r="Q284">
        <v>0</v>
      </c>
      <c r="R284">
        <v>0</v>
      </c>
      <c r="S284">
        <v>0</v>
      </c>
      <c r="T284" t="s">
        <v>46</v>
      </c>
      <c r="U284" t="s">
        <v>46</v>
      </c>
      <c r="V284">
        <v>0</v>
      </c>
      <c r="W284" t="s">
        <v>38</v>
      </c>
      <c r="X284">
        <v>58</v>
      </c>
      <c r="Z284">
        <v>0</v>
      </c>
      <c r="AA284" t="s">
        <v>51</v>
      </c>
      <c r="AB284">
        <v>80</v>
      </c>
      <c r="AC284">
        <v>0</v>
      </c>
      <c r="AD284">
        <v>1</v>
      </c>
      <c r="AE284" t="s">
        <v>40</v>
      </c>
      <c r="AF284" s="1">
        <v>42836</v>
      </c>
    </row>
    <row r="285" spans="1:32" x14ac:dyDescent="0.25">
      <c r="A285" t="s">
        <v>32</v>
      </c>
      <c r="B285">
        <v>1</v>
      </c>
      <c r="C285">
        <v>92</v>
      </c>
      <c r="D285">
        <v>2016</v>
      </c>
      <c r="E285" t="s">
        <v>66</v>
      </c>
      <c r="F285">
        <v>9</v>
      </c>
      <c r="G285">
        <v>26</v>
      </c>
      <c r="H285">
        <v>1</v>
      </c>
      <c r="I285">
        <v>2</v>
      </c>
      <c r="J285">
        <v>2</v>
      </c>
      <c r="K285">
        <v>0</v>
      </c>
      <c r="L285">
        <v>0</v>
      </c>
      <c r="M285" t="s">
        <v>77</v>
      </c>
      <c r="N285" t="s">
        <v>43</v>
      </c>
      <c r="O285" t="s">
        <v>64</v>
      </c>
      <c r="P285" t="s">
        <v>45</v>
      </c>
      <c r="Q285">
        <v>0</v>
      </c>
      <c r="R285">
        <v>1</v>
      </c>
      <c r="S285">
        <v>0</v>
      </c>
      <c r="T285" t="s">
        <v>46</v>
      </c>
      <c r="U285" t="s">
        <v>46</v>
      </c>
      <c r="V285">
        <v>0</v>
      </c>
      <c r="W285" t="s">
        <v>68</v>
      </c>
      <c r="X285">
        <v>134</v>
      </c>
      <c r="Z285">
        <v>0</v>
      </c>
      <c r="AA285" t="s">
        <v>39</v>
      </c>
      <c r="AB285">
        <v>79</v>
      </c>
      <c r="AC285">
        <v>0</v>
      </c>
      <c r="AD285">
        <v>0</v>
      </c>
      <c r="AE285" t="s">
        <v>47</v>
      </c>
      <c r="AF285" s="1">
        <v>42348</v>
      </c>
    </row>
    <row r="286" spans="1:32" x14ac:dyDescent="0.25">
      <c r="A286" t="s">
        <v>41</v>
      </c>
      <c r="B286">
        <v>1</v>
      </c>
      <c r="C286">
        <v>233</v>
      </c>
      <c r="D286">
        <v>2015</v>
      </c>
      <c r="E286" t="s">
        <v>61</v>
      </c>
      <c r="F286">
        <v>45</v>
      </c>
      <c r="G286">
        <v>7</v>
      </c>
      <c r="H286">
        <v>1</v>
      </c>
      <c r="I286">
        <v>1</v>
      </c>
      <c r="J286">
        <v>2</v>
      </c>
      <c r="K286">
        <v>0</v>
      </c>
      <c r="L286">
        <v>0</v>
      </c>
      <c r="M286" t="s">
        <v>34</v>
      </c>
      <c r="N286" t="s">
        <v>43</v>
      </c>
      <c r="O286" t="s">
        <v>64</v>
      </c>
      <c r="P286" t="s">
        <v>45</v>
      </c>
      <c r="Q286">
        <v>0</v>
      </c>
      <c r="R286">
        <v>0</v>
      </c>
      <c r="S286">
        <v>0</v>
      </c>
      <c r="T286" t="s">
        <v>46</v>
      </c>
      <c r="U286" t="s">
        <v>46</v>
      </c>
      <c r="V286">
        <v>0</v>
      </c>
      <c r="W286" t="s">
        <v>38</v>
      </c>
      <c r="X286">
        <v>1</v>
      </c>
      <c r="Z286">
        <v>0</v>
      </c>
      <c r="AA286" t="s">
        <v>51</v>
      </c>
      <c r="AB286">
        <v>60</v>
      </c>
      <c r="AC286">
        <v>0</v>
      </c>
      <c r="AD286">
        <v>0</v>
      </c>
      <c r="AE286" t="s">
        <v>47</v>
      </c>
      <c r="AF286" s="1">
        <v>42298</v>
      </c>
    </row>
    <row r="287" spans="1:32" x14ac:dyDescent="0.25">
      <c r="A287" t="s">
        <v>41</v>
      </c>
      <c r="B287">
        <v>1</v>
      </c>
      <c r="C287">
        <v>131</v>
      </c>
      <c r="D287">
        <v>2016</v>
      </c>
      <c r="E287" t="s">
        <v>67</v>
      </c>
      <c r="F287">
        <v>35</v>
      </c>
      <c r="G287">
        <v>22</v>
      </c>
      <c r="H287">
        <v>1</v>
      </c>
      <c r="I287">
        <v>3</v>
      </c>
      <c r="J287">
        <v>2</v>
      </c>
      <c r="K287">
        <v>0</v>
      </c>
      <c r="L287">
        <v>0</v>
      </c>
      <c r="M287" t="s">
        <v>55</v>
      </c>
      <c r="N287" t="s">
        <v>43</v>
      </c>
      <c r="O287" t="s">
        <v>44</v>
      </c>
      <c r="P287" t="s">
        <v>45</v>
      </c>
      <c r="Q287">
        <v>0</v>
      </c>
      <c r="R287">
        <v>0</v>
      </c>
      <c r="S287">
        <v>0</v>
      </c>
      <c r="T287" t="s">
        <v>46</v>
      </c>
      <c r="U287" t="s">
        <v>46</v>
      </c>
      <c r="V287">
        <v>0</v>
      </c>
      <c r="W287" t="s">
        <v>38</v>
      </c>
      <c r="X287">
        <v>8</v>
      </c>
      <c r="Z287">
        <v>0</v>
      </c>
      <c r="AA287" t="s">
        <v>39</v>
      </c>
      <c r="AB287">
        <v>92.25</v>
      </c>
      <c r="AC287">
        <v>0</v>
      </c>
      <c r="AD287">
        <v>0</v>
      </c>
      <c r="AE287" t="s">
        <v>47</v>
      </c>
      <c r="AF287" s="1">
        <v>42534</v>
      </c>
    </row>
    <row r="288" spans="1:32" x14ac:dyDescent="0.25">
      <c r="A288" t="s">
        <v>41</v>
      </c>
      <c r="B288">
        <v>0</v>
      </c>
      <c r="C288">
        <v>183</v>
      </c>
      <c r="D288">
        <v>2016</v>
      </c>
      <c r="E288" t="s">
        <v>62</v>
      </c>
      <c r="F288">
        <v>37</v>
      </c>
      <c r="G288">
        <v>8</v>
      </c>
      <c r="H288">
        <v>0</v>
      </c>
      <c r="I288">
        <v>3</v>
      </c>
      <c r="J288">
        <v>2</v>
      </c>
      <c r="K288">
        <v>0</v>
      </c>
      <c r="L288">
        <v>0</v>
      </c>
      <c r="M288" t="s">
        <v>34</v>
      </c>
      <c r="N288" t="s">
        <v>70</v>
      </c>
      <c r="O288" t="s">
        <v>49</v>
      </c>
      <c r="P288" t="s">
        <v>45</v>
      </c>
      <c r="Q288">
        <v>0</v>
      </c>
      <c r="R288">
        <v>0</v>
      </c>
      <c r="S288">
        <v>0</v>
      </c>
      <c r="T288" t="s">
        <v>46</v>
      </c>
      <c r="U288" t="s">
        <v>46</v>
      </c>
      <c r="V288">
        <v>0</v>
      </c>
      <c r="W288" t="s">
        <v>38</v>
      </c>
      <c r="X288">
        <v>44</v>
      </c>
      <c r="Z288">
        <v>0</v>
      </c>
      <c r="AA288" t="s">
        <v>51</v>
      </c>
      <c r="AB288">
        <v>110</v>
      </c>
      <c r="AC288">
        <v>0</v>
      </c>
      <c r="AD288">
        <v>1</v>
      </c>
      <c r="AE288" t="s">
        <v>40</v>
      </c>
      <c r="AF288" s="1">
        <v>42624</v>
      </c>
    </row>
    <row r="289" spans="1:32" x14ac:dyDescent="0.25">
      <c r="A289" t="s">
        <v>41</v>
      </c>
      <c r="B289">
        <v>1</v>
      </c>
      <c r="C289">
        <v>355</v>
      </c>
      <c r="D289">
        <v>2015</v>
      </c>
      <c r="E289" t="s">
        <v>59</v>
      </c>
      <c r="F289">
        <v>41</v>
      </c>
      <c r="G289">
        <v>7</v>
      </c>
      <c r="H289">
        <v>0</v>
      </c>
      <c r="I289">
        <v>2</v>
      </c>
      <c r="J289">
        <v>2</v>
      </c>
      <c r="K289">
        <v>0</v>
      </c>
      <c r="L289">
        <v>0</v>
      </c>
      <c r="M289" t="s">
        <v>34</v>
      </c>
      <c r="N289" t="s">
        <v>43</v>
      </c>
      <c r="O289" t="s">
        <v>64</v>
      </c>
      <c r="P289" t="s">
        <v>45</v>
      </c>
      <c r="Q289">
        <v>0</v>
      </c>
      <c r="R289">
        <v>1</v>
      </c>
      <c r="S289">
        <v>0</v>
      </c>
      <c r="T289" t="s">
        <v>46</v>
      </c>
      <c r="U289" t="s">
        <v>46</v>
      </c>
      <c r="V289">
        <v>0</v>
      </c>
      <c r="W289" t="s">
        <v>68</v>
      </c>
      <c r="X289">
        <v>1</v>
      </c>
      <c r="Z289">
        <v>0</v>
      </c>
      <c r="AA289" t="s">
        <v>51</v>
      </c>
      <c r="AB289">
        <v>62</v>
      </c>
      <c r="AC289">
        <v>0</v>
      </c>
      <c r="AD289">
        <v>0</v>
      </c>
      <c r="AE289" t="s">
        <v>47</v>
      </c>
      <c r="AF289" s="1">
        <v>42187</v>
      </c>
    </row>
    <row r="290" spans="1:32" x14ac:dyDescent="0.25">
      <c r="A290" t="s">
        <v>41</v>
      </c>
      <c r="B290">
        <v>0</v>
      </c>
      <c r="C290">
        <v>0</v>
      </c>
      <c r="D290">
        <v>2017</v>
      </c>
      <c r="E290" t="s">
        <v>52</v>
      </c>
      <c r="F290">
        <v>12</v>
      </c>
      <c r="G290">
        <v>24</v>
      </c>
      <c r="H290">
        <v>0</v>
      </c>
      <c r="I290">
        <v>0</v>
      </c>
      <c r="J290">
        <v>0</v>
      </c>
      <c r="K290">
        <v>0</v>
      </c>
      <c r="L290">
        <v>0</v>
      </c>
      <c r="M290" t="s">
        <v>34</v>
      </c>
      <c r="N290" t="s">
        <v>43</v>
      </c>
      <c r="O290" t="s">
        <v>44</v>
      </c>
      <c r="P290" t="s">
        <v>45</v>
      </c>
      <c r="Q290">
        <v>1</v>
      </c>
      <c r="R290">
        <v>0</v>
      </c>
      <c r="S290">
        <v>0</v>
      </c>
      <c r="T290" t="s">
        <v>46</v>
      </c>
      <c r="U290" t="s">
        <v>84</v>
      </c>
      <c r="V290">
        <v>0</v>
      </c>
      <c r="W290" t="s">
        <v>38</v>
      </c>
      <c r="X290">
        <v>86</v>
      </c>
      <c r="Z290">
        <v>0</v>
      </c>
      <c r="AA290" t="s">
        <v>39</v>
      </c>
      <c r="AB290">
        <v>0</v>
      </c>
      <c r="AC290">
        <v>0</v>
      </c>
      <c r="AD290">
        <v>0</v>
      </c>
      <c r="AE290" t="s">
        <v>40</v>
      </c>
      <c r="AF290" s="1">
        <v>42818</v>
      </c>
    </row>
    <row r="291" spans="1:32" x14ac:dyDescent="0.25">
      <c r="A291" t="s">
        <v>41</v>
      </c>
      <c r="B291">
        <v>0</v>
      </c>
      <c r="C291">
        <v>61</v>
      </c>
      <c r="D291">
        <v>2017</v>
      </c>
      <c r="E291" t="s">
        <v>74</v>
      </c>
      <c r="F291">
        <v>2</v>
      </c>
      <c r="G291">
        <v>8</v>
      </c>
      <c r="H291">
        <v>2</v>
      </c>
      <c r="I291">
        <v>3</v>
      </c>
      <c r="J291">
        <v>2</v>
      </c>
      <c r="K291">
        <v>0</v>
      </c>
      <c r="L291">
        <v>0</v>
      </c>
      <c r="M291" t="s">
        <v>34</v>
      </c>
      <c r="N291" t="s">
        <v>56</v>
      </c>
      <c r="O291" t="s">
        <v>49</v>
      </c>
      <c r="P291" t="s">
        <v>45</v>
      </c>
      <c r="Q291">
        <v>0</v>
      </c>
      <c r="R291">
        <v>0</v>
      </c>
      <c r="S291">
        <v>0</v>
      </c>
      <c r="T291" t="s">
        <v>46</v>
      </c>
      <c r="U291" t="s">
        <v>46</v>
      </c>
      <c r="V291">
        <v>0</v>
      </c>
      <c r="W291" t="s">
        <v>38</v>
      </c>
      <c r="X291">
        <v>27</v>
      </c>
      <c r="Z291">
        <v>0</v>
      </c>
      <c r="AA291" t="s">
        <v>39</v>
      </c>
      <c r="AB291">
        <v>72</v>
      </c>
      <c r="AC291">
        <v>0</v>
      </c>
      <c r="AD291">
        <v>0</v>
      </c>
      <c r="AE291" t="s">
        <v>40</v>
      </c>
      <c r="AF291" s="1">
        <v>42748</v>
      </c>
    </row>
    <row r="292" spans="1:32" x14ac:dyDescent="0.25">
      <c r="A292" t="s">
        <v>41</v>
      </c>
      <c r="B292">
        <v>1</v>
      </c>
      <c r="C292">
        <v>96</v>
      </c>
      <c r="D292">
        <v>2017</v>
      </c>
      <c r="E292" t="s">
        <v>54</v>
      </c>
      <c r="F292">
        <v>17</v>
      </c>
      <c r="G292">
        <v>26</v>
      </c>
      <c r="H292">
        <v>0</v>
      </c>
      <c r="I292">
        <v>2</v>
      </c>
      <c r="J292">
        <v>2</v>
      </c>
      <c r="K292">
        <v>0</v>
      </c>
      <c r="L292">
        <v>0</v>
      </c>
      <c r="M292" t="s">
        <v>34</v>
      </c>
      <c r="N292" t="s">
        <v>43</v>
      </c>
      <c r="O292" t="s">
        <v>64</v>
      </c>
      <c r="P292" t="s">
        <v>45</v>
      </c>
      <c r="Q292">
        <v>0</v>
      </c>
      <c r="R292">
        <v>0</v>
      </c>
      <c r="S292">
        <v>0</v>
      </c>
      <c r="T292" t="s">
        <v>46</v>
      </c>
      <c r="U292" t="s">
        <v>46</v>
      </c>
      <c r="V292">
        <v>0</v>
      </c>
      <c r="W292" t="s">
        <v>68</v>
      </c>
      <c r="X292">
        <v>29</v>
      </c>
      <c r="Z292">
        <v>0</v>
      </c>
      <c r="AA292" t="s">
        <v>39</v>
      </c>
      <c r="AB292">
        <v>130</v>
      </c>
      <c r="AC292">
        <v>0</v>
      </c>
      <c r="AD292">
        <v>0</v>
      </c>
      <c r="AE292" t="s">
        <v>47</v>
      </c>
      <c r="AF292" s="1">
        <v>42755</v>
      </c>
    </row>
    <row r="293" spans="1:32" x14ac:dyDescent="0.25">
      <c r="A293" t="s">
        <v>41</v>
      </c>
      <c r="B293">
        <v>0</v>
      </c>
      <c r="C293">
        <v>150</v>
      </c>
      <c r="D293">
        <v>2016</v>
      </c>
      <c r="E293" t="s">
        <v>83</v>
      </c>
      <c r="F293">
        <v>25</v>
      </c>
      <c r="G293">
        <v>14</v>
      </c>
      <c r="H293">
        <v>1</v>
      </c>
      <c r="I293">
        <v>5</v>
      </c>
      <c r="J293">
        <v>2</v>
      </c>
      <c r="K293">
        <v>0</v>
      </c>
      <c r="L293">
        <v>0</v>
      </c>
      <c r="M293" t="s">
        <v>34</v>
      </c>
      <c r="N293" t="s">
        <v>78</v>
      </c>
      <c r="O293" t="s">
        <v>44</v>
      </c>
      <c r="P293" t="s">
        <v>45</v>
      </c>
      <c r="Q293">
        <v>0</v>
      </c>
      <c r="R293">
        <v>0</v>
      </c>
      <c r="S293">
        <v>0</v>
      </c>
      <c r="T293" t="s">
        <v>57</v>
      </c>
      <c r="U293" t="s">
        <v>57</v>
      </c>
      <c r="V293">
        <v>0</v>
      </c>
      <c r="W293" t="s">
        <v>38</v>
      </c>
      <c r="X293">
        <v>9</v>
      </c>
      <c r="Z293">
        <v>0</v>
      </c>
      <c r="AA293" t="s">
        <v>39</v>
      </c>
      <c r="AB293">
        <v>121.83</v>
      </c>
      <c r="AC293">
        <v>0</v>
      </c>
      <c r="AD293">
        <v>2</v>
      </c>
      <c r="AE293" t="s">
        <v>40</v>
      </c>
      <c r="AF293" s="1">
        <v>42541</v>
      </c>
    </row>
    <row r="294" spans="1:32" x14ac:dyDescent="0.25">
      <c r="A294" t="s">
        <v>41</v>
      </c>
      <c r="B294">
        <v>0</v>
      </c>
      <c r="C294">
        <v>181</v>
      </c>
      <c r="D294">
        <v>2016</v>
      </c>
      <c r="E294" t="s">
        <v>59</v>
      </c>
      <c r="F294">
        <v>42</v>
      </c>
      <c r="G294">
        <v>11</v>
      </c>
      <c r="H294">
        <v>0</v>
      </c>
      <c r="I294">
        <v>2</v>
      </c>
      <c r="J294">
        <v>1</v>
      </c>
      <c r="K294">
        <v>0</v>
      </c>
      <c r="L294">
        <v>0</v>
      </c>
      <c r="M294" t="s">
        <v>34</v>
      </c>
      <c r="N294" t="s">
        <v>70</v>
      </c>
      <c r="O294" t="s">
        <v>49</v>
      </c>
      <c r="P294" t="s">
        <v>45</v>
      </c>
      <c r="Q294">
        <v>0</v>
      </c>
      <c r="R294">
        <v>0</v>
      </c>
      <c r="S294">
        <v>0</v>
      </c>
      <c r="T294" t="s">
        <v>46</v>
      </c>
      <c r="U294" t="s">
        <v>46</v>
      </c>
      <c r="V294">
        <v>0</v>
      </c>
      <c r="W294" t="s">
        <v>38</v>
      </c>
      <c r="X294">
        <v>234</v>
      </c>
      <c r="Z294">
        <v>0</v>
      </c>
      <c r="AA294" t="s">
        <v>51</v>
      </c>
      <c r="AB294">
        <v>120</v>
      </c>
      <c r="AC294">
        <v>0</v>
      </c>
      <c r="AD294">
        <v>0</v>
      </c>
      <c r="AE294" t="s">
        <v>40</v>
      </c>
      <c r="AF294" s="1">
        <v>42656</v>
      </c>
    </row>
    <row r="295" spans="1:32" x14ac:dyDescent="0.25">
      <c r="A295" t="s">
        <v>41</v>
      </c>
      <c r="B295">
        <v>0</v>
      </c>
      <c r="C295">
        <v>6</v>
      </c>
      <c r="D295">
        <v>2015</v>
      </c>
      <c r="E295" t="s">
        <v>33</v>
      </c>
      <c r="F295">
        <v>53</v>
      </c>
      <c r="G295">
        <v>31</v>
      </c>
      <c r="H295">
        <v>0</v>
      </c>
      <c r="I295">
        <v>2</v>
      </c>
      <c r="J295">
        <v>2</v>
      </c>
      <c r="K295">
        <v>0</v>
      </c>
      <c r="L295">
        <v>0</v>
      </c>
      <c r="M295" t="s">
        <v>34</v>
      </c>
      <c r="N295" t="s">
        <v>111</v>
      </c>
      <c r="O295" t="s">
        <v>44</v>
      </c>
      <c r="P295" t="s">
        <v>45</v>
      </c>
      <c r="Q295">
        <v>0</v>
      </c>
      <c r="R295">
        <v>0</v>
      </c>
      <c r="S295">
        <v>0</v>
      </c>
      <c r="T295" t="s">
        <v>57</v>
      </c>
      <c r="U295" t="s">
        <v>57</v>
      </c>
      <c r="V295">
        <v>0</v>
      </c>
      <c r="W295" t="s">
        <v>38</v>
      </c>
      <c r="X295">
        <v>9</v>
      </c>
      <c r="Z295">
        <v>0</v>
      </c>
      <c r="AA295" t="s">
        <v>39</v>
      </c>
      <c r="AB295">
        <v>137</v>
      </c>
      <c r="AC295">
        <v>0</v>
      </c>
      <c r="AD295">
        <v>1</v>
      </c>
      <c r="AE295" t="s">
        <v>40</v>
      </c>
      <c r="AF295" s="1">
        <v>42371</v>
      </c>
    </row>
    <row r="296" spans="1:32" x14ac:dyDescent="0.25">
      <c r="A296" t="s">
        <v>41</v>
      </c>
      <c r="B296">
        <v>0</v>
      </c>
      <c r="C296">
        <v>39</v>
      </c>
      <c r="D296">
        <v>2015</v>
      </c>
      <c r="E296" t="s">
        <v>67</v>
      </c>
      <c r="F296">
        <v>33</v>
      </c>
      <c r="G296">
        <v>14</v>
      </c>
      <c r="H296">
        <v>0</v>
      </c>
      <c r="I296">
        <v>2</v>
      </c>
      <c r="J296">
        <v>2</v>
      </c>
      <c r="K296">
        <v>0</v>
      </c>
      <c r="L296">
        <v>0</v>
      </c>
      <c r="M296" t="s">
        <v>60</v>
      </c>
      <c r="N296" t="s">
        <v>56</v>
      </c>
      <c r="O296" t="s">
        <v>49</v>
      </c>
      <c r="P296" t="s">
        <v>45</v>
      </c>
      <c r="Q296">
        <v>0</v>
      </c>
      <c r="R296">
        <v>0</v>
      </c>
      <c r="S296">
        <v>0</v>
      </c>
      <c r="T296" t="s">
        <v>46</v>
      </c>
      <c r="U296" t="s">
        <v>57</v>
      </c>
      <c r="V296">
        <v>0</v>
      </c>
      <c r="W296" t="s">
        <v>38</v>
      </c>
      <c r="X296">
        <v>6</v>
      </c>
      <c r="Z296">
        <v>0</v>
      </c>
      <c r="AA296" t="s">
        <v>51</v>
      </c>
      <c r="AB296">
        <v>109</v>
      </c>
      <c r="AC296">
        <v>0</v>
      </c>
      <c r="AD296">
        <v>0</v>
      </c>
      <c r="AE296" t="s">
        <v>40</v>
      </c>
      <c r="AF296" s="1">
        <v>42232</v>
      </c>
    </row>
    <row r="297" spans="1:32" x14ac:dyDescent="0.25">
      <c r="A297" t="s">
        <v>41</v>
      </c>
      <c r="B297">
        <v>0</v>
      </c>
      <c r="C297">
        <v>19</v>
      </c>
      <c r="D297">
        <v>2017</v>
      </c>
      <c r="E297" t="s">
        <v>69</v>
      </c>
      <c r="F297">
        <v>19</v>
      </c>
      <c r="G297">
        <v>12</v>
      </c>
      <c r="H297">
        <v>2</v>
      </c>
      <c r="I297">
        <v>5</v>
      </c>
      <c r="J297">
        <v>2</v>
      </c>
      <c r="K297">
        <v>0</v>
      </c>
      <c r="L297">
        <v>0</v>
      </c>
      <c r="M297" t="s">
        <v>34</v>
      </c>
      <c r="N297" t="s">
        <v>56</v>
      </c>
      <c r="O297" t="s">
        <v>44</v>
      </c>
      <c r="P297" t="s">
        <v>45</v>
      </c>
      <c r="Q297">
        <v>0</v>
      </c>
      <c r="R297">
        <v>0</v>
      </c>
      <c r="S297">
        <v>0</v>
      </c>
      <c r="T297" t="s">
        <v>57</v>
      </c>
      <c r="U297" t="s">
        <v>57</v>
      </c>
      <c r="V297">
        <v>0</v>
      </c>
      <c r="W297" t="s">
        <v>38</v>
      </c>
      <c r="X297">
        <v>9</v>
      </c>
      <c r="Z297">
        <v>0</v>
      </c>
      <c r="AA297" t="s">
        <v>39</v>
      </c>
      <c r="AB297">
        <v>184.29</v>
      </c>
      <c r="AC297">
        <v>0</v>
      </c>
      <c r="AD297">
        <v>1</v>
      </c>
      <c r="AE297" t="s">
        <v>40</v>
      </c>
      <c r="AF297" s="1">
        <v>42874</v>
      </c>
    </row>
    <row r="298" spans="1:32" x14ac:dyDescent="0.25">
      <c r="A298" t="s">
        <v>41</v>
      </c>
      <c r="B298">
        <v>1</v>
      </c>
      <c r="C298">
        <v>286</v>
      </c>
      <c r="D298">
        <v>2015</v>
      </c>
      <c r="E298" t="s">
        <v>42</v>
      </c>
      <c r="F298">
        <v>31</v>
      </c>
      <c r="G298">
        <v>30</v>
      </c>
      <c r="H298">
        <v>0</v>
      </c>
      <c r="I298">
        <v>2</v>
      </c>
      <c r="J298">
        <v>2</v>
      </c>
      <c r="K298">
        <v>0</v>
      </c>
      <c r="L298">
        <v>0</v>
      </c>
      <c r="M298" t="s">
        <v>34</v>
      </c>
      <c r="N298" t="s">
        <v>43</v>
      </c>
      <c r="O298" t="s">
        <v>64</v>
      </c>
      <c r="P298" t="s">
        <v>45</v>
      </c>
      <c r="Q298">
        <v>0</v>
      </c>
      <c r="R298">
        <v>1</v>
      </c>
      <c r="S298">
        <v>0</v>
      </c>
      <c r="T298" t="s">
        <v>46</v>
      </c>
      <c r="U298" t="s">
        <v>46</v>
      </c>
      <c r="V298">
        <v>0</v>
      </c>
      <c r="W298" t="s">
        <v>68</v>
      </c>
      <c r="X298">
        <v>1</v>
      </c>
      <c r="Z298">
        <v>0</v>
      </c>
      <c r="AA298" t="s">
        <v>73</v>
      </c>
      <c r="AB298">
        <v>62</v>
      </c>
      <c r="AC298">
        <v>0</v>
      </c>
      <c r="AD298">
        <v>0</v>
      </c>
      <c r="AE298" t="s">
        <v>47</v>
      </c>
      <c r="AF298" s="1">
        <v>42005</v>
      </c>
    </row>
    <row r="299" spans="1:32" x14ac:dyDescent="0.25">
      <c r="A299" t="s">
        <v>41</v>
      </c>
      <c r="B299">
        <v>1</v>
      </c>
      <c r="C299">
        <v>37</v>
      </c>
      <c r="D299">
        <v>2016</v>
      </c>
      <c r="E299" t="s">
        <v>59</v>
      </c>
      <c r="F299">
        <v>42</v>
      </c>
      <c r="G299">
        <v>13</v>
      </c>
      <c r="H299">
        <v>0</v>
      </c>
      <c r="I299">
        <v>3</v>
      </c>
      <c r="J299">
        <v>2</v>
      </c>
      <c r="K299">
        <v>0</v>
      </c>
      <c r="L299">
        <v>0</v>
      </c>
      <c r="M299" t="s">
        <v>34</v>
      </c>
      <c r="N299" t="s">
        <v>43</v>
      </c>
      <c r="O299" t="s">
        <v>49</v>
      </c>
      <c r="P299" t="s">
        <v>45</v>
      </c>
      <c r="Q299">
        <v>0</v>
      </c>
      <c r="R299">
        <v>0</v>
      </c>
      <c r="S299">
        <v>0</v>
      </c>
      <c r="T299" t="s">
        <v>46</v>
      </c>
      <c r="U299" t="s">
        <v>46</v>
      </c>
      <c r="V299">
        <v>0</v>
      </c>
      <c r="W299" t="s">
        <v>38</v>
      </c>
      <c r="X299">
        <v>56</v>
      </c>
      <c r="Z299">
        <v>0</v>
      </c>
      <c r="AA299" t="s">
        <v>51</v>
      </c>
      <c r="AB299">
        <v>105</v>
      </c>
      <c r="AC299">
        <v>0</v>
      </c>
      <c r="AD299">
        <v>0</v>
      </c>
      <c r="AE299" t="s">
        <v>47</v>
      </c>
      <c r="AF299" s="1">
        <v>42619</v>
      </c>
    </row>
    <row r="300" spans="1:32" x14ac:dyDescent="0.25">
      <c r="A300" t="s">
        <v>41</v>
      </c>
      <c r="B300">
        <v>0</v>
      </c>
      <c r="C300">
        <v>102</v>
      </c>
      <c r="D300">
        <v>2015</v>
      </c>
      <c r="E300" t="s">
        <v>59</v>
      </c>
      <c r="F300">
        <v>42</v>
      </c>
      <c r="G300">
        <v>16</v>
      </c>
      <c r="H300">
        <v>0</v>
      </c>
      <c r="I300">
        <v>2</v>
      </c>
      <c r="J300">
        <v>2</v>
      </c>
      <c r="K300">
        <v>0</v>
      </c>
      <c r="L300">
        <v>0</v>
      </c>
      <c r="M300" t="s">
        <v>60</v>
      </c>
      <c r="N300" t="s">
        <v>56</v>
      </c>
      <c r="O300" t="s">
        <v>49</v>
      </c>
      <c r="P300" t="s">
        <v>45</v>
      </c>
      <c r="Q300">
        <v>0</v>
      </c>
      <c r="R300">
        <v>0</v>
      </c>
      <c r="S300">
        <v>0</v>
      </c>
      <c r="T300" t="s">
        <v>46</v>
      </c>
      <c r="U300" t="s">
        <v>46</v>
      </c>
      <c r="V300">
        <v>0</v>
      </c>
      <c r="W300" t="s">
        <v>38</v>
      </c>
      <c r="X300">
        <v>6</v>
      </c>
      <c r="Z300">
        <v>0</v>
      </c>
      <c r="AA300" t="s">
        <v>51</v>
      </c>
      <c r="AB300">
        <v>109</v>
      </c>
      <c r="AC300">
        <v>0</v>
      </c>
      <c r="AD300">
        <v>0</v>
      </c>
      <c r="AE300" t="s">
        <v>40</v>
      </c>
      <c r="AF300" s="1">
        <v>42295</v>
      </c>
    </row>
    <row r="301" spans="1:32" x14ac:dyDescent="0.25">
      <c r="A301" t="s">
        <v>41</v>
      </c>
      <c r="B301">
        <v>1</v>
      </c>
      <c r="C301">
        <v>280</v>
      </c>
      <c r="D301">
        <v>2016</v>
      </c>
      <c r="E301" t="s">
        <v>62</v>
      </c>
      <c r="F301">
        <v>39</v>
      </c>
      <c r="G301">
        <v>19</v>
      </c>
      <c r="H301">
        <v>1</v>
      </c>
      <c r="I301">
        <v>2</v>
      </c>
      <c r="J301">
        <v>2</v>
      </c>
      <c r="K301">
        <v>0</v>
      </c>
      <c r="L301">
        <v>0</v>
      </c>
      <c r="M301" t="s">
        <v>34</v>
      </c>
      <c r="N301" t="s">
        <v>43</v>
      </c>
      <c r="O301" t="s">
        <v>49</v>
      </c>
      <c r="P301" t="s">
        <v>45</v>
      </c>
      <c r="Q301">
        <v>0</v>
      </c>
      <c r="R301">
        <v>0</v>
      </c>
      <c r="S301">
        <v>0</v>
      </c>
      <c r="T301" t="s">
        <v>46</v>
      </c>
      <c r="U301" t="s">
        <v>46</v>
      </c>
      <c r="V301">
        <v>0</v>
      </c>
      <c r="W301" t="s">
        <v>68</v>
      </c>
      <c r="X301">
        <v>6</v>
      </c>
      <c r="Z301">
        <v>35</v>
      </c>
      <c r="AA301" t="s">
        <v>39</v>
      </c>
      <c r="AB301">
        <v>110</v>
      </c>
      <c r="AC301">
        <v>0</v>
      </c>
      <c r="AD301">
        <v>0</v>
      </c>
      <c r="AE301" t="s">
        <v>47</v>
      </c>
      <c r="AF301" s="1">
        <v>42387</v>
      </c>
    </row>
    <row r="302" spans="1:32" x14ac:dyDescent="0.25">
      <c r="A302" t="s">
        <v>41</v>
      </c>
      <c r="B302">
        <v>0</v>
      </c>
      <c r="C302">
        <v>1</v>
      </c>
      <c r="D302">
        <v>2017</v>
      </c>
      <c r="E302" t="s">
        <v>66</v>
      </c>
      <c r="F302">
        <v>9</v>
      </c>
      <c r="G302">
        <v>26</v>
      </c>
      <c r="H302">
        <v>2</v>
      </c>
      <c r="I302">
        <v>0</v>
      </c>
      <c r="J302">
        <v>2</v>
      </c>
      <c r="K302">
        <v>1</v>
      </c>
      <c r="L302">
        <v>0</v>
      </c>
      <c r="M302" t="s">
        <v>34</v>
      </c>
      <c r="N302" t="s">
        <v>63</v>
      </c>
      <c r="O302" t="s">
        <v>36</v>
      </c>
      <c r="P302" t="s">
        <v>36</v>
      </c>
      <c r="Q302">
        <v>0</v>
      </c>
      <c r="R302">
        <v>0</v>
      </c>
      <c r="S302">
        <v>0</v>
      </c>
      <c r="T302" t="s">
        <v>46</v>
      </c>
      <c r="U302" t="s">
        <v>46</v>
      </c>
      <c r="V302">
        <v>1</v>
      </c>
      <c r="W302" t="s">
        <v>38</v>
      </c>
      <c r="X302">
        <v>14</v>
      </c>
      <c r="Z302">
        <v>0</v>
      </c>
      <c r="AA302" t="s">
        <v>39</v>
      </c>
      <c r="AB302">
        <v>123</v>
      </c>
      <c r="AC302">
        <v>0</v>
      </c>
      <c r="AD302">
        <v>1</v>
      </c>
      <c r="AE302" t="s">
        <v>40</v>
      </c>
      <c r="AF302" s="1">
        <v>42794</v>
      </c>
    </row>
    <row r="303" spans="1:32" x14ac:dyDescent="0.25">
      <c r="A303" t="s">
        <v>41</v>
      </c>
      <c r="B303">
        <v>1</v>
      </c>
      <c r="C303">
        <v>59</v>
      </c>
      <c r="D303">
        <v>2017</v>
      </c>
      <c r="E303" t="s">
        <v>74</v>
      </c>
      <c r="F303">
        <v>4</v>
      </c>
      <c r="G303">
        <v>23</v>
      </c>
      <c r="H303">
        <v>1</v>
      </c>
      <c r="I303">
        <v>1</v>
      </c>
      <c r="J303">
        <v>2</v>
      </c>
      <c r="K303">
        <v>0</v>
      </c>
      <c r="L303">
        <v>0</v>
      </c>
      <c r="M303" t="s">
        <v>34</v>
      </c>
      <c r="N303" t="s">
        <v>43</v>
      </c>
      <c r="O303" t="s">
        <v>64</v>
      </c>
      <c r="P303" t="s">
        <v>45</v>
      </c>
      <c r="Q303">
        <v>0</v>
      </c>
      <c r="R303">
        <v>0</v>
      </c>
      <c r="S303">
        <v>0</v>
      </c>
      <c r="T303" t="s">
        <v>46</v>
      </c>
      <c r="U303" t="s">
        <v>46</v>
      </c>
      <c r="V303">
        <v>0</v>
      </c>
      <c r="W303" t="s">
        <v>68</v>
      </c>
      <c r="X303">
        <v>326</v>
      </c>
      <c r="Z303">
        <v>0</v>
      </c>
      <c r="AA303" t="s">
        <v>39</v>
      </c>
      <c r="AB303">
        <v>80</v>
      </c>
      <c r="AC303">
        <v>0</v>
      </c>
      <c r="AD303">
        <v>0</v>
      </c>
      <c r="AE303" t="s">
        <v>47</v>
      </c>
      <c r="AF303" s="1">
        <v>42699</v>
      </c>
    </row>
    <row r="304" spans="1:32" x14ac:dyDescent="0.25">
      <c r="A304" t="s">
        <v>32</v>
      </c>
      <c r="B304">
        <v>0</v>
      </c>
      <c r="C304">
        <v>50</v>
      </c>
      <c r="D304">
        <v>2017</v>
      </c>
      <c r="E304" t="s">
        <v>66</v>
      </c>
      <c r="F304">
        <v>8</v>
      </c>
      <c r="G304">
        <v>25</v>
      </c>
      <c r="H304">
        <v>2</v>
      </c>
      <c r="I304">
        <v>1</v>
      </c>
      <c r="J304">
        <v>2</v>
      </c>
      <c r="K304">
        <v>0</v>
      </c>
      <c r="L304">
        <v>1</v>
      </c>
      <c r="M304" t="s">
        <v>34</v>
      </c>
      <c r="N304" t="s">
        <v>43</v>
      </c>
      <c r="O304" t="s">
        <v>36</v>
      </c>
      <c r="P304" t="s">
        <v>36</v>
      </c>
      <c r="Q304">
        <v>0</v>
      </c>
      <c r="R304">
        <v>0</v>
      </c>
      <c r="S304">
        <v>0</v>
      </c>
      <c r="T304" t="s">
        <v>46</v>
      </c>
      <c r="U304" t="s">
        <v>46</v>
      </c>
      <c r="V304">
        <v>2</v>
      </c>
      <c r="W304" t="s">
        <v>38</v>
      </c>
      <c r="X304">
        <v>250</v>
      </c>
      <c r="Z304">
        <v>0</v>
      </c>
      <c r="AA304" t="s">
        <v>39</v>
      </c>
      <c r="AB304">
        <v>39.6</v>
      </c>
      <c r="AC304">
        <v>0</v>
      </c>
      <c r="AD304">
        <v>1</v>
      </c>
      <c r="AE304" t="s">
        <v>40</v>
      </c>
      <c r="AF304" s="1">
        <v>42794</v>
      </c>
    </row>
    <row r="305" spans="1:32" x14ac:dyDescent="0.25">
      <c r="A305" t="s">
        <v>41</v>
      </c>
      <c r="B305">
        <v>1</v>
      </c>
      <c r="C305">
        <v>37</v>
      </c>
      <c r="D305">
        <v>2016</v>
      </c>
      <c r="E305" t="s">
        <v>42</v>
      </c>
      <c r="F305">
        <v>27</v>
      </c>
      <c r="G305">
        <v>1</v>
      </c>
      <c r="H305">
        <v>0</v>
      </c>
      <c r="I305">
        <v>1</v>
      </c>
      <c r="J305">
        <v>2</v>
      </c>
      <c r="K305">
        <v>0</v>
      </c>
      <c r="L305">
        <v>0</v>
      </c>
      <c r="M305" t="s">
        <v>34</v>
      </c>
      <c r="N305" t="s">
        <v>106</v>
      </c>
      <c r="O305" t="s">
        <v>44</v>
      </c>
      <c r="P305" t="s">
        <v>45</v>
      </c>
      <c r="Q305">
        <v>0</v>
      </c>
      <c r="R305">
        <v>0</v>
      </c>
      <c r="S305">
        <v>0</v>
      </c>
      <c r="T305" t="s">
        <v>57</v>
      </c>
      <c r="U305" t="s">
        <v>57</v>
      </c>
      <c r="V305">
        <v>0</v>
      </c>
      <c r="W305" t="s">
        <v>38</v>
      </c>
      <c r="X305">
        <v>9</v>
      </c>
      <c r="Z305">
        <v>0</v>
      </c>
      <c r="AA305" t="s">
        <v>39</v>
      </c>
      <c r="AB305">
        <v>131.4</v>
      </c>
      <c r="AC305">
        <v>0</v>
      </c>
      <c r="AD305">
        <v>0</v>
      </c>
      <c r="AE305" t="s">
        <v>47</v>
      </c>
      <c r="AF305" s="1">
        <v>42517</v>
      </c>
    </row>
    <row r="306" spans="1:32" x14ac:dyDescent="0.25">
      <c r="A306" t="s">
        <v>41</v>
      </c>
      <c r="B306">
        <v>1</v>
      </c>
      <c r="C306">
        <v>330</v>
      </c>
      <c r="D306">
        <v>2015</v>
      </c>
      <c r="E306" t="s">
        <v>62</v>
      </c>
      <c r="F306">
        <v>37</v>
      </c>
      <c r="G306">
        <v>12</v>
      </c>
      <c r="H306">
        <v>2</v>
      </c>
      <c r="I306">
        <v>1</v>
      </c>
      <c r="J306">
        <v>2</v>
      </c>
      <c r="K306">
        <v>0</v>
      </c>
      <c r="L306">
        <v>0</v>
      </c>
      <c r="M306" t="s">
        <v>34</v>
      </c>
      <c r="N306" t="s">
        <v>43</v>
      </c>
      <c r="O306" t="s">
        <v>64</v>
      </c>
      <c r="P306" t="s">
        <v>45</v>
      </c>
      <c r="Q306">
        <v>0</v>
      </c>
      <c r="R306">
        <v>1</v>
      </c>
      <c r="S306">
        <v>0</v>
      </c>
      <c r="T306" t="s">
        <v>46</v>
      </c>
      <c r="U306" t="s">
        <v>46</v>
      </c>
      <c r="V306">
        <v>0</v>
      </c>
      <c r="W306" t="s">
        <v>38</v>
      </c>
      <c r="X306">
        <v>1</v>
      </c>
      <c r="Z306">
        <v>0</v>
      </c>
      <c r="AA306" t="s">
        <v>51</v>
      </c>
      <c r="AB306">
        <v>62.8</v>
      </c>
      <c r="AC306">
        <v>0</v>
      </c>
      <c r="AD306">
        <v>0</v>
      </c>
      <c r="AE306" t="s">
        <v>47</v>
      </c>
      <c r="AF306" s="1">
        <v>42005</v>
      </c>
    </row>
    <row r="307" spans="1:32" x14ac:dyDescent="0.25">
      <c r="A307" t="s">
        <v>41</v>
      </c>
      <c r="B307">
        <v>1</v>
      </c>
      <c r="C307">
        <v>50</v>
      </c>
      <c r="D307">
        <v>2015</v>
      </c>
      <c r="E307" t="s">
        <v>59</v>
      </c>
      <c r="F307">
        <v>43</v>
      </c>
      <c r="G307">
        <v>24</v>
      </c>
      <c r="H307">
        <v>1</v>
      </c>
      <c r="I307">
        <v>1</v>
      </c>
      <c r="J307">
        <v>2</v>
      </c>
      <c r="K307">
        <v>0</v>
      </c>
      <c r="L307">
        <v>0</v>
      </c>
      <c r="M307" t="s">
        <v>34</v>
      </c>
      <c r="N307" t="s">
        <v>43</v>
      </c>
      <c r="O307" t="s">
        <v>64</v>
      </c>
      <c r="P307" t="s">
        <v>36</v>
      </c>
      <c r="Q307">
        <v>0</v>
      </c>
      <c r="R307">
        <v>0</v>
      </c>
      <c r="S307">
        <v>0</v>
      </c>
      <c r="T307" t="s">
        <v>46</v>
      </c>
      <c r="U307" t="s">
        <v>46</v>
      </c>
      <c r="V307">
        <v>0</v>
      </c>
      <c r="W307" t="s">
        <v>68</v>
      </c>
      <c r="Z307">
        <v>0</v>
      </c>
      <c r="AA307" t="s">
        <v>39</v>
      </c>
      <c r="AB307">
        <v>75</v>
      </c>
      <c r="AC307">
        <v>0</v>
      </c>
      <c r="AD307">
        <v>0</v>
      </c>
      <c r="AE307" t="s">
        <v>47</v>
      </c>
      <c r="AF307" s="1">
        <v>42284</v>
      </c>
    </row>
    <row r="308" spans="1:32" x14ac:dyDescent="0.25">
      <c r="A308" t="s">
        <v>41</v>
      </c>
      <c r="B308">
        <v>0</v>
      </c>
      <c r="C308">
        <v>25</v>
      </c>
      <c r="D308">
        <v>2017</v>
      </c>
      <c r="E308" t="s">
        <v>67</v>
      </c>
      <c r="F308">
        <v>33</v>
      </c>
      <c r="G308">
        <v>14</v>
      </c>
      <c r="H308">
        <v>1</v>
      </c>
      <c r="I308">
        <v>2</v>
      </c>
      <c r="J308">
        <v>2</v>
      </c>
      <c r="K308">
        <v>0</v>
      </c>
      <c r="L308">
        <v>0</v>
      </c>
      <c r="M308" t="s">
        <v>55</v>
      </c>
      <c r="N308" t="s">
        <v>70</v>
      </c>
      <c r="O308" t="s">
        <v>44</v>
      </c>
      <c r="P308" t="s">
        <v>45</v>
      </c>
      <c r="Q308">
        <v>0</v>
      </c>
      <c r="R308">
        <v>0</v>
      </c>
      <c r="S308">
        <v>0</v>
      </c>
      <c r="T308" t="s">
        <v>46</v>
      </c>
      <c r="U308" t="s">
        <v>46</v>
      </c>
      <c r="V308">
        <v>0</v>
      </c>
      <c r="W308" t="s">
        <v>38</v>
      </c>
      <c r="X308">
        <v>9</v>
      </c>
      <c r="Z308">
        <v>0</v>
      </c>
      <c r="AA308" t="s">
        <v>39</v>
      </c>
      <c r="AB308">
        <v>169</v>
      </c>
      <c r="AC308">
        <v>0</v>
      </c>
      <c r="AD308">
        <v>1</v>
      </c>
      <c r="AE308" t="s">
        <v>40</v>
      </c>
      <c r="AF308" s="1">
        <v>42964</v>
      </c>
    </row>
    <row r="309" spans="1:32" x14ac:dyDescent="0.25">
      <c r="A309" t="s">
        <v>41</v>
      </c>
      <c r="B309">
        <v>0</v>
      </c>
      <c r="C309">
        <v>151</v>
      </c>
      <c r="D309">
        <v>2016</v>
      </c>
      <c r="E309" t="s">
        <v>42</v>
      </c>
      <c r="F309">
        <v>28</v>
      </c>
      <c r="G309">
        <v>4</v>
      </c>
      <c r="H309">
        <v>1</v>
      </c>
      <c r="I309">
        <v>0</v>
      </c>
      <c r="J309">
        <v>2</v>
      </c>
      <c r="K309">
        <v>2</v>
      </c>
      <c r="L309">
        <v>0</v>
      </c>
      <c r="M309" t="s">
        <v>34</v>
      </c>
      <c r="N309" t="s">
        <v>103</v>
      </c>
      <c r="O309" t="s">
        <v>36</v>
      </c>
      <c r="P309" t="s">
        <v>36</v>
      </c>
      <c r="Q309">
        <v>0</v>
      </c>
      <c r="R309">
        <v>0</v>
      </c>
      <c r="S309">
        <v>0</v>
      </c>
      <c r="T309" t="s">
        <v>37</v>
      </c>
      <c r="U309" t="s">
        <v>37</v>
      </c>
      <c r="V309">
        <v>0</v>
      </c>
      <c r="W309" t="s">
        <v>38</v>
      </c>
      <c r="X309">
        <v>14</v>
      </c>
      <c r="Z309">
        <v>0</v>
      </c>
      <c r="AA309" t="s">
        <v>39</v>
      </c>
      <c r="AB309">
        <v>171.9</v>
      </c>
      <c r="AC309">
        <v>0</v>
      </c>
      <c r="AD309">
        <v>0</v>
      </c>
      <c r="AE309" t="s">
        <v>40</v>
      </c>
      <c r="AF309" s="1">
        <v>42556</v>
      </c>
    </row>
    <row r="310" spans="1:32" x14ac:dyDescent="0.25">
      <c r="A310" t="s">
        <v>32</v>
      </c>
      <c r="B310">
        <v>1</v>
      </c>
      <c r="C310">
        <v>6</v>
      </c>
      <c r="D310">
        <v>2015</v>
      </c>
      <c r="E310" t="s">
        <v>33</v>
      </c>
      <c r="F310">
        <v>50</v>
      </c>
      <c r="G310">
        <v>6</v>
      </c>
      <c r="H310">
        <v>2</v>
      </c>
      <c r="I310">
        <v>0</v>
      </c>
      <c r="J310">
        <v>2</v>
      </c>
      <c r="K310">
        <v>0</v>
      </c>
      <c r="L310">
        <v>0</v>
      </c>
      <c r="M310" t="s">
        <v>34</v>
      </c>
      <c r="N310" t="s">
        <v>43</v>
      </c>
      <c r="O310" t="s">
        <v>44</v>
      </c>
      <c r="P310" t="s">
        <v>45</v>
      </c>
      <c r="Q310">
        <v>0</v>
      </c>
      <c r="R310">
        <v>1</v>
      </c>
      <c r="S310">
        <v>0</v>
      </c>
      <c r="T310" t="s">
        <v>57</v>
      </c>
      <c r="U310" t="s">
        <v>57</v>
      </c>
      <c r="V310">
        <v>0</v>
      </c>
      <c r="W310" t="s">
        <v>38</v>
      </c>
      <c r="X310">
        <v>240</v>
      </c>
      <c r="Z310">
        <v>0</v>
      </c>
      <c r="AA310" t="s">
        <v>39</v>
      </c>
      <c r="AB310">
        <v>54.4</v>
      </c>
      <c r="AC310">
        <v>0</v>
      </c>
      <c r="AD310">
        <v>0</v>
      </c>
      <c r="AE310" t="s">
        <v>47</v>
      </c>
      <c r="AF310" s="1">
        <v>42339</v>
      </c>
    </row>
    <row r="311" spans="1:32" x14ac:dyDescent="0.25">
      <c r="A311" t="s">
        <v>41</v>
      </c>
      <c r="B311">
        <v>1</v>
      </c>
      <c r="C311">
        <v>153</v>
      </c>
      <c r="D311">
        <v>2017</v>
      </c>
      <c r="E311" t="s">
        <v>42</v>
      </c>
      <c r="F311">
        <v>28</v>
      </c>
      <c r="G311">
        <v>9</v>
      </c>
      <c r="H311">
        <v>1</v>
      </c>
      <c r="I311">
        <v>0</v>
      </c>
      <c r="J311">
        <v>2</v>
      </c>
      <c r="K311">
        <v>0</v>
      </c>
      <c r="L311">
        <v>0</v>
      </c>
      <c r="M311" t="s">
        <v>55</v>
      </c>
      <c r="N311" t="s">
        <v>71</v>
      </c>
      <c r="O311" t="s">
        <v>44</v>
      </c>
      <c r="P311" t="s">
        <v>45</v>
      </c>
      <c r="Q311">
        <v>0</v>
      </c>
      <c r="R311">
        <v>0</v>
      </c>
      <c r="S311">
        <v>0</v>
      </c>
      <c r="T311" t="s">
        <v>46</v>
      </c>
      <c r="U311" t="s">
        <v>46</v>
      </c>
      <c r="V311">
        <v>0</v>
      </c>
      <c r="W311" t="s">
        <v>38</v>
      </c>
      <c r="X311">
        <v>9</v>
      </c>
      <c r="Z311">
        <v>0</v>
      </c>
      <c r="AA311" t="s">
        <v>39</v>
      </c>
      <c r="AB311">
        <v>89.1</v>
      </c>
      <c r="AC311">
        <v>0</v>
      </c>
      <c r="AD311">
        <v>0</v>
      </c>
      <c r="AE311" t="s">
        <v>47</v>
      </c>
      <c r="AF311" s="1">
        <v>42872</v>
      </c>
    </row>
    <row r="312" spans="1:32" x14ac:dyDescent="0.25">
      <c r="A312" t="s">
        <v>41</v>
      </c>
      <c r="B312">
        <v>1</v>
      </c>
      <c r="C312">
        <v>70</v>
      </c>
      <c r="D312">
        <v>2016</v>
      </c>
      <c r="E312" t="s">
        <v>62</v>
      </c>
      <c r="F312">
        <v>38</v>
      </c>
      <c r="G312">
        <v>15</v>
      </c>
      <c r="H312">
        <v>0</v>
      </c>
      <c r="I312">
        <v>2</v>
      </c>
      <c r="J312">
        <v>2</v>
      </c>
      <c r="K312">
        <v>0</v>
      </c>
      <c r="L312">
        <v>0</v>
      </c>
      <c r="M312" t="s">
        <v>34</v>
      </c>
      <c r="N312" t="s">
        <v>43</v>
      </c>
      <c r="O312" t="s">
        <v>44</v>
      </c>
      <c r="P312" t="s">
        <v>45</v>
      </c>
      <c r="Q312">
        <v>0</v>
      </c>
      <c r="R312">
        <v>0</v>
      </c>
      <c r="S312">
        <v>0</v>
      </c>
      <c r="T312" t="s">
        <v>57</v>
      </c>
      <c r="U312" t="s">
        <v>57</v>
      </c>
      <c r="V312">
        <v>0</v>
      </c>
      <c r="W312" t="s">
        <v>38</v>
      </c>
      <c r="X312">
        <v>7</v>
      </c>
      <c r="Z312">
        <v>0</v>
      </c>
      <c r="AA312" t="s">
        <v>39</v>
      </c>
      <c r="AB312">
        <v>149.4</v>
      </c>
      <c r="AC312">
        <v>0</v>
      </c>
      <c r="AD312">
        <v>0</v>
      </c>
      <c r="AE312" t="s">
        <v>47</v>
      </c>
      <c r="AF312" s="1">
        <v>42558</v>
      </c>
    </row>
    <row r="313" spans="1:32" x14ac:dyDescent="0.25">
      <c r="A313" t="s">
        <v>41</v>
      </c>
      <c r="B313">
        <v>0</v>
      </c>
      <c r="C313">
        <v>62</v>
      </c>
      <c r="D313">
        <v>2016</v>
      </c>
      <c r="E313" t="s">
        <v>69</v>
      </c>
      <c r="F313">
        <v>21</v>
      </c>
      <c r="G313">
        <v>19</v>
      </c>
      <c r="H313">
        <v>0</v>
      </c>
      <c r="I313">
        <v>1</v>
      </c>
      <c r="J313">
        <v>1</v>
      </c>
      <c r="K313">
        <v>0</v>
      </c>
      <c r="L313">
        <v>0</v>
      </c>
      <c r="M313" t="s">
        <v>55</v>
      </c>
      <c r="N313" t="s">
        <v>35</v>
      </c>
      <c r="O313" t="s">
        <v>44</v>
      </c>
      <c r="P313" t="s">
        <v>45</v>
      </c>
      <c r="Q313">
        <v>0</v>
      </c>
      <c r="R313">
        <v>0</v>
      </c>
      <c r="S313">
        <v>0</v>
      </c>
      <c r="T313" t="s">
        <v>46</v>
      </c>
      <c r="U313" t="s">
        <v>46</v>
      </c>
      <c r="V313">
        <v>0</v>
      </c>
      <c r="W313" t="s">
        <v>38</v>
      </c>
      <c r="X313">
        <v>9</v>
      </c>
      <c r="Z313">
        <v>0</v>
      </c>
      <c r="AA313" t="s">
        <v>39</v>
      </c>
      <c r="AB313">
        <v>116.1</v>
      </c>
      <c r="AC313">
        <v>0</v>
      </c>
      <c r="AD313">
        <v>0</v>
      </c>
      <c r="AE313" t="s">
        <v>40</v>
      </c>
      <c r="AF313" s="1">
        <v>42510</v>
      </c>
    </row>
    <row r="314" spans="1:32" x14ac:dyDescent="0.25">
      <c r="A314" t="s">
        <v>41</v>
      </c>
      <c r="B314">
        <v>0</v>
      </c>
      <c r="C314">
        <v>104</v>
      </c>
      <c r="D314">
        <v>2017</v>
      </c>
      <c r="E314" t="s">
        <v>52</v>
      </c>
      <c r="F314">
        <v>12</v>
      </c>
      <c r="G314">
        <v>19</v>
      </c>
      <c r="H314">
        <v>2</v>
      </c>
      <c r="I314">
        <v>5</v>
      </c>
      <c r="J314">
        <v>1</v>
      </c>
      <c r="K314">
        <v>0</v>
      </c>
      <c r="L314">
        <v>0</v>
      </c>
      <c r="M314" t="s">
        <v>34</v>
      </c>
      <c r="N314" t="s">
        <v>70</v>
      </c>
      <c r="O314" t="s">
        <v>49</v>
      </c>
      <c r="P314" t="s">
        <v>45</v>
      </c>
      <c r="Q314">
        <v>0</v>
      </c>
      <c r="R314">
        <v>0</v>
      </c>
      <c r="S314">
        <v>0</v>
      </c>
      <c r="T314" t="s">
        <v>46</v>
      </c>
      <c r="U314" t="s">
        <v>46</v>
      </c>
      <c r="V314">
        <v>1</v>
      </c>
      <c r="W314" t="s">
        <v>38</v>
      </c>
      <c r="X314">
        <v>20</v>
      </c>
      <c r="Z314">
        <v>0</v>
      </c>
      <c r="AA314" t="s">
        <v>51</v>
      </c>
      <c r="AB314">
        <v>65</v>
      </c>
      <c r="AC314">
        <v>0</v>
      </c>
      <c r="AD314">
        <v>0</v>
      </c>
      <c r="AE314" t="s">
        <v>40</v>
      </c>
      <c r="AF314" s="1">
        <v>42820</v>
      </c>
    </row>
    <row r="315" spans="1:32" x14ac:dyDescent="0.25">
      <c r="A315" t="s">
        <v>41</v>
      </c>
      <c r="B315">
        <v>0</v>
      </c>
      <c r="C315">
        <v>83</v>
      </c>
      <c r="D315">
        <v>2015</v>
      </c>
      <c r="E315" t="s">
        <v>62</v>
      </c>
      <c r="F315">
        <v>40</v>
      </c>
      <c r="G315">
        <v>30</v>
      </c>
      <c r="H315">
        <v>0</v>
      </c>
      <c r="I315">
        <v>1</v>
      </c>
      <c r="J315">
        <v>2</v>
      </c>
      <c r="K315">
        <v>0</v>
      </c>
      <c r="L315">
        <v>0</v>
      </c>
      <c r="M315" t="s">
        <v>60</v>
      </c>
      <c r="N315" t="s">
        <v>43</v>
      </c>
      <c r="O315" t="s">
        <v>49</v>
      </c>
      <c r="P315" t="s">
        <v>45</v>
      </c>
      <c r="Q315">
        <v>0</v>
      </c>
      <c r="R315">
        <v>0</v>
      </c>
      <c r="S315">
        <v>0</v>
      </c>
      <c r="T315" t="s">
        <v>46</v>
      </c>
      <c r="U315" t="s">
        <v>46</v>
      </c>
      <c r="V315">
        <v>0</v>
      </c>
      <c r="W315" t="s">
        <v>38</v>
      </c>
      <c r="X315">
        <v>26</v>
      </c>
      <c r="Z315">
        <v>77</v>
      </c>
      <c r="AA315" t="s">
        <v>51</v>
      </c>
      <c r="AB315">
        <v>112.2</v>
      </c>
      <c r="AC315">
        <v>0</v>
      </c>
      <c r="AD315">
        <v>0</v>
      </c>
      <c r="AE315" t="s">
        <v>40</v>
      </c>
      <c r="AF315" s="1">
        <v>42278</v>
      </c>
    </row>
    <row r="316" spans="1:32" x14ac:dyDescent="0.25">
      <c r="A316" t="s">
        <v>41</v>
      </c>
      <c r="B316">
        <v>0</v>
      </c>
      <c r="C316">
        <v>69</v>
      </c>
      <c r="D316">
        <v>2017</v>
      </c>
      <c r="E316" t="s">
        <v>54</v>
      </c>
      <c r="F316">
        <v>14</v>
      </c>
      <c r="G316">
        <v>7</v>
      </c>
      <c r="H316">
        <v>0</v>
      </c>
      <c r="I316">
        <v>2</v>
      </c>
      <c r="J316">
        <v>3</v>
      </c>
      <c r="K316">
        <v>0</v>
      </c>
      <c r="L316">
        <v>0</v>
      </c>
      <c r="M316" t="s">
        <v>34</v>
      </c>
      <c r="N316" t="s">
        <v>103</v>
      </c>
      <c r="O316" t="s">
        <v>44</v>
      </c>
      <c r="P316" t="s">
        <v>45</v>
      </c>
      <c r="Q316">
        <v>0</v>
      </c>
      <c r="R316">
        <v>0</v>
      </c>
      <c r="S316">
        <v>0</v>
      </c>
      <c r="T316" t="s">
        <v>57</v>
      </c>
      <c r="U316" t="s">
        <v>57</v>
      </c>
      <c r="V316">
        <v>0</v>
      </c>
      <c r="W316" t="s">
        <v>38</v>
      </c>
      <c r="X316">
        <v>9</v>
      </c>
      <c r="Z316">
        <v>0</v>
      </c>
      <c r="AA316" t="s">
        <v>39</v>
      </c>
      <c r="AB316">
        <v>162</v>
      </c>
      <c r="AC316">
        <v>0</v>
      </c>
      <c r="AD316">
        <v>1</v>
      </c>
      <c r="AE316" t="s">
        <v>40</v>
      </c>
      <c r="AF316" s="1">
        <v>42834</v>
      </c>
    </row>
    <row r="317" spans="1:32" x14ac:dyDescent="0.25">
      <c r="A317" t="s">
        <v>41</v>
      </c>
      <c r="B317">
        <v>0</v>
      </c>
      <c r="C317">
        <v>5</v>
      </c>
      <c r="D317">
        <v>2016</v>
      </c>
      <c r="E317" t="s">
        <v>67</v>
      </c>
      <c r="F317">
        <v>35</v>
      </c>
      <c r="G317">
        <v>26</v>
      </c>
      <c r="H317">
        <v>1</v>
      </c>
      <c r="I317">
        <v>2</v>
      </c>
      <c r="J317">
        <v>2</v>
      </c>
      <c r="K317">
        <v>0</v>
      </c>
      <c r="L317">
        <v>0</v>
      </c>
      <c r="M317" t="s">
        <v>55</v>
      </c>
      <c r="N317" t="s">
        <v>43</v>
      </c>
      <c r="O317" t="s">
        <v>44</v>
      </c>
      <c r="P317" t="s">
        <v>45</v>
      </c>
      <c r="Q317">
        <v>0</v>
      </c>
      <c r="R317">
        <v>0</v>
      </c>
      <c r="S317">
        <v>0</v>
      </c>
      <c r="T317" t="s">
        <v>46</v>
      </c>
      <c r="U317" t="s">
        <v>46</v>
      </c>
      <c r="V317">
        <v>0</v>
      </c>
      <c r="W317" t="s">
        <v>38</v>
      </c>
      <c r="X317">
        <v>7</v>
      </c>
      <c r="Z317">
        <v>0</v>
      </c>
      <c r="AA317" t="s">
        <v>39</v>
      </c>
      <c r="AB317">
        <v>96.76</v>
      </c>
      <c r="AC317">
        <v>0</v>
      </c>
      <c r="AD317">
        <v>1</v>
      </c>
      <c r="AE317" t="s">
        <v>40</v>
      </c>
      <c r="AF317" s="1">
        <v>42611</v>
      </c>
    </row>
    <row r="318" spans="1:32" x14ac:dyDescent="0.25">
      <c r="A318" t="s">
        <v>41</v>
      </c>
      <c r="B318">
        <v>1</v>
      </c>
      <c r="C318">
        <v>77</v>
      </c>
      <c r="D318">
        <v>2015</v>
      </c>
      <c r="E318" t="s">
        <v>67</v>
      </c>
      <c r="F318">
        <v>32</v>
      </c>
      <c r="G318">
        <v>3</v>
      </c>
      <c r="H318">
        <v>5</v>
      </c>
      <c r="I318">
        <v>12</v>
      </c>
      <c r="J318">
        <v>2</v>
      </c>
      <c r="K318">
        <v>0</v>
      </c>
      <c r="L318">
        <v>0</v>
      </c>
      <c r="M318" t="s">
        <v>34</v>
      </c>
      <c r="N318" t="s">
        <v>43</v>
      </c>
      <c r="O318" t="s">
        <v>44</v>
      </c>
      <c r="P318" t="s">
        <v>45</v>
      </c>
      <c r="Q318">
        <v>0</v>
      </c>
      <c r="R318">
        <v>0</v>
      </c>
      <c r="S318">
        <v>0</v>
      </c>
      <c r="T318" t="s">
        <v>46</v>
      </c>
      <c r="U318" t="s">
        <v>46</v>
      </c>
      <c r="V318">
        <v>0</v>
      </c>
      <c r="W318" t="s">
        <v>38</v>
      </c>
      <c r="X318">
        <v>9</v>
      </c>
      <c r="Z318">
        <v>0</v>
      </c>
      <c r="AA318" t="s">
        <v>39</v>
      </c>
      <c r="AB318">
        <v>76.5</v>
      </c>
      <c r="AC318">
        <v>0</v>
      </c>
      <c r="AD318">
        <v>0</v>
      </c>
      <c r="AE318" t="s">
        <v>47</v>
      </c>
      <c r="AF318" s="1">
        <v>42145</v>
      </c>
    </row>
    <row r="319" spans="1:32" x14ac:dyDescent="0.25">
      <c r="A319" t="s">
        <v>32</v>
      </c>
      <c r="B319">
        <v>0</v>
      </c>
      <c r="C319">
        <v>167</v>
      </c>
      <c r="D319">
        <v>2015</v>
      </c>
      <c r="E319" t="s">
        <v>62</v>
      </c>
      <c r="F319">
        <v>38</v>
      </c>
      <c r="G319">
        <v>17</v>
      </c>
      <c r="H319">
        <v>4</v>
      </c>
      <c r="I319">
        <v>10</v>
      </c>
      <c r="J319">
        <v>2</v>
      </c>
      <c r="K319">
        <v>0</v>
      </c>
      <c r="L319">
        <v>0</v>
      </c>
      <c r="M319" t="s">
        <v>60</v>
      </c>
      <c r="N319" t="s">
        <v>35</v>
      </c>
      <c r="O319" t="s">
        <v>49</v>
      </c>
      <c r="P319" t="s">
        <v>45</v>
      </c>
      <c r="Q319">
        <v>0</v>
      </c>
      <c r="R319">
        <v>0</v>
      </c>
      <c r="S319">
        <v>0</v>
      </c>
      <c r="T319" t="s">
        <v>57</v>
      </c>
      <c r="U319" t="s">
        <v>57</v>
      </c>
      <c r="V319">
        <v>0</v>
      </c>
      <c r="W319" t="s">
        <v>38</v>
      </c>
      <c r="X319">
        <v>243</v>
      </c>
      <c r="Z319">
        <v>0</v>
      </c>
      <c r="AA319" t="s">
        <v>73</v>
      </c>
      <c r="AB319">
        <v>68</v>
      </c>
      <c r="AC319">
        <v>0</v>
      </c>
      <c r="AD319">
        <v>3</v>
      </c>
      <c r="AE319" t="s">
        <v>40</v>
      </c>
      <c r="AF319" s="1">
        <v>42278</v>
      </c>
    </row>
    <row r="320" spans="1:32" x14ac:dyDescent="0.25">
      <c r="A320" t="s">
        <v>41</v>
      </c>
      <c r="B320">
        <v>0</v>
      </c>
      <c r="C320">
        <v>72</v>
      </c>
      <c r="D320">
        <v>2016</v>
      </c>
      <c r="E320" t="s">
        <v>83</v>
      </c>
      <c r="F320">
        <v>23</v>
      </c>
      <c r="G320">
        <v>1</v>
      </c>
      <c r="H320">
        <v>0</v>
      </c>
      <c r="I320">
        <v>3</v>
      </c>
      <c r="J320">
        <v>2</v>
      </c>
      <c r="K320">
        <v>0</v>
      </c>
      <c r="L320">
        <v>0</v>
      </c>
      <c r="M320" t="s">
        <v>34</v>
      </c>
      <c r="N320" t="s">
        <v>82</v>
      </c>
      <c r="O320" t="s">
        <v>44</v>
      </c>
      <c r="P320" t="s">
        <v>45</v>
      </c>
      <c r="Q320">
        <v>0</v>
      </c>
      <c r="R320">
        <v>0</v>
      </c>
      <c r="S320">
        <v>0</v>
      </c>
      <c r="T320" t="s">
        <v>57</v>
      </c>
      <c r="U320" t="s">
        <v>57</v>
      </c>
      <c r="V320">
        <v>0</v>
      </c>
      <c r="W320" t="s">
        <v>38</v>
      </c>
      <c r="X320">
        <v>7</v>
      </c>
      <c r="Z320">
        <v>0</v>
      </c>
      <c r="AA320" t="s">
        <v>39</v>
      </c>
      <c r="AB320">
        <v>108.11</v>
      </c>
      <c r="AC320">
        <v>0</v>
      </c>
      <c r="AD320">
        <v>0</v>
      </c>
      <c r="AE320" t="s">
        <v>40</v>
      </c>
      <c r="AF320" s="1">
        <v>42525</v>
      </c>
    </row>
    <row r="321" spans="1:32" x14ac:dyDescent="0.25">
      <c r="A321" t="s">
        <v>41</v>
      </c>
      <c r="B321">
        <v>0</v>
      </c>
      <c r="C321">
        <v>3</v>
      </c>
      <c r="D321">
        <v>2017</v>
      </c>
      <c r="E321" t="s">
        <v>74</v>
      </c>
      <c r="F321">
        <v>4</v>
      </c>
      <c r="G321">
        <v>24</v>
      </c>
      <c r="H321">
        <v>0</v>
      </c>
      <c r="I321">
        <v>1</v>
      </c>
      <c r="J321">
        <v>1</v>
      </c>
      <c r="K321">
        <v>0</v>
      </c>
      <c r="L321">
        <v>0</v>
      </c>
      <c r="M321" t="s">
        <v>55</v>
      </c>
      <c r="N321" t="s">
        <v>43</v>
      </c>
      <c r="O321" t="s">
        <v>44</v>
      </c>
      <c r="P321" t="s">
        <v>45</v>
      </c>
      <c r="Q321">
        <v>0</v>
      </c>
      <c r="R321">
        <v>0</v>
      </c>
      <c r="S321">
        <v>0</v>
      </c>
      <c r="T321" t="s">
        <v>46</v>
      </c>
      <c r="U321" t="s">
        <v>46</v>
      </c>
      <c r="V321">
        <v>0</v>
      </c>
      <c r="W321" t="s">
        <v>38</v>
      </c>
      <c r="X321">
        <v>9</v>
      </c>
      <c r="Z321">
        <v>0</v>
      </c>
      <c r="AA321" t="s">
        <v>39</v>
      </c>
      <c r="AB321">
        <v>88</v>
      </c>
      <c r="AC321">
        <v>0</v>
      </c>
      <c r="AD321">
        <v>0</v>
      </c>
      <c r="AE321" t="s">
        <v>40</v>
      </c>
      <c r="AF321" s="1">
        <v>42760</v>
      </c>
    </row>
    <row r="322" spans="1:32" x14ac:dyDescent="0.25">
      <c r="A322" t="s">
        <v>32</v>
      </c>
      <c r="B322">
        <v>1</v>
      </c>
      <c r="C322">
        <v>256</v>
      </c>
      <c r="D322">
        <v>2015</v>
      </c>
      <c r="E322" t="s">
        <v>67</v>
      </c>
      <c r="F322">
        <v>31</v>
      </c>
      <c r="G322">
        <v>1</v>
      </c>
      <c r="H322">
        <v>3</v>
      </c>
      <c r="I322">
        <v>6</v>
      </c>
      <c r="J322">
        <v>2</v>
      </c>
      <c r="K322">
        <v>2</v>
      </c>
      <c r="L322">
        <v>0</v>
      </c>
      <c r="M322" t="s">
        <v>34</v>
      </c>
      <c r="N322" t="s">
        <v>43</v>
      </c>
      <c r="O322" t="s">
        <v>44</v>
      </c>
      <c r="P322" t="s">
        <v>45</v>
      </c>
      <c r="Q322">
        <v>0</v>
      </c>
      <c r="R322">
        <v>1</v>
      </c>
      <c r="S322">
        <v>0</v>
      </c>
      <c r="T322" t="s">
        <v>84</v>
      </c>
      <c r="U322" t="s">
        <v>84</v>
      </c>
      <c r="V322">
        <v>1</v>
      </c>
      <c r="W322" t="s">
        <v>38</v>
      </c>
      <c r="X322">
        <v>240</v>
      </c>
      <c r="Z322">
        <v>0</v>
      </c>
      <c r="AA322" t="s">
        <v>51</v>
      </c>
      <c r="AB322">
        <v>199</v>
      </c>
      <c r="AC322">
        <v>0</v>
      </c>
      <c r="AD322">
        <v>1</v>
      </c>
      <c r="AE322" t="s">
        <v>47</v>
      </c>
      <c r="AF322" s="1">
        <v>42212</v>
      </c>
    </row>
    <row r="323" spans="1:32" x14ac:dyDescent="0.25">
      <c r="A323" t="s">
        <v>32</v>
      </c>
      <c r="B323">
        <v>0</v>
      </c>
      <c r="C323">
        <v>109</v>
      </c>
      <c r="D323">
        <v>2015</v>
      </c>
      <c r="E323" t="s">
        <v>42</v>
      </c>
      <c r="F323">
        <v>27</v>
      </c>
      <c r="G323">
        <v>4</v>
      </c>
      <c r="H323">
        <v>2</v>
      </c>
      <c r="I323">
        <v>6</v>
      </c>
      <c r="J323">
        <v>2</v>
      </c>
      <c r="K323">
        <v>0</v>
      </c>
      <c r="L323">
        <v>0</v>
      </c>
      <c r="M323" t="s">
        <v>34</v>
      </c>
      <c r="N323" t="s">
        <v>43</v>
      </c>
      <c r="O323" t="s">
        <v>44</v>
      </c>
      <c r="P323" t="s">
        <v>45</v>
      </c>
      <c r="Q323">
        <v>0</v>
      </c>
      <c r="R323">
        <v>0</v>
      </c>
      <c r="S323">
        <v>0</v>
      </c>
      <c r="T323" t="s">
        <v>46</v>
      </c>
      <c r="U323" t="s">
        <v>46</v>
      </c>
      <c r="V323">
        <v>0</v>
      </c>
      <c r="W323" t="s">
        <v>38</v>
      </c>
      <c r="X323">
        <v>240</v>
      </c>
      <c r="Z323">
        <v>0</v>
      </c>
      <c r="AA323" t="s">
        <v>39</v>
      </c>
      <c r="AB323">
        <v>123</v>
      </c>
      <c r="AC323">
        <v>0</v>
      </c>
      <c r="AD323">
        <v>1</v>
      </c>
      <c r="AE323" t="s">
        <v>40</v>
      </c>
      <c r="AF323" s="1">
        <v>42197</v>
      </c>
    </row>
    <row r="324" spans="1:32" x14ac:dyDescent="0.25">
      <c r="A324" t="s">
        <v>41</v>
      </c>
      <c r="B324">
        <v>0</v>
      </c>
      <c r="C324">
        <v>4</v>
      </c>
      <c r="D324">
        <v>2015</v>
      </c>
      <c r="E324" t="s">
        <v>67</v>
      </c>
      <c r="F324">
        <v>34</v>
      </c>
      <c r="G324">
        <v>17</v>
      </c>
      <c r="H324">
        <v>1</v>
      </c>
      <c r="I324">
        <v>3</v>
      </c>
      <c r="J324">
        <v>2</v>
      </c>
      <c r="K324">
        <v>0</v>
      </c>
      <c r="L324">
        <v>0</v>
      </c>
      <c r="M324" t="s">
        <v>34</v>
      </c>
      <c r="N324" t="s">
        <v>63</v>
      </c>
      <c r="O324" t="s">
        <v>44</v>
      </c>
      <c r="P324" t="s">
        <v>45</v>
      </c>
      <c r="Q324">
        <v>0</v>
      </c>
      <c r="R324">
        <v>0</v>
      </c>
      <c r="S324">
        <v>0</v>
      </c>
      <c r="T324" t="s">
        <v>46</v>
      </c>
      <c r="U324" t="s">
        <v>46</v>
      </c>
      <c r="V324">
        <v>0</v>
      </c>
      <c r="W324" t="s">
        <v>38</v>
      </c>
      <c r="X324">
        <v>9</v>
      </c>
      <c r="Z324">
        <v>0</v>
      </c>
      <c r="AA324" t="s">
        <v>73</v>
      </c>
      <c r="AB324">
        <v>122</v>
      </c>
      <c r="AC324">
        <v>0</v>
      </c>
      <c r="AD324">
        <v>3</v>
      </c>
      <c r="AE324" t="s">
        <v>40</v>
      </c>
      <c r="AF324" s="1">
        <v>42237</v>
      </c>
    </row>
    <row r="325" spans="1:32" x14ac:dyDescent="0.25">
      <c r="A325" t="s">
        <v>41</v>
      </c>
      <c r="B325">
        <v>0</v>
      </c>
      <c r="C325">
        <v>13</v>
      </c>
      <c r="D325">
        <v>2015</v>
      </c>
      <c r="E325" t="s">
        <v>59</v>
      </c>
      <c r="F325">
        <v>41</v>
      </c>
      <c r="G325">
        <v>6</v>
      </c>
      <c r="H325">
        <v>0</v>
      </c>
      <c r="I325">
        <v>3</v>
      </c>
      <c r="J325">
        <v>2</v>
      </c>
      <c r="K325">
        <v>0</v>
      </c>
      <c r="L325">
        <v>0</v>
      </c>
      <c r="M325" t="s">
        <v>34</v>
      </c>
      <c r="N325" t="s">
        <v>70</v>
      </c>
      <c r="O325" t="s">
        <v>49</v>
      </c>
      <c r="P325" t="s">
        <v>45</v>
      </c>
      <c r="Q325">
        <v>0</v>
      </c>
      <c r="R325">
        <v>0</v>
      </c>
      <c r="S325">
        <v>0</v>
      </c>
      <c r="T325" t="s">
        <v>57</v>
      </c>
      <c r="U325" t="s">
        <v>57</v>
      </c>
      <c r="V325">
        <v>0</v>
      </c>
      <c r="W325" t="s">
        <v>38</v>
      </c>
      <c r="X325">
        <v>28</v>
      </c>
      <c r="Z325">
        <v>0</v>
      </c>
      <c r="AA325" t="s">
        <v>39</v>
      </c>
      <c r="AB325">
        <v>75</v>
      </c>
      <c r="AC325">
        <v>0</v>
      </c>
      <c r="AD325">
        <v>1</v>
      </c>
      <c r="AE325" t="s">
        <v>40</v>
      </c>
      <c r="AF325" s="1">
        <v>42286</v>
      </c>
    </row>
    <row r="326" spans="1:32" x14ac:dyDescent="0.25">
      <c r="A326" t="s">
        <v>32</v>
      </c>
      <c r="B326">
        <v>1</v>
      </c>
      <c r="C326">
        <v>2</v>
      </c>
      <c r="D326">
        <v>2017</v>
      </c>
      <c r="E326" t="s">
        <v>66</v>
      </c>
      <c r="F326">
        <v>9</v>
      </c>
      <c r="G326">
        <v>27</v>
      </c>
      <c r="H326">
        <v>1</v>
      </c>
      <c r="I326">
        <v>0</v>
      </c>
      <c r="J326">
        <v>2</v>
      </c>
      <c r="K326">
        <v>0</v>
      </c>
      <c r="L326">
        <v>0</v>
      </c>
      <c r="M326" t="s">
        <v>60</v>
      </c>
      <c r="N326" t="s">
        <v>63</v>
      </c>
      <c r="O326" t="s">
        <v>44</v>
      </c>
      <c r="P326" t="s">
        <v>45</v>
      </c>
      <c r="Q326">
        <v>0</v>
      </c>
      <c r="R326">
        <v>0</v>
      </c>
      <c r="S326">
        <v>0</v>
      </c>
      <c r="T326" t="s">
        <v>46</v>
      </c>
      <c r="U326" t="s">
        <v>46</v>
      </c>
      <c r="V326">
        <v>0</v>
      </c>
      <c r="W326" t="s">
        <v>38</v>
      </c>
      <c r="X326">
        <v>240</v>
      </c>
      <c r="Z326">
        <v>0</v>
      </c>
      <c r="AA326" t="s">
        <v>39</v>
      </c>
      <c r="AB326">
        <v>92</v>
      </c>
      <c r="AC326">
        <v>0</v>
      </c>
      <c r="AD326">
        <v>1</v>
      </c>
      <c r="AE326" t="s">
        <v>47</v>
      </c>
      <c r="AF326" s="1">
        <v>42792</v>
      </c>
    </row>
    <row r="327" spans="1:32" x14ac:dyDescent="0.25">
      <c r="A327" t="s">
        <v>41</v>
      </c>
      <c r="B327">
        <v>1</v>
      </c>
      <c r="C327">
        <v>265</v>
      </c>
      <c r="D327">
        <v>2015</v>
      </c>
      <c r="E327" t="s">
        <v>42</v>
      </c>
      <c r="F327">
        <v>28</v>
      </c>
      <c r="G327">
        <v>9</v>
      </c>
      <c r="H327">
        <v>0</v>
      </c>
      <c r="I327">
        <v>2</v>
      </c>
      <c r="J327">
        <v>2</v>
      </c>
      <c r="K327">
        <v>0</v>
      </c>
      <c r="L327">
        <v>0</v>
      </c>
      <c r="M327" t="s">
        <v>34</v>
      </c>
      <c r="N327" t="s">
        <v>43</v>
      </c>
      <c r="O327" t="s">
        <v>64</v>
      </c>
      <c r="P327" t="s">
        <v>45</v>
      </c>
      <c r="Q327">
        <v>0</v>
      </c>
      <c r="R327">
        <v>1</v>
      </c>
      <c r="S327">
        <v>0</v>
      </c>
      <c r="T327" t="s">
        <v>46</v>
      </c>
      <c r="U327" t="s">
        <v>46</v>
      </c>
      <c r="V327">
        <v>0</v>
      </c>
      <c r="W327" t="s">
        <v>38</v>
      </c>
      <c r="X327">
        <v>1</v>
      </c>
      <c r="Z327">
        <v>0</v>
      </c>
      <c r="AA327" t="s">
        <v>73</v>
      </c>
      <c r="AB327">
        <v>62</v>
      </c>
      <c r="AC327">
        <v>0</v>
      </c>
      <c r="AD327">
        <v>0</v>
      </c>
      <c r="AE327" t="s">
        <v>47</v>
      </c>
      <c r="AF327" s="1">
        <v>42005</v>
      </c>
    </row>
    <row r="328" spans="1:32" x14ac:dyDescent="0.25">
      <c r="A328" t="s">
        <v>41</v>
      </c>
      <c r="B328">
        <v>0</v>
      </c>
      <c r="C328">
        <v>3</v>
      </c>
      <c r="D328">
        <v>2016</v>
      </c>
      <c r="E328" t="s">
        <v>62</v>
      </c>
      <c r="F328">
        <v>39</v>
      </c>
      <c r="G328">
        <v>22</v>
      </c>
      <c r="H328">
        <v>0</v>
      </c>
      <c r="I328">
        <v>1</v>
      </c>
      <c r="J328">
        <v>1</v>
      </c>
      <c r="K328">
        <v>0</v>
      </c>
      <c r="L328">
        <v>0</v>
      </c>
      <c r="M328" t="s">
        <v>34</v>
      </c>
      <c r="N328" t="s">
        <v>43</v>
      </c>
      <c r="O328" t="s">
        <v>76</v>
      </c>
      <c r="P328" t="s">
        <v>76</v>
      </c>
      <c r="Q328">
        <v>0</v>
      </c>
      <c r="R328">
        <v>0</v>
      </c>
      <c r="S328">
        <v>0</v>
      </c>
      <c r="T328" t="s">
        <v>57</v>
      </c>
      <c r="U328" t="s">
        <v>57</v>
      </c>
      <c r="V328">
        <v>0</v>
      </c>
      <c r="W328" t="s">
        <v>38</v>
      </c>
      <c r="Y328">
        <v>308</v>
      </c>
      <c r="Z328">
        <v>0</v>
      </c>
      <c r="AA328" t="s">
        <v>39</v>
      </c>
      <c r="AB328">
        <v>166.25</v>
      </c>
      <c r="AC328">
        <v>0</v>
      </c>
      <c r="AD328">
        <v>0</v>
      </c>
      <c r="AE328" t="s">
        <v>40</v>
      </c>
      <c r="AF328" s="1">
        <v>42636</v>
      </c>
    </row>
    <row r="329" spans="1:32" x14ac:dyDescent="0.25">
      <c r="A329" t="s">
        <v>41</v>
      </c>
      <c r="B329">
        <v>1</v>
      </c>
      <c r="C329">
        <v>105</v>
      </c>
      <c r="D329">
        <v>2016</v>
      </c>
      <c r="E329" t="s">
        <v>54</v>
      </c>
      <c r="F329">
        <v>15</v>
      </c>
      <c r="G329">
        <v>6</v>
      </c>
      <c r="H329">
        <v>0</v>
      </c>
      <c r="I329">
        <v>1</v>
      </c>
      <c r="J329">
        <v>2</v>
      </c>
      <c r="K329">
        <v>0</v>
      </c>
      <c r="L329">
        <v>0</v>
      </c>
      <c r="M329" t="s">
        <v>34</v>
      </c>
      <c r="N329" t="s">
        <v>43</v>
      </c>
      <c r="O329" t="s">
        <v>49</v>
      </c>
      <c r="P329" t="s">
        <v>45</v>
      </c>
      <c r="Q329">
        <v>0</v>
      </c>
      <c r="R329">
        <v>0</v>
      </c>
      <c r="S329">
        <v>0</v>
      </c>
      <c r="T329" t="s">
        <v>46</v>
      </c>
      <c r="U329" t="s">
        <v>46</v>
      </c>
      <c r="V329">
        <v>0</v>
      </c>
      <c r="W329" t="s">
        <v>68</v>
      </c>
      <c r="X329">
        <v>12</v>
      </c>
      <c r="Z329">
        <v>0</v>
      </c>
      <c r="AA329" t="s">
        <v>39</v>
      </c>
      <c r="AB329">
        <v>75</v>
      </c>
      <c r="AC329">
        <v>0</v>
      </c>
      <c r="AD329">
        <v>0</v>
      </c>
      <c r="AE329" t="s">
        <v>47</v>
      </c>
      <c r="AF329" s="1">
        <v>42387</v>
      </c>
    </row>
    <row r="330" spans="1:32" x14ac:dyDescent="0.25">
      <c r="A330" t="s">
        <v>41</v>
      </c>
      <c r="B330">
        <v>0</v>
      </c>
      <c r="C330">
        <v>178</v>
      </c>
      <c r="D330">
        <v>2017</v>
      </c>
      <c r="E330" t="s">
        <v>42</v>
      </c>
      <c r="F330">
        <v>28</v>
      </c>
      <c r="G330">
        <v>13</v>
      </c>
      <c r="H330">
        <v>2</v>
      </c>
      <c r="I330">
        <v>5</v>
      </c>
      <c r="J330">
        <v>2</v>
      </c>
      <c r="K330">
        <v>2</v>
      </c>
      <c r="L330">
        <v>0</v>
      </c>
      <c r="M330" t="s">
        <v>60</v>
      </c>
      <c r="N330" t="s">
        <v>112</v>
      </c>
      <c r="O330" t="s">
        <v>36</v>
      </c>
      <c r="P330" t="s">
        <v>36</v>
      </c>
      <c r="Q330">
        <v>0</v>
      </c>
      <c r="R330">
        <v>0</v>
      </c>
      <c r="S330">
        <v>0</v>
      </c>
      <c r="T330" t="s">
        <v>72</v>
      </c>
      <c r="U330" t="s">
        <v>72</v>
      </c>
      <c r="V330">
        <v>1</v>
      </c>
      <c r="W330" t="s">
        <v>38</v>
      </c>
      <c r="X330">
        <v>14</v>
      </c>
      <c r="Z330">
        <v>0</v>
      </c>
      <c r="AA330" t="s">
        <v>39</v>
      </c>
      <c r="AB330">
        <v>214</v>
      </c>
      <c r="AC330">
        <v>0</v>
      </c>
      <c r="AD330">
        <v>3</v>
      </c>
      <c r="AE330" t="s">
        <v>40</v>
      </c>
      <c r="AF330" s="1">
        <v>42936</v>
      </c>
    </row>
    <row r="331" spans="1:32" x14ac:dyDescent="0.25">
      <c r="A331" t="s">
        <v>41</v>
      </c>
      <c r="B331">
        <v>0</v>
      </c>
      <c r="C331">
        <v>29</v>
      </c>
      <c r="D331">
        <v>2016</v>
      </c>
      <c r="E331" t="s">
        <v>33</v>
      </c>
      <c r="F331">
        <v>49</v>
      </c>
      <c r="G331">
        <v>2</v>
      </c>
      <c r="H331">
        <v>0</v>
      </c>
      <c r="I331">
        <v>2</v>
      </c>
      <c r="J331">
        <v>1</v>
      </c>
      <c r="K331">
        <v>0</v>
      </c>
      <c r="L331">
        <v>0</v>
      </c>
      <c r="M331" t="s">
        <v>34</v>
      </c>
      <c r="N331" t="s">
        <v>56</v>
      </c>
      <c r="O331" t="s">
        <v>76</v>
      </c>
      <c r="P331" t="s">
        <v>45</v>
      </c>
      <c r="Q331">
        <v>0</v>
      </c>
      <c r="R331">
        <v>0</v>
      </c>
      <c r="S331">
        <v>0</v>
      </c>
      <c r="T331" t="s">
        <v>46</v>
      </c>
      <c r="U331" t="s">
        <v>46</v>
      </c>
      <c r="V331">
        <v>4</v>
      </c>
      <c r="W331" t="s">
        <v>38</v>
      </c>
      <c r="Z331">
        <v>0</v>
      </c>
      <c r="AA331" t="s">
        <v>51</v>
      </c>
      <c r="AB331">
        <v>66.180000000000007</v>
      </c>
      <c r="AC331">
        <v>0</v>
      </c>
      <c r="AD331">
        <v>1</v>
      </c>
      <c r="AE331" t="s">
        <v>40</v>
      </c>
      <c r="AF331" s="1">
        <v>42708</v>
      </c>
    </row>
    <row r="332" spans="1:32" x14ac:dyDescent="0.25">
      <c r="A332" t="s">
        <v>32</v>
      </c>
      <c r="B332">
        <v>0</v>
      </c>
      <c r="C332">
        <v>61</v>
      </c>
      <c r="D332">
        <v>2016</v>
      </c>
      <c r="E332" t="s">
        <v>52</v>
      </c>
      <c r="F332">
        <v>12</v>
      </c>
      <c r="G332">
        <v>14</v>
      </c>
      <c r="H332">
        <v>1</v>
      </c>
      <c r="I332">
        <v>3</v>
      </c>
      <c r="J332">
        <v>2</v>
      </c>
      <c r="K332">
        <v>0</v>
      </c>
      <c r="L332">
        <v>0</v>
      </c>
      <c r="M332" t="s">
        <v>34</v>
      </c>
      <c r="N332" t="s">
        <v>95</v>
      </c>
      <c r="O332" t="s">
        <v>49</v>
      </c>
      <c r="P332" t="s">
        <v>45</v>
      </c>
      <c r="Q332">
        <v>0</v>
      </c>
      <c r="R332">
        <v>0</v>
      </c>
      <c r="S332">
        <v>0</v>
      </c>
      <c r="T332" t="s">
        <v>57</v>
      </c>
      <c r="U332" t="s">
        <v>57</v>
      </c>
      <c r="V332">
        <v>0</v>
      </c>
      <c r="W332" t="s">
        <v>38</v>
      </c>
      <c r="X332">
        <v>156</v>
      </c>
      <c r="Z332">
        <v>0</v>
      </c>
      <c r="AA332" t="s">
        <v>39</v>
      </c>
      <c r="AB332">
        <v>35.15</v>
      </c>
      <c r="AC332">
        <v>0</v>
      </c>
      <c r="AD332">
        <v>1</v>
      </c>
      <c r="AE332" t="s">
        <v>40</v>
      </c>
      <c r="AF332" s="1">
        <v>42447</v>
      </c>
    </row>
    <row r="333" spans="1:32" x14ac:dyDescent="0.25">
      <c r="A333" t="s">
        <v>41</v>
      </c>
      <c r="B333">
        <v>1</v>
      </c>
      <c r="C333">
        <v>82</v>
      </c>
      <c r="D333">
        <v>2017</v>
      </c>
      <c r="E333" t="s">
        <v>52</v>
      </c>
      <c r="F333">
        <v>10</v>
      </c>
      <c r="G333">
        <v>5</v>
      </c>
      <c r="H333">
        <v>2</v>
      </c>
      <c r="I333">
        <v>4</v>
      </c>
      <c r="J333">
        <v>2</v>
      </c>
      <c r="K333">
        <v>0</v>
      </c>
      <c r="L333">
        <v>0</v>
      </c>
      <c r="M333" t="s">
        <v>34</v>
      </c>
      <c r="N333" t="s">
        <v>71</v>
      </c>
      <c r="O333" t="s">
        <v>44</v>
      </c>
      <c r="P333" t="s">
        <v>45</v>
      </c>
      <c r="Q333">
        <v>0</v>
      </c>
      <c r="R333">
        <v>0</v>
      </c>
      <c r="S333">
        <v>0</v>
      </c>
      <c r="T333" t="s">
        <v>46</v>
      </c>
      <c r="U333" t="s">
        <v>46</v>
      </c>
      <c r="V333">
        <v>0</v>
      </c>
      <c r="W333" t="s">
        <v>38</v>
      </c>
      <c r="X333">
        <v>9</v>
      </c>
      <c r="Z333">
        <v>0</v>
      </c>
      <c r="AA333" t="s">
        <v>39</v>
      </c>
      <c r="AB333">
        <v>91.8</v>
      </c>
      <c r="AC333">
        <v>0</v>
      </c>
      <c r="AD333">
        <v>0</v>
      </c>
      <c r="AE333" t="s">
        <v>47</v>
      </c>
      <c r="AF333" s="1">
        <v>42790</v>
      </c>
    </row>
    <row r="334" spans="1:32" x14ac:dyDescent="0.25">
      <c r="A334" t="s">
        <v>32</v>
      </c>
      <c r="B334">
        <v>1</v>
      </c>
      <c r="C334">
        <v>111</v>
      </c>
      <c r="D334">
        <v>2015</v>
      </c>
      <c r="E334" t="s">
        <v>59</v>
      </c>
      <c r="F334">
        <v>43</v>
      </c>
      <c r="G334">
        <v>23</v>
      </c>
      <c r="H334">
        <v>1</v>
      </c>
      <c r="I334">
        <v>2</v>
      </c>
      <c r="J334">
        <v>2</v>
      </c>
      <c r="K334">
        <v>0</v>
      </c>
      <c r="L334">
        <v>0</v>
      </c>
      <c r="M334" t="s">
        <v>34</v>
      </c>
      <c r="N334" t="s">
        <v>43</v>
      </c>
      <c r="O334" t="s">
        <v>44</v>
      </c>
      <c r="P334" t="s">
        <v>45</v>
      </c>
      <c r="Q334">
        <v>0</v>
      </c>
      <c r="R334">
        <v>0</v>
      </c>
      <c r="S334">
        <v>0</v>
      </c>
      <c r="T334" t="s">
        <v>46</v>
      </c>
      <c r="U334" t="s">
        <v>46</v>
      </c>
      <c r="V334">
        <v>0</v>
      </c>
      <c r="W334" t="s">
        <v>38</v>
      </c>
      <c r="X334">
        <v>240</v>
      </c>
      <c r="Z334">
        <v>0</v>
      </c>
      <c r="AA334" t="s">
        <v>39</v>
      </c>
      <c r="AB334">
        <v>45</v>
      </c>
      <c r="AC334">
        <v>0</v>
      </c>
      <c r="AD334">
        <v>1</v>
      </c>
      <c r="AE334" t="s">
        <v>47</v>
      </c>
      <c r="AF334" s="1">
        <v>42205</v>
      </c>
    </row>
    <row r="335" spans="1:32" x14ac:dyDescent="0.25">
      <c r="A335" t="s">
        <v>41</v>
      </c>
      <c r="B335">
        <v>0</v>
      </c>
      <c r="C335">
        <v>61</v>
      </c>
      <c r="D335">
        <v>2016</v>
      </c>
      <c r="E335" t="s">
        <v>33</v>
      </c>
      <c r="F335">
        <v>51</v>
      </c>
      <c r="G335">
        <v>16</v>
      </c>
      <c r="H335">
        <v>1</v>
      </c>
      <c r="I335">
        <v>2</v>
      </c>
      <c r="J335">
        <v>2</v>
      </c>
      <c r="K335">
        <v>0</v>
      </c>
      <c r="L335">
        <v>0</v>
      </c>
      <c r="M335" t="s">
        <v>34</v>
      </c>
      <c r="N335" t="s">
        <v>70</v>
      </c>
      <c r="O335" t="s">
        <v>36</v>
      </c>
      <c r="P335" t="s">
        <v>36</v>
      </c>
      <c r="Q335">
        <v>0</v>
      </c>
      <c r="R335">
        <v>0</v>
      </c>
      <c r="S335">
        <v>0</v>
      </c>
      <c r="T335" t="s">
        <v>46</v>
      </c>
      <c r="U335" t="s">
        <v>46</v>
      </c>
      <c r="V335">
        <v>0</v>
      </c>
      <c r="W335" t="s">
        <v>38</v>
      </c>
      <c r="X335">
        <v>14</v>
      </c>
      <c r="Z335">
        <v>0</v>
      </c>
      <c r="AA335" t="s">
        <v>39</v>
      </c>
      <c r="AB335">
        <v>79.2</v>
      </c>
      <c r="AC335">
        <v>0</v>
      </c>
      <c r="AD335">
        <v>0</v>
      </c>
      <c r="AE335" t="s">
        <v>40</v>
      </c>
      <c r="AF335" s="1">
        <v>42723</v>
      </c>
    </row>
    <row r="336" spans="1:32" x14ac:dyDescent="0.25">
      <c r="A336" t="s">
        <v>41</v>
      </c>
      <c r="B336">
        <v>1</v>
      </c>
      <c r="C336">
        <v>197</v>
      </c>
      <c r="D336">
        <v>2017</v>
      </c>
      <c r="E336" t="s">
        <v>52</v>
      </c>
      <c r="F336">
        <v>11</v>
      </c>
      <c r="G336">
        <v>16</v>
      </c>
      <c r="H336">
        <v>0</v>
      </c>
      <c r="I336">
        <v>3</v>
      </c>
      <c r="J336">
        <v>2</v>
      </c>
      <c r="K336">
        <v>0</v>
      </c>
      <c r="L336">
        <v>0</v>
      </c>
      <c r="M336" t="s">
        <v>55</v>
      </c>
      <c r="N336" t="s">
        <v>35</v>
      </c>
      <c r="O336" t="s">
        <v>44</v>
      </c>
      <c r="P336" t="s">
        <v>45</v>
      </c>
      <c r="Q336">
        <v>0</v>
      </c>
      <c r="R336">
        <v>0</v>
      </c>
      <c r="S336">
        <v>0</v>
      </c>
      <c r="T336" t="s">
        <v>46</v>
      </c>
      <c r="U336" t="s">
        <v>46</v>
      </c>
      <c r="V336">
        <v>0</v>
      </c>
      <c r="W336" t="s">
        <v>38</v>
      </c>
      <c r="X336">
        <v>9</v>
      </c>
      <c r="Z336">
        <v>0</v>
      </c>
      <c r="AA336" t="s">
        <v>39</v>
      </c>
      <c r="AB336">
        <v>79.2</v>
      </c>
      <c r="AC336">
        <v>0</v>
      </c>
      <c r="AD336">
        <v>2</v>
      </c>
      <c r="AE336" t="s">
        <v>47</v>
      </c>
      <c r="AF336" s="1">
        <v>42638</v>
      </c>
    </row>
    <row r="337" spans="1:32" x14ac:dyDescent="0.25">
      <c r="A337" t="s">
        <v>32</v>
      </c>
      <c r="B337">
        <v>1</v>
      </c>
      <c r="C337">
        <v>86</v>
      </c>
      <c r="D337">
        <v>2017</v>
      </c>
      <c r="E337" t="s">
        <v>52</v>
      </c>
      <c r="F337">
        <v>10</v>
      </c>
      <c r="G337">
        <v>9</v>
      </c>
      <c r="H337">
        <v>0</v>
      </c>
      <c r="I337">
        <v>3</v>
      </c>
      <c r="J337">
        <v>2</v>
      </c>
      <c r="K337">
        <v>0</v>
      </c>
      <c r="L337">
        <v>0</v>
      </c>
      <c r="M337" t="s">
        <v>77</v>
      </c>
      <c r="N337" t="s">
        <v>43</v>
      </c>
      <c r="O337" t="s">
        <v>64</v>
      </c>
      <c r="P337" t="s">
        <v>45</v>
      </c>
      <c r="Q337">
        <v>0</v>
      </c>
      <c r="R337">
        <v>0</v>
      </c>
      <c r="S337">
        <v>0</v>
      </c>
      <c r="T337" t="s">
        <v>46</v>
      </c>
      <c r="U337" t="s">
        <v>46</v>
      </c>
      <c r="V337">
        <v>0</v>
      </c>
      <c r="W337" t="s">
        <v>68</v>
      </c>
      <c r="X337">
        <v>67</v>
      </c>
      <c r="Z337">
        <v>0</v>
      </c>
      <c r="AA337" t="s">
        <v>39</v>
      </c>
      <c r="AB337">
        <v>46</v>
      </c>
      <c r="AC337">
        <v>0</v>
      </c>
      <c r="AD337">
        <v>0</v>
      </c>
      <c r="AE337" t="s">
        <v>47</v>
      </c>
      <c r="AF337" s="1">
        <v>42717</v>
      </c>
    </row>
    <row r="338" spans="1:32" x14ac:dyDescent="0.25">
      <c r="A338" t="s">
        <v>41</v>
      </c>
      <c r="B338">
        <v>0</v>
      </c>
      <c r="C338">
        <v>247</v>
      </c>
      <c r="D338">
        <v>2016</v>
      </c>
      <c r="E338" t="s">
        <v>83</v>
      </c>
      <c r="F338">
        <v>24</v>
      </c>
      <c r="G338">
        <v>6</v>
      </c>
      <c r="H338">
        <v>1</v>
      </c>
      <c r="I338">
        <v>1</v>
      </c>
      <c r="J338">
        <v>2</v>
      </c>
      <c r="K338">
        <v>0</v>
      </c>
      <c r="L338">
        <v>0</v>
      </c>
      <c r="M338" t="s">
        <v>60</v>
      </c>
      <c r="N338" t="s">
        <v>56</v>
      </c>
      <c r="O338" t="s">
        <v>49</v>
      </c>
      <c r="P338" t="s">
        <v>45</v>
      </c>
      <c r="Q338">
        <v>0</v>
      </c>
      <c r="R338">
        <v>0</v>
      </c>
      <c r="S338">
        <v>0</v>
      </c>
      <c r="T338" t="s">
        <v>46</v>
      </c>
      <c r="U338" t="s">
        <v>37</v>
      </c>
      <c r="V338">
        <v>0</v>
      </c>
      <c r="W338" t="s">
        <v>38</v>
      </c>
      <c r="X338">
        <v>6</v>
      </c>
      <c r="Z338">
        <v>0</v>
      </c>
      <c r="AA338" t="s">
        <v>51</v>
      </c>
      <c r="AB338">
        <v>115</v>
      </c>
      <c r="AC338">
        <v>0</v>
      </c>
      <c r="AD338">
        <v>1</v>
      </c>
      <c r="AE338" t="s">
        <v>40</v>
      </c>
      <c r="AF338" s="1">
        <v>42529</v>
      </c>
    </row>
    <row r="339" spans="1:32" x14ac:dyDescent="0.25">
      <c r="A339" t="s">
        <v>41</v>
      </c>
      <c r="B339">
        <v>1</v>
      </c>
      <c r="C339">
        <v>280</v>
      </c>
      <c r="D339">
        <v>2017</v>
      </c>
      <c r="E339" t="s">
        <v>67</v>
      </c>
      <c r="F339">
        <v>33</v>
      </c>
      <c r="G339">
        <v>16</v>
      </c>
      <c r="H339">
        <v>2</v>
      </c>
      <c r="I339">
        <v>4</v>
      </c>
      <c r="J339">
        <v>2</v>
      </c>
      <c r="K339">
        <v>0</v>
      </c>
      <c r="L339">
        <v>0</v>
      </c>
      <c r="M339" t="s">
        <v>34</v>
      </c>
      <c r="N339" t="s">
        <v>106</v>
      </c>
      <c r="O339" t="s">
        <v>44</v>
      </c>
      <c r="P339" t="s">
        <v>45</v>
      </c>
      <c r="Q339">
        <v>0</v>
      </c>
      <c r="R339">
        <v>0</v>
      </c>
      <c r="S339">
        <v>0</v>
      </c>
      <c r="T339" t="s">
        <v>46</v>
      </c>
      <c r="U339" t="s">
        <v>46</v>
      </c>
      <c r="V339">
        <v>0</v>
      </c>
      <c r="W339" t="s">
        <v>38</v>
      </c>
      <c r="X339">
        <v>9</v>
      </c>
      <c r="Z339">
        <v>0</v>
      </c>
      <c r="AA339" t="s">
        <v>39</v>
      </c>
      <c r="AB339">
        <v>113.1</v>
      </c>
      <c r="AC339">
        <v>0</v>
      </c>
      <c r="AD339">
        <v>0</v>
      </c>
      <c r="AE339" t="s">
        <v>47</v>
      </c>
      <c r="AF339" s="1">
        <v>42683</v>
      </c>
    </row>
    <row r="340" spans="1:32" x14ac:dyDescent="0.25">
      <c r="A340" t="s">
        <v>41</v>
      </c>
      <c r="B340">
        <v>0</v>
      </c>
      <c r="C340">
        <v>27</v>
      </c>
      <c r="D340">
        <v>2016</v>
      </c>
      <c r="E340" t="s">
        <v>42</v>
      </c>
      <c r="F340">
        <v>30</v>
      </c>
      <c r="G340">
        <v>23</v>
      </c>
      <c r="H340">
        <v>0</v>
      </c>
      <c r="I340">
        <v>1</v>
      </c>
      <c r="J340">
        <v>3</v>
      </c>
      <c r="K340">
        <v>0</v>
      </c>
      <c r="L340">
        <v>0</v>
      </c>
      <c r="M340" t="s">
        <v>34</v>
      </c>
      <c r="N340" t="s">
        <v>43</v>
      </c>
      <c r="O340" t="s">
        <v>44</v>
      </c>
      <c r="P340" t="s">
        <v>45</v>
      </c>
      <c r="Q340">
        <v>0</v>
      </c>
      <c r="R340">
        <v>0</v>
      </c>
      <c r="S340">
        <v>0</v>
      </c>
      <c r="T340" t="s">
        <v>57</v>
      </c>
      <c r="U340" t="s">
        <v>72</v>
      </c>
      <c r="V340">
        <v>0</v>
      </c>
      <c r="W340" t="s">
        <v>38</v>
      </c>
      <c r="X340">
        <v>9</v>
      </c>
      <c r="Z340">
        <v>0</v>
      </c>
      <c r="AA340" t="s">
        <v>39</v>
      </c>
      <c r="AB340">
        <v>187</v>
      </c>
      <c r="AC340">
        <v>0</v>
      </c>
      <c r="AD340">
        <v>2</v>
      </c>
      <c r="AE340" t="s">
        <v>40</v>
      </c>
      <c r="AF340" s="1">
        <v>42575</v>
      </c>
    </row>
    <row r="341" spans="1:32" x14ac:dyDescent="0.25">
      <c r="A341" t="s">
        <v>32</v>
      </c>
      <c r="B341">
        <v>1</v>
      </c>
      <c r="C341">
        <v>41</v>
      </c>
      <c r="D341">
        <v>2016</v>
      </c>
      <c r="E341" t="s">
        <v>62</v>
      </c>
      <c r="F341">
        <v>39</v>
      </c>
      <c r="G341">
        <v>23</v>
      </c>
      <c r="H341">
        <v>0</v>
      </c>
      <c r="I341">
        <v>1</v>
      </c>
      <c r="J341">
        <v>1</v>
      </c>
      <c r="K341">
        <v>0</v>
      </c>
      <c r="L341">
        <v>0</v>
      </c>
      <c r="M341" t="s">
        <v>34</v>
      </c>
      <c r="N341" t="s">
        <v>95</v>
      </c>
      <c r="O341" t="s">
        <v>44</v>
      </c>
      <c r="P341" t="s">
        <v>45</v>
      </c>
      <c r="Q341">
        <v>0</v>
      </c>
      <c r="R341">
        <v>0</v>
      </c>
      <c r="S341">
        <v>0</v>
      </c>
      <c r="T341" t="s">
        <v>72</v>
      </c>
      <c r="U341" t="s">
        <v>72</v>
      </c>
      <c r="V341">
        <v>0</v>
      </c>
      <c r="W341" t="s">
        <v>38</v>
      </c>
      <c r="X341">
        <v>240</v>
      </c>
      <c r="Z341">
        <v>0</v>
      </c>
      <c r="AA341" t="s">
        <v>39</v>
      </c>
      <c r="AB341">
        <v>139</v>
      </c>
      <c r="AC341">
        <v>0</v>
      </c>
      <c r="AD341">
        <v>1</v>
      </c>
      <c r="AE341" t="s">
        <v>47</v>
      </c>
      <c r="AF341" s="1">
        <v>42608</v>
      </c>
    </row>
    <row r="342" spans="1:32" x14ac:dyDescent="0.25">
      <c r="A342" t="s">
        <v>41</v>
      </c>
      <c r="B342">
        <v>1</v>
      </c>
      <c r="C342">
        <v>78</v>
      </c>
      <c r="D342">
        <v>2017</v>
      </c>
      <c r="E342" t="s">
        <v>54</v>
      </c>
      <c r="F342">
        <v>17</v>
      </c>
      <c r="G342">
        <v>29</v>
      </c>
      <c r="H342">
        <v>2</v>
      </c>
      <c r="I342">
        <v>1</v>
      </c>
      <c r="J342">
        <v>2</v>
      </c>
      <c r="K342">
        <v>0</v>
      </c>
      <c r="L342">
        <v>0</v>
      </c>
      <c r="M342" t="s">
        <v>34</v>
      </c>
      <c r="N342" t="s">
        <v>43</v>
      </c>
      <c r="O342" t="s">
        <v>64</v>
      </c>
      <c r="P342" t="s">
        <v>45</v>
      </c>
      <c r="Q342">
        <v>0</v>
      </c>
      <c r="R342">
        <v>0</v>
      </c>
      <c r="S342">
        <v>0</v>
      </c>
      <c r="T342" t="s">
        <v>46</v>
      </c>
      <c r="U342" t="s">
        <v>46</v>
      </c>
      <c r="V342">
        <v>0</v>
      </c>
      <c r="W342" t="s">
        <v>68</v>
      </c>
      <c r="X342">
        <v>6</v>
      </c>
      <c r="Z342">
        <v>0</v>
      </c>
      <c r="AA342" t="s">
        <v>39</v>
      </c>
      <c r="AB342">
        <v>90</v>
      </c>
      <c r="AC342">
        <v>0</v>
      </c>
      <c r="AD342">
        <v>0</v>
      </c>
      <c r="AE342" t="s">
        <v>47</v>
      </c>
      <c r="AF342" s="1">
        <v>42776</v>
      </c>
    </row>
    <row r="343" spans="1:32" x14ac:dyDescent="0.25">
      <c r="A343" t="s">
        <v>32</v>
      </c>
      <c r="B343">
        <v>0</v>
      </c>
      <c r="C343">
        <v>19</v>
      </c>
      <c r="D343">
        <v>2017</v>
      </c>
      <c r="E343" t="s">
        <v>67</v>
      </c>
      <c r="F343">
        <v>35</v>
      </c>
      <c r="G343">
        <v>31</v>
      </c>
      <c r="H343">
        <v>0</v>
      </c>
      <c r="I343">
        <v>3</v>
      </c>
      <c r="J343">
        <v>2</v>
      </c>
      <c r="K343">
        <v>0</v>
      </c>
      <c r="L343">
        <v>0</v>
      </c>
      <c r="M343" t="s">
        <v>60</v>
      </c>
      <c r="N343" t="s">
        <v>63</v>
      </c>
      <c r="O343" t="s">
        <v>44</v>
      </c>
      <c r="P343" t="s">
        <v>45</v>
      </c>
      <c r="Q343">
        <v>0</v>
      </c>
      <c r="R343">
        <v>0</v>
      </c>
      <c r="S343">
        <v>0</v>
      </c>
      <c r="T343" t="s">
        <v>46</v>
      </c>
      <c r="U343" t="s">
        <v>46</v>
      </c>
      <c r="V343">
        <v>0</v>
      </c>
      <c r="W343" t="s">
        <v>38</v>
      </c>
      <c r="X343">
        <v>15</v>
      </c>
      <c r="Z343">
        <v>0</v>
      </c>
      <c r="AA343" t="s">
        <v>39</v>
      </c>
      <c r="AB343">
        <v>165.6</v>
      </c>
      <c r="AC343">
        <v>0</v>
      </c>
      <c r="AD343">
        <v>0</v>
      </c>
      <c r="AE343" t="s">
        <v>40</v>
      </c>
      <c r="AF343" s="1">
        <v>42981</v>
      </c>
    </row>
    <row r="344" spans="1:32" x14ac:dyDescent="0.25">
      <c r="A344" t="s">
        <v>41</v>
      </c>
      <c r="B344">
        <v>0</v>
      </c>
      <c r="C344">
        <v>220</v>
      </c>
      <c r="D344">
        <v>2016</v>
      </c>
      <c r="E344" t="s">
        <v>62</v>
      </c>
      <c r="F344">
        <v>38</v>
      </c>
      <c r="G344">
        <v>17</v>
      </c>
      <c r="H344">
        <v>2</v>
      </c>
      <c r="I344">
        <v>1</v>
      </c>
      <c r="J344">
        <v>1</v>
      </c>
      <c r="K344">
        <v>0</v>
      </c>
      <c r="L344">
        <v>0</v>
      </c>
      <c r="M344" t="s">
        <v>60</v>
      </c>
      <c r="N344" t="s">
        <v>106</v>
      </c>
      <c r="O344" t="s">
        <v>49</v>
      </c>
      <c r="P344" t="s">
        <v>45</v>
      </c>
      <c r="Q344">
        <v>0</v>
      </c>
      <c r="R344">
        <v>0</v>
      </c>
      <c r="S344">
        <v>0</v>
      </c>
      <c r="T344" t="s">
        <v>46</v>
      </c>
      <c r="U344" t="s">
        <v>46</v>
      </c>
      <c r="V344">
        <v>1</v>
      </c>
      <c r="W344" t="s">
        <v>38</v>
      </c>
      <c r="X344">
        <v>177</v>
      </c>
      <c r="Z344">
        <v>0</v>
      </c>
      <c r="AA344" t="s">
        <v>51</v>
      </c>
      <c r="AB344">
        <v>128</v>
      </c>
      <c r="AC344">
        <v>0</v>
      </c>
      <c r="AD344">
        <v>0</v>
      </c>
      <c r="AE344" t="s">
        <v>40</v>
      </c>
      <c r="AF344" s="1">
        <v>42633</v>
      </c>
    </row>
    <row r="345" spans="1:32" x14ac:dyDescent="0.25">
      <c r="A345" t="s">
        <v>41</v>
      </c>
      <c r="B345">
        <v>0</v>
      </c>
      <c r="C345">
        <v>133</v>
      </c>
      <c r="D345">
        <v>2016</v>
      </c>
      <c r="E345" t="s">
        <v>59</v>
      </c>
      <c r="F345">
        <v>44</v>
      </c>
      <c r="G345">
        <v>23</v>
      </c>
      <c r="H345">
        <v>2</v>
      </c>
      <c r="I345">
        <v>2</v>
      </c>
      <c r="J345">
        <v>2</v>
      </c>
      <c r="K345">
        <v>0</v>
      </c>
      <c r="L345">
        <v>0</v>
      </c>
      <c r="M345" t="s">
        <v>34</v>
      </c>
      <c r="N345" t="s">
        <v>35</v>
      </c>
      <c r="O345" t="s">
        <v>36</v>
      </c>
      <c r="P345" t="s">
        <v>36</v>
      </c>
      <c r="Q345">
        <v>0</v>
      </c>
      <c r="R345">
        <v>0</v>
      </c>
      <c r="S345">
        <v>0</v>
      </c>
      <c r="T345" t="s">
        <v>57</v>
      </c>
      <c r="U345" t="s">
        <v>57</v>
      </c>
      <c r="V345">
        <v>0</v>
      </c>
      <c r="W345" t="s">
        <v>38</v>
      </c>
      <c r="X345">
        <v>14</v>
      </c>
      <c r="Z345">
        <v>0</v>
      </c>
      <c r="AA345" t="s">
        <v>39</v>
      </c>
      <c r="AB345">
        <v>108.38</v>
      </c>
      <c r="AC345">
        <v>0</v>
      </c>
      <c r="AD345">
        <v>0</v>
      </c>
      <c r="AE345" t="s">
        <v>40</v>
      </c>
      <c r="AF345" s="1">
        <v>42670</v>
      </c>
    </row>
    <row r="346" spans="1:32" x14ac:dyDescent="0.25">
      <c r="A346" t="s">
        <v>32</v>
      </c>
      <c r="B346">
        <v>0</v>
      </c>
      <c r="C346">
        <v>213</v>
      </c>
      <c r="D346">
        <v>2016</v>
      </c>
      <c r="E346" t="s">
        <v>69</v>
      </c>
      <c r="F346">
        <v>21</v>
      </c>
      <c r="G346">
        <v>16</v>
      </c>
      <c r="H346">
        <v>1</v>
      </c>
      <c r="I346">
        <v>1</v>
      </c>
      <c r="J346">
        <v>1</v>
      </c>
      <c r="K346">
        <v>0</v>
      </c>
      <c r="L346">
        <v>0</v>
      </c>
      <c r="M346" t="s">
        <v>60</v>
      </c>
      <c r="N346" t="s">
        <v>56</v>
      </c>
      <c r="O346" t="s">
        <v>64</v>
      </c>
      <c r="P346" t="s">
        <v>45</v>
      </c>
      <c r="Q346">
        <v>0</v>
      </c>
      <c r="R346">
        <v>0</v>
      </c>
      <c r="S346">
        <v>0</v>
      </c>
      <c r="T346" t="s">
        <v>46</v>
      </c>
      <c r="U346" t="s">
        <v>46</v>
      </c>
      <c r="V346">
        <v>1</v>
      </c>
      <c r="W346" t="s">
        <v>38</v>
      </c>
      <c r="X346">
        <v>298</v>
      </c>
      <c r="Z346">
        <v>0</v>
      </c>
      <c r="AA346" t="s">
        <v>51</v>
      </c>
      <c r="AB346">
        <v>54.5</v>
      </c>
      <c r="AC346">
        <v>0</v>
      </c>
      <c r="AD346">
        <v>0</v>
      </c>
      <c r="AE346" t="s">
        <v>40</v>
      </c>
      <c r="AF346" s="1">
        <v>42508</v>
      </c>
    </row>
    <row r="347" spans="1:32" x14ac:dyDescent="0.25">
      <c r="A347" t="s">
        <v>41</v>
      </c>
      <c r="B347">
        <v>0</v>
      </c>
      <c r="C347">
        <v>23</v>
      </c>
      <c r="D347">
        <v>2016</v>
      </c>
      <c r="E347" t="s">
        <v>74</v>
      </c>
      <c r="F347">
        <v>1</v>
      </c>
      <c r="G347">
        <v>2</v>
      </c>
      <c r="H347">
        <v>2</v>
      </c>
      <c r="I347">
        <v>1</v>
      </c>
      <c r="J347">
        <v>2</v>
      </c>
      <c r="K347">
        <v>0</v>
      </c>
      <c r="L347">
        <v>0</v>
      </c>
      <c r="M347" t="s">
        <v>60</v>
      </c>
      <c r="N347" t="s">
        <v>106</v>
      </c>
      <c r="O347" t="s">
        <v>49</v>
      </c>
      <c r="P347" t="s">
        <v>45</v>
      </c>
      <c r="Q347">
        <v>0</v>
      </c>
      <c r="R347">
        <v>0</v>
      </c>
      <c r="S347">
        <v>0</v>
      </c>
      <c r="T347" t="s">
        <v>46</v>
      </c>
      <c r="U347" t="s">
        <v>46</v>
      </c>
      <c r="V347">
        <v>0</v>
      </c>
      <c r="W347" t="s">
        <v>38</v>
      </c>
      <c r="X347">
        <v>26</v>
      </c>
      <c r="Z347">
        <v>0</v>
      </c>
      <c r="AA347" t="s">
        <v>51</v>
      </c>
      <c r="AB347">
        <v>109</v>
      </c>
      <c r="AC347">
        <v>0</v>
      </c>
      <c r="AD347">
        <v>0</v>
      </c>
      <c r="AE347" t="s">
        <v>40</v>
      </c>
      <c r="AF347" s="1">
        <v>42374</v>
      </c>
    </row>
    <row r="348" spans="1:32" x14ac:dyDescent="0.25">
      <c r="A348" t="s">
        <v>32</v>
      </c>
      <c r="B348">
        <v>1</v>
      </c>
      <c r="C348">
        <v>238</v>
      </c>
      <c r="D348">
        <v>2017</v>
      </c>
      <c r="E348" t="s">
        <v>66</v>
      </c>
      <c r="F348">
        <v>6</v>
      </c>
      <c r="G348">
        <v>10</v>
      </c>
      <c r="H348">
        <v>0</v>
      </c>
      <c r="I348">
        <v>2</v>
      </c>
      <c r="J348">
        <v>2</v>
      </c>
      <c r="K348">
        <v>0</v>
      </c>
      <c r="L348">
        <v>0</v>
      </c>
      <c r="M348" t="s">
        <v>60</v>
      </c>
      <c r="N348" t="s">
        <v>43</v>
      </c>
      <c r="O348" t="s">
        <v>64</v>
      </c>
      <c r="P348" t="s">
        <v>45</v>
      </c>
      <c r="Q348">
        <v>0</v>
      </c>
      <c r="R348">
        <v>0</v>
      </c>
      <c r="S348">
        <v>0</v>
      </c>
      <c r="T348" t="s">
        <v>46</v>
      </c>
      <c r="U348" t="s">
        <v>46</v>
      </c>
      <c r="V348">
        <v>0</v>
      </c>
      <c r="W348" t="s">
        <v>68</v>
      </c>
      <c r="X348">
        <v>155</v>
      </c>
      <c r="Z348">
        <v>0</v>
      </c>
      <c r="AA348" t="s">
        <v>39</v>
      </c>
      <c r="AB348">
        <v>54</v>
      </c>
      <c r="AC348">
        <v>0</v>
      </c>
      <c r="AD348">
        <v>0</v>
      </c>
      <c r="AE348" t="s">
        <v>47</v>
      </c>
      <c r="AF348" s="1">
        <v>42719</v>
      </c>
    </row>
    <row r="349" spans="1:32" x14ac:dyDescent="0.25">
      <c r="A349" t="s">
        <v>41</v>
      </c>
      <c r="B349">
        <v>1</v>
      </c>
      <c r="C349">
        <v>39</v>
      </c>
      <c r="D349">
        <v>2017</v>
      </c>
      <c r="E349" t="s">
        <v>42</v>
      </c>
      <c r="F349">
        <v>28</v>
      </c>
      <c r="G349">
        <v>15</v>
      </c>
      <c r="H349">
        <v>0</v>
      </c>
      <c r="I349">
        <v>1</v>
      </c>
      <c r="J349">
        <v>1</v>
      </c>
      <c r="K349">
        <v>0</v>
      </c>
      <c r="L349">
        <v>0</v>
      </c>
      <c r="M349" t="s">
        <v>55</v>
      </c>
      <c r="N349" t="s">
        <v>35</v>
      </c>
      <c r="O349" t="s">
        <v>44</v>
      </c>
      <c r="P349" t="s">
        <v>45</v>
      </c>
      <c r="Q349">
        <v>0</v>
      </c>
      <c r="R349">
        <v>0</v>
      </c>
      <c r="S349">
        <v>0</v>
      </c>
      <c r="T349" t="s">
        <v>46</v>
      </c>
      <c r="U349" t="s">
        <v>46</v>
      </c>
      <c r="V349">
        <v>0</v>
      </c>
      <c r="W349" t="s">
        <v>38</v>
      </c>
      <c r="X349">
        <v>9</v>
      </c>
      <c r="Z349">
        <v>0</v>
      </c>
      <c r="AA349" t="s">
        <v>39</v>
      </c>
      <c r="AB349">
        <v>140</v>
      </c>
      <c r="AC349">
        <v>0</v>
      </c>
      <c r="AD349">
        <v>0</v>
      </c>
      <c r="AE349" t="s">
        <v>47</v>
      </c>
      <c r="AF349" s="1">
        <v>42927</v>
      </c>
    </row>
    <row r="350" spans="1:32" x14ac:dyDescent="0.25">
      <c r="A350" t="s">
        <v>41</v>
      </c>
      <c r="B350">
        <v>1</v>
      </c>
      <c r="C350">
        <v>195</v>
      </c>
      <c r="D350">
        <v>2015</v>
      </c>
      <c r="E350" t="s">
        <v>62</v>
      </c>
      <c r="F350">
        <v>38</v>
      </c>
      <c r="G350">
        <v>17</v>
      </c>
      <c r="H350">
        <v>0</v>
      </c>
      <c r="I350">
        <v>2</v>
      </c>
      <c r="J350">
        <v>2</v>
      </c>
      <c r="K350">
        <v>0</v>
      </c>
      <c r="L350">
        <v>0</v>
      </c>
      <c r="M350" t="s">
        <v>34</v>
      </c>
      <c r="N350" t="s">
        <v>43</v>
      </c>
      <c r="O350" t="s">
        <v>49</v>
      </c>
      <c r="P350" t="s">
        <v>45</v>
      </c>
      <c r="Q350">
        <v>0</v>
      </c>
      <c r="R350">
        <v>1</v>
      </c>
      <c r="S350">
        <v>0</v>
      </c>
      <c r="T350" t="s">
        <v>46</v>
      </c>
      <c r="U350" t="s">
        <v>46</v>
      </c>
      <c r="V350">
        <v>0</v>
      </c>
      <c r="W350" t="s">
        <v>38</v>
      </c>
      <c r="X350">
        <v>20</v>
      </c>
      <c r="Z350">
        <v>0</v>
      </c>
      <c r="AA350" t="s">
        <v>39</v>
      </c>
      <c r="AB350">
        <v>48</v>
      </c>
      <c r="AC350">
        <v>0</v>
      </c>
      <c r="AD350">
        <v>0</v>
      </c>
      <c r="AE350" t="s">
        <v>47</v>
      </c>
      <c r="AF350" s="1">
        <v>42208</v>
      </c>
    </row>
    <row r="351" spans="1:32" x14ac:dyDescent="0.25">
      <c r="A351" t="s">
        <v>41</v>
      </c>
      <c r="B351">
        <v>1</v>
      </c>
      <c r="C351">
        <v>47</v>
      </c>
      <c r="D351">
        <v>2016</v>
      </c>
      <c r="E351" t="s">
        <v>54</v>
      </c>
      <c r="F351">
        <v>16</v>
      </c>
      <c r="G351">
        <v>12</v>
      </c>
      <c r="H351">
        <v>0</v>
      </c>
      <c r="I351">
        <v>1</v>
      </c>
      <c r="J351">
        <v>1</v>
      </c>
      <c r="K351">
        <v>0</v>
      </c>
      <c r="L351">
        <v>0</v>
      </c>
      <c r="M351" t="s">
        <v>34</v>
      </c>
      <c r="N351" t="s">
        <v>63</v>
      </c>
      <c r="O351" t="s">
        <v>44</v>
      </c>
      <c r="P351" t="s">
        <v>45</v>
      </c>
      <c r="Q351">
        <v>0</v>
      </c>
      <c r="R351">
        <v>0</v>
      </c>
      <c r="S351">
        <v>0</v>
      </c>
      <c r="T351" t="s">
        <v>46</v>
      </c>
      <c r="U351" t="s">
        <v>46</v>
      </c>
      <c r="V351">
        <v>0</v>
      </c>
      <c r="W351" t="s">
        <v>38</v>
      </c>
      <c r="X351">
        <v>9</v>
      </c>
      <c r="Z351">
        <v>0</v>
      </c>
      <c r="AA351" t="s">
        <v>39</v>
      </c>
      <c r="AB351">
        <v>99.9</v>
      </c>
      <c r="AC351">
        <v>0</v>
      </c>
      <c r="AD351">
        <v>0</v>
      </c>
      <c r="AE351" t="s">
        <v>47</v>
      </c>
      <c r="AF351" s="1">
        <v>42450</v>
      </c>
    </row>
    <row r="352" spans="1:32" x14ac:dyDescent="0.25">
      <c r="A352" t="s">
        <v>41</v>
      </c>
      <c r="B352">
        <v>1</v>
      </c>
      <c r="C352">
        <v>58</v>
      </c>
      <c r="D352">
        <v>2016</v>
      </c>
      <c r="E352" t="s">
        <v>74</v>
      </c>
      <c r="F352">
        <v>5</v>
      </c>
      <c r="G352">
        <v>27</v>
      </c>
      <c r="H352">
        <v>0</v>
      </c>
      <c r="I352">
        <v>2</v>
      </c>
      <c r="J352">
        <v>1</v>
      </c>
      <c r="K352">
        <v>0</v>
      </c>
      <c r="L352">
        <v>0</v>
      </c>
      <c r="M352" t="s">
        <v>34</v>
      </c>
      <c r="N352" t="s">
        <v>43</v>
      </c>
      <c r="O352" t="s">
        <v>49</v>
      </c>
      <c r="P352" t="s">
        <v>45</v>
      </c>
      <c r="Q352">
        <v>0</v>
      </c>
      <c r="R352">
        <v>1</v>
      </c>
      <c r="S352">
        <v>0</v>
      </c>
      <c r="T352" t="s">
        <v>46</v>
      </c>
      <c r="U352" t="s">
        <v>46</v>
      </c>
      <c r="V352">
        <v>0</v>
      </c>
      <c r="W352" t="s">
        <v>38</v>
      </c>
      <c r="X352">
        <v>87</v>
      </c>
      <c r="Z352">
        <v>0</v>
      </c>
      <c r="AA352" t="s">
        <v>51</v>
      </c>
      <c r="AB352">
        <v>80</v>
      </c>
      <c r="AC352">
        <v>0</v>
      </c>
      <c r="AD352">
        <v>0</v>
      </c>
      <c r="AE352" t="s">
        <v>47</v>
      </c>
      <c r="AF352" s="1">
        <v>42376</v>
      </c>
    </row>
    <row r="353" spans="1:32" x14ac:dyDescent="0.25">
      <c r="A353" t="s">
        <v>41</v>
      </c>
      <c r="B353">
        <v>0</v>
      </c>
      <c r="C353">
        <v>49</v>
      </c>
      <c r="D353">
        <v>2017</v>
      </c>
      <c r="E353" t="s">
        <v>54</v>
      </c>
      <c r="F353">
        <v>16</v>
      </c>
      <c r="G353">
        <v>16</v>
      </c>
      <c r="H353">
        <v>2</v>
      </c>
      <c r="I353">
        <v>0</v>
      </c>
      <c r="J353">
        <v>2</v>
      </c>
      <c r="K353">
        <v>0</v>
      </c>
      <c r="L353">
        <v>0</v>
      </c>
      <c r="M353" t="s">
        <v>55</v>
      </c>
      <c r="N353" t="s">
        <v>113</v>
      </c>
      <c r="O353" t="s">
        <v>44</v>
      </c>
      <c r="P353" t="s">
        <v>45</v>
      </c>
      <c r="Q353">
        <v>0</v>
      </c>
      <c r="R353">
        <v>0</v>
      </c>
      <c r="S353">
        <v>0</v>
      </c>
      <c r="T353" t="s">
        <v>46</v>
      </c>
      <c r="U353" t="s">
        <v>46</v>
      </c>
      <c r="V353">
        <v>0</v>
      </c>
      <c r="W353" t="s">
        <v>38</v>
      </c>
      <c r="X353">
        <v>9</v>
      </c>
      <c r="Z353">
        <v>0</v>
      </c>
      <c r="AA353" t="s">
        <v>39</v>
      </c>
      <c r="AB353">
        <v>108</v>
      </c>
      <c r="AC353">
        <v>0</v>
      </c>
      <c r="AD353">
        <v>0</v>
      </c>
      <c r="AE353" t="s">
        <v>40</v>
      </c>
      <c r="AF353" s="1">
        <v>42843</v>
      </c>
    </row>
    <row r="354" spans="1:32" x14ac:dyDescent="0.25">
      <c r="A354" t="s">
        <v>32</v>
      </c>
      <c r="B354">
        <v>1</v>
      </c>
      <c r="C354">
        <v>349</v>
      </c>
      <c r="D354">
        <v>2016</v>
      </c>
      <c r="E354" t="s">
        <v>67</v>
      </c>
      <c r="F354">
        <v>32</v>
      </c>
      <c r="G354">
        <v>4</v>
      </c>
      <c r="H354">
        <v>2</v>
      </c>
      <c r="I354">
        <v>3</v>
      </c>
      <c r="J354">
        <v>2</v>
      </c>
      <c r="K354">
        <v>0</v>
      </c>
      <c r="L354">
        <v>0</v>
      </c>
      <c r="M354" t="s">
        <v>34</v>
      </c>
      <c r="N354" t="s">
        <v>43</v>
      </c>
      <c r="O354" t="s">
        <v>44</v>
      </c>
      <c r="P354" t="s">
        <v>45</v>
      </c>
      <c r="Q354">
        <v>0</v>
      </c>
      <c r="R354">
        <v>0</v>
      </c>
      <c r="S354">
        <v>0</v>
      </c>
      <c r="T354" t="s">
        <v>46</v>
      </c>
      <c r="U354" t="s">
        <v>46</v>
      </c>
      <c r="V354">
        <v>0</v>
      </c>
      <c r="W354" t="s">
        <v>38</v>
      </c>
      <c r="X354">
        <v>240</v>
      </c>
      <c r="Z354">
        <v>0</v>
      </c>
      <c r="AA354" t="s">
        <v>39</v>
      </c>
      <c r="AB354">
        <v>125.4</v>
      </c>
      <c r="AC354">
        <v>0</v>
      </c>
      <c r="AD354">
        <v>3</v>
      </c>
      <c r="AE354" t="s">
        <v>47</v>
      </c>
      <c r="AF354" s="1">
        <v>42542</v>
      </c>
    </row>
    <row r="355" spans="1:32" x14ac:dyDescent="0.25">
      <c r="A355" t="s">
        <v>32</v>
      </c>
      <c r="B355">
        <v>0</v>
      </c>
      <c r="C355">
        <v>0</v>
      </c>
      <c r="D355">
        <v>2017</v>
      </c>
      <c r="E355" t="s">
        <v>54</v>
      </c>
      <c r="F355">
        <v>14</v>
      </c>
      <c r="G355">
        <v>8</v>
      </c>
      <c r="H355">
        <v>0</v>
      </c>
      <c r="I355">
        <v>1</v>
      </c>
      <c r="J355">
        <v>2</v>
      </c>
      <c r="K355">
        <v>0</v>
      </c>
      <c r="L355">
        <v>0</v>
      </c>
      <c r="M355" t="s">
        <v>34</v>
      </c>
      <c r="N355" t="s">
        <v>43</v>
      </c>
      <c r="O355" t="s">
        <v>36</v>
      </c>
      <c r="P355" t="s">
        <v>36</v>
      </c>
      <c r="Q355">
        <v>0</v>
      </c>
      <c r="R355">
        <v>0</v>
      </c>
      <c r="S355">
        <v>0</v>
      </c>
      <c r="T355" t="s">
        <v>46</v>
      </c>
      <c r="U355" t="s">
        <v>72</v>
      </c>
      <c r="V355">
        <v>0</v>
      </c>
      <c r="W355" t="s">
        <v>38</v>
      </c>
      <c r="Z355">
        <v>0</v>
      </c>
      <c r="AA355" t="s">
        <v>39</v>
      </c>
      <c r="AB355">
        <v>110</v>
      </c>
      <c r="AC355">
        <v>0</v>
      </c>
      <c r="AD355">
        <v>0</v>
      </c>
      <c r="AE355" t="s">
        <v>40</v>
      </c>
      <c r="AF355" s="1">
        <v>42834</v>
      </c>
    </row>
    <row r="356" spans="1:32" x14ac:dyDescent="0.25">
      <c r="A356" t="s">
        <v>32</v>
      </c>
      <c r="B356">
        <v>0</v>
      </c>
      <c r="C356">
        <v>3</v>
      </c>
      <c r="D356">
        <v>2015</v>
      </c>
      <c r="E356" t="s">
        <v>59</v>
      </c>
      <c r="F356">
        <v>41</v>
      </c>
      <c r="G356">
        <v>9</v>
      </c>
      <c r="H356">
        <v>1</v>
      </c>
      <c r="I356">
        <v>2</v>
      </c>
      <c r="J356">
        <v>2</v>
      </c>
      <c r="K356">
        <v>0</v>
      </c>
      <c r="L356">
        <v>0</v>
      </c>
      <c r="M356" t="s">
        <v>34</v>
      </c>
      <c r="N356" t="s">
        <v>56</v>
      </c>
      <c r="O356" t="s">
        <v>44</v>
      </c>
      <c r="P356" t="s">
        <v>45</v>
      </c>
      <c r="Q356">
        <v>0</v>
      </c>
      <c r="R356">
        <v>0</v>
      </c>
      <c r="S356">
        <v>0</v>
      </c>
      <c r="T356" t="s">
        <v>72</v>
      </c>
      <c r="U356" t="s">
        <v>72</v>
      </c>
      <c r="V356">
        <v>0</v>
      </c>
      <c r="W356" t="s">
        <v>38</v>
      </c>
      <c r="X356">
        <v>240</v>
      </c>
      <c r="Z356">
        <v>0</v>
      </c>
      <c r="AA356" t="s">
        <v>39</v>
      </c>
      <c r="AB356">
        <v>83.33</v>
      </c>
      <c r="AC356">
        <v>0</v>
      </c>
      <c r="AD356">
        <v>2</v>
      </c>
      <c r="AE356" t="s">
        <v>40</v>
      </c>
      <c r="AF356" s="1">
        <v>42289</v>
      </c>
    </row>
    <row r="357" spans="1:32" x14ac:dyDescent="0.25">
      <c r="A357" t="s">
        <v>32</v>
      </c>
      <c r="B357">
        <v>0</v>
      </c>
      <c r="C357">
        <v>27</v>
      </c>
      <c r="D357">
        <v>2017</v>
      </c>
      <c r="E357" t="s">
        <v>52</v>
      </c>
      <c r="F357">
        <v>11</v>
      </c>
      <c r="G357">
        <v>16</v>
      </c>
      <c r="H357">
        <v>0</v>
      </c>
      <c r="I357">
        <v>1</v>
      </c>
      <c r="J357">
        <v>2</v>
      </c>
      <c r="K357">
        <v>0</v>
      </c>
      <c r="L357">
        <v>0</v>
      </c>
      <c r="M357" t="s">
        <v>34</v>
      </c>
      <c r="N357" t="s">
        <v>70</v>
      </c>
      <c r="O357" t="s">
        <v>44</v>
      </c>
      <c r="P357" t="s">
        <v>45</v>
      </c>
      <c r="Q357">
        <v>0</v>
      </c>
      <c r="R357">
        <v>0</v>
      </c>
      <c r="S357">
        <v>0</v>
      </c>
      <c r="T357" t="s">
        <v>57</v>
      </c>
      <c r="U357" t="s">
        <v>57</v>
      </c>
      <c r="V357">
        <v>0</v>
      </c>
      <c r="W357" t="s">
        <v>38</v>
      </c>
      <c r="Z357">
        <v>0</v>
      </c>
      <c r="AA357" t="s">
        <v>39</v>
      </c>
      <c r="AB357">
        <v>68</v>
      </c>
      <c r="AC357">
        <v>0</v>
      </c>
      <c r="AD357">
        <v>1</v>
      </c>
      <c r="AE357" t="s">
        <v>40</v>
      </c>
      <c r="AF357" s="1">
        <v>42811</v>
      </c>
    </row>
    <row r="358" spans="1:32" x14ac:dyDescent="0.25">
      <c r="A358" t="s">
        <v>41</v>
      </c>
      <c r="B358">
        <v>1</v>
      </c>
      <c r="C358">
        <v>38</v>
      </c>
      <c r="D358">
        <v>2017</v>
      </c>
      <c r="E358" t="s">
        <v>74</v>
      </c>
      <c r="F358">
        <v>2</v>
      </c>
      <c r="G358">
        <v>14</v>
      </c>
      <c r="H358">
        <v>0</v>
      </c>
      <c r="I358">
        <v>1</v>
      </c>
      <c r="J358">
        <v>1</v>
      </c>
      <c r="K358">
        <v>0</v>
      </c>
      <c r="L358">
        <v>0</v>
      </c>
      <c r="M358" t="s">
        <v>34</v>
      </c>
      <c r="N358" t="s">
        <v>43</v>
      </c>
      <c r="O358" t="s">
        <v>76</v>
      </c>
      <c r="P358" t="s">
        <v>76</v>
      </c>
      <c r="Q358">
        <v>0</v>
      </c>
      <c r="R358">
        <v>0</v>
      </c>
      <c r="S358">
        <v>0</v>
      </c>
      <c r="T358" t="s">
        <v>46</v>
      </c>
      <c r="U358" t="s">
        <v>46</v>
      </c>
      <c r="V358">
        <v>0</v>
      </c>
      <c r="W358" t="s">
        <v>68</v>
      </c>
      <c r="Y358">
        <v>67</v>
      </c>
      <c r="Z358">
        <v>0</v>
      </c>
      <c r="AA358" t="s">
        <v>39</v>
      </c>
      <c r="AB358">
        <v>75</v>
      </c>
      <c r="AC358">
        <v>0</v>
      </c>
      <c r="AD358">
        <v>0</v>
      </c>
      <c r="AE358" t="s">
        <v>47</v>
      </c>
      <c r="AF358" s="1">
        <v>42711</v>
      </c>
    </row>
    <row r="359" spans="1:32" x14ac:dyDescent="0.25">
      <c r="A359" t="s">
        <v>41</v>
      </c>
      <c r="B359">
        <v>1</v>
      </c>
      <c r="C359">
        <v>61</v>
      </c>
      <c r="D359">
        <v>2017</v>
      </c>
      <c r="E359" t="s">
        <v>69</v>
      </c>
      <c r="F359">
        <v>20</v>
      </c>
      <c r="G359">
        <v>17</v>
      </c>
      <c r="H359">
        <v>0</v>
      </c>
      <c r="I359">
        <v>4</v>
      </c>
      <c r="J359">
        <v>2</v>
      </c>
      <c r="K359">
        <v>0</v>
      </c>
      <c r="L359">
        <v>0</v>
      </c>
      <c r="M359" t="s">
        <v>34</v>
      </c>
      <c r="N359" t="s">
        <v>56</v>
      </c>
      <c r="O359" t="s">
        <v>44</v>
      </c>
      <c r="P359" t="s">
        <v>45</v>
      </c>
      <c r="Q359">
        <v>0</v>
      </c>
      <c r="R359">
        <v>0</v>
      </c>
      <c r="S359">
        <v>0</v>
      </c>
      <c r="T359" t="s">
        <v>46</v>
      </c>
      <c r="U359" t="s">
        <v>46</v>
      </c>
      <c r="V359">
        <v>0</v>
      </c>
      <c r="W359" t="s">
        <v>38</v>
      </c>
      <c r="X359">
        <v>9</v>
      </c>
      <c r="Z359">
        <v>0</v>
      </c>
      <c r="AA359" t="s">
        <v>39</v>
      </c>
      <c r="AB359">
        <v>162</v>
      </c>
      <c r="AC359">
        <v>0</v>
      </c>
      <c r="AD359">
        <v>1</v>
      </c>
      <c r="AE359" t="s">
        <v>47</v>
      </c>
      <c r="AF359" s="1">
        <v>42820</v>
      </c>
    </row>
    <row r="360" spans="1:32" x14ac:dyDescent="0.25">
      <c r="A360" t="s">
        <v>32</v>
      </c>
      <c r="B360">
        <v>0</v>
      </c>
      <c r="C360">
        <v>154</v>
      </c>
      <c r="D360">
        <v>2017</v>
      </c>
      <c r="E360" t="s">
        <v>67</v>
      </c>
      <c r="F360">
        <v>34</v>
      </c>
      <c r="G360">
        <v>21</v>
      </c>
      <c r="H360">
        <v>2</v>
      </c>
      <c r="I360">
        <v>5</v>
      </c>
      <c r="J360">
        <v>2</v>
      </c>
      <c r="K360">
        <v>0</v>
      </c>
      <c r="L360">
        <v>0</v>
      </c>
      <c r="M360" t="s">
        <v>60</v>
      </c>
      <c r="N360" t="s">
        <v>35</v>
      </c>
      <c r="O360" t="s">
        <v>49</v>
      </c>
      <c r="P360" t="s">
        <v>45</v>
      </c>
      <c r="Q360">
        <v>0</v>
      </c>
      <c r="R360">
        <v>0</v>
      </c>
      <c r="S360">
        <v>0</v>
      </c>
      <c r="T360" t="s">
        <v>46</v>
      </c>
      <c r="U360" t="s">
        <v>46</v>
      </c>
      <c r="V360">
        <v>1</v>
      </c>
      <c r="W360" t="s">
        <v>38</v>
      </c>
      <c r="X360">
        <v>40</v>
      </c>
      <c r="Z360">
        <v>0</v>
      </c>
      <c r="AA360" t="s">
        <v>73</v>
      </c>
      <c r="AB360">
        <v>132.86000000000001</v>
      </c>
      <c r="AC360">
        <v>0</v>
      </c>
      <c r="AD360">
        <v>1</v>
      </c>
      <c r="AE360" t="s">
        <v>40</v>
      </c>
      <c r="AF360" s="1">
        <v>42975</v>
      </c>
    </row>
    <row r="361" spans="1:32" x14ac:dyDescent="0.25">
      <c r="A361" t="s">
        <v>41</v>
      </c>
      <c r="B361">
        <v>0</v>
      </c>
      <c r="C361">
        <v>183</v>
      </c>
      <c r="D361">
        <v>2017</v>
      </c>
      <c r="E361" t="s">
        <v>74</v>
      </c>
      <c r="F361">
        <v>1</v>
      </c>
      <c r="G361">
        <v>1</v>
      </c>
      <c r="H361">
        <v>2</v>
      </c>
      <c r="I361">
        <v>4</v>
      </c>
      <c r="J361">
        <v>2</v>
      </c>
      <c r="K361">
        <v>2</v>
      </c>
      <c r="L361">
        <v>0</v>
      </c>
      <c r="M361" t="s">
        <v>34</v>
      </c>
      <c r="N361" t="s">
        <v>111</v>
      </c>
      <c r="O361" t="s">
        <v>44</v>
      </c>
      <c r="P361" t="s">
        <v>45</v>
      </c>
      <c r="Q361">
        <v>0</v>
      </c>
      <c r="R361">
        <v>0</v>
      </c>
      <c r="S361">
        <v>0</v>
      </c>
      <c r="T361" t="s">
        <v>37</v>
      </c>
      <c r="U361" t="s">
        <v>37</v>
      </c>
      <c r="V361">
        <v>0</v>
      </c>
      <c r="W361" t="s">
        <v>38</v>
      </c>
      <c r="X361">
        <v>9</v>
      </c>
      <c r="Z361">
        <v>0</v>
      </c>
      <c r="AA361" t="s">
        <v>39</v>
      </c>
      <c r="AB361">
        <v>153.5</v>
      </c>
      <c r="AC361">
        <v>1</v>
      </c>
      <c r="AD361">
        <v>1</v>
      </c>
      <c r="AE361" t="s">
        <v>40</v>
      </c>
      <c r="AF361" s="1">
        <v>42742</v>
      </c>
    </row>
    <row r="362" spans="1:32" x14ac:dyDescent="0.25">
      <c r="A362" t="s">
        <v>41</v>
      </c>
      <c r="B362">
        <v>0</v>
      </c>
      <c r="C362">
        <v>105</v>
      </c>
      <c r="D362">
        <v>2017</v>
      </c>
      <c r="E362" t="s">
        <v>67</v>
      </c>
      <c r="F362">
        <v>33</v>
      </c>
      <c r="G362">
        <v>13</v>
      </c>
      <c r="H362">
        <v>2</v>
      </c>
      <c r="I362">
        <v>3</v>
      </c>
      <c r="J362">
        <v>2</v>
      </c>
      <c r="K362">
        <v>0</v>
      </c>
      <c r="L362">
        <v>0</v>
      </c>
      <c r="M362" t="s">
        <v>55</v>
      </c>
      <c r="N362" t="s">
        <v>82</v>
      </c>
      <c r="O362" t="s">
        <v>44</v>
      </c>
      <c r="P362" t="s">
        <v>45</v>
      </c>
      <c r="Q362">
        <v>0</v>
      </c>
      <c r="R362">
        <v>0</v>
      </c>
      <c r="S362">
        <v>0</v>
      </c>
      <c r="T362" t="s">
        <v>46</v>
      </c>
      <c r="U362" t="s">
        <v>46</v>
      </c>
      <c r="V362">
        <v>0</v>
      </c>
      <c r="W362" t="s">
        <v>38</v>
      </c>
      <c r="X362">
        <v>7</v>
      </c>
      <c r="Z362">
        <v>0</v>
      </c>
      <c r="AA362" t="s">
        <v>39</v>
      </c>
      <c r="AB362">
        <v>95</v>
      </c>
      <c r="AC362">
        <v>0</v>
      </c>
      <c r="AD362">
        <v>1</v>
      </c>
      <c r="AE362" t="s">
        <v>40</v>
      </c>
      <c r="AF362" s="1">
        <v>42965</v>
      </c>
    </row>
    <row r="363" spans="1:32" x14ac:dyDescent="0.25">
      <c r="A363" t="s">
        <v>41</v>
      </c>
      <c r="B363">
        <v>1</v>
      </c>
      <c r="C363">
        <v>194</v>
      </c>
      <c r="D363">
        <v>2017</v>
      </c>
      <c r="E363" t="s">
        <v>54</v>
      </c>
      <c r="F363">
        <v>16</v>
      </c>
      <c r="G363">
        <v>21</v>
      </c>
      <c r="H363">
        <v>2</v>
      </c>
      <c r="I363">
        <v>3</v>
      </c>
      <c r="J363">
        <v>2</v>
      </c>
      <c r="K363">
        <v>0</v>
      </c>
      <c r="L363">
        <v>0</v>
      </c>
      <c r="M363" t="s">
        <v>34</v>
      </c>
      <c r="N363" t="s">
        <v>70</v>
      </c>
      <c r="O363" t="s">
        <v>44</v>
      </c>
      <c r="P363" t="s">
        <v>45</v>
      </c>
      <c r="Q363">
        <v>0</v>
      </c>
      <c r="R363">
        <v>0</v>
      </c>
      <c r="S363">
        <v>0</v>
      </c>
      <c r="T363" t="s">
        <v>46</v>
      </c>
      <c r="U363" t="s">
        <v>46</v>
      </c>
      <c r="V363">
        <v>0</v>
      </c>
      <c r="W363" t="s">
        <v>38</v>
      </c>
      <c r="X363">
        <v>9</v>
      </c>
      <c r="Z363">
        <v>0</v>
      </c>
      <c r="AA363" t="s">
        <v>39</v>
      </c>
      <c r="AB363">
        <v>117</v>
      </c>
      <c r="AC363">
        <v>0</v>
      </c>
      <c r="AD363">
        <v>2</v>
      </c>
      <c r="AE363" t="s">
        <v>47</v>
      </c>
      <c r="AF363" s="1">
        <v>42846</v>
      </c>
    </row>
    <row r="364" spans="1:32" x14ac:dyDescent="0.25">
      <c r="A364" t="s">
        <v>41</v>
      </c>
      <c r="B364">
        <v>0</v>
      </c>
      <c r="C364">
        <v>4</v>
      </c>
      <c r="D364">
        <v>2016</v>
      </c>
      <c r="E364" t="s">
        <v>66</v>
      </c>
      <c r="F364">
        <v>7</v>
      </c>
      <c r="G364">
        <v>13</v>
      </c>
      <c r="H364">
        <v>0</v>
      </c>
      <c r="I364">
        <v>1</v>
      </c>
      <c r="J364">
        <v>2</v>
      </c>
      <c r="K364">
        <v>0</v>
      </c>
      <c r="L364">
        <v>0</v>
      </c>
      <c r="M364" t="s">
        <v>34</v>
      </c>
      <c r="N364" t="s">
        <v>43</v>
      </c>
      <c r="O364" t="s">
        <v>36</v>
      </c>
      <c r="P364" t="s">
        <v>36</v>
      </c>
      <c r="Q364">
        <v>0</v>
      </c>
      <c r="R364">
        <v>0</v>
      </c>
      <c r="S364">
        <v>0</v>
      </c>
      <c r="T364" t="s">
        <v>57</v>
      </c>
      <c r="U364" t="s">
        <v>57</v>
      </c>
      <c r="V364">
        <v>0</v>
      </c>
      <c r="W364" t="s">
        <v>38</v>
      </c>
      <c r="X364">
        <v>14</v>
      </c>
      <c r="Z364">
        <v>0</v>
      </c>
      <c r="AA364" t="s">
        <v>39</v>
      </c>
      <c r="AB364">
        <v>95</v>
      </c>
      <c r="AC364">
        <v>0</v>
      </c>
      <c r="AD364">
        <v>2</v>
      </c>
      <c r="AE364" t="s">
        <v>40</v>
      </c>
      <c r="AF364" s="1">
        <v>42414</v>
      </c>
    </row>
    <row r="365" spans="1:32" x14ac:dyDescent="0.25">
      <c r="A365" t="s">
        <v>32</v>
      </c>
      <c r="B365">
        <v>0</v>
      </c>
      <c r="C365">
        <v>1</v>
      </c>
      <c r="D365">
        <v>2016</v>
      </c>
      <c r="E365" t="s">
        <v>33</v>
      </c>
      <c r="F365">
        <v>51</v>
      </c>
      <c r="G365">
        <v>17</v>
      </c>
      <c r="H365">
        <v>0</v>
      </c>
      <c r="I365">
        <v>1</v>
      </c>
      <c r="J365">
        <v>2</v>
      </c>
      <c r="K365">
        <v>1</v>
      </c>
      <c r="L365">
        <v>0</v>
      </c>
      <c r="M365" t="s">
        <v>60</v>
      </c>
      <c r="N365" t="s">
        <v>63</v>
      </c>
      <c r="O365" t="s">
        <v>44</v>
      </c>
      <c r="P365" t="s">
        <v>45</v>
      </c>
      <c r="Q365">
        <v>0</v>
      </c>
      <c r="R365">
        <v>0</v>
      </c>
      <c r="S365">
        <v>0</v>
      </c>
      <c r="T365" t="s">
        <v>84</v>
      </c>
      <c r="U365" t="s">
        <v>84</v>
      </c>
      <c r="V365">
        <v>0</v>
      </c>
      <c r="W365" t="s">
        <v>38</v>
      </c>
      <c r="X365">
        <v>240</v>
      </c>
      <c r="Z365">
        <v>0</v>
      </c>
      <c r="AA365" t="s">
        <v>39</v>
      </c>
      <c r="AB365">
        <v>136</v>
      </c>
      <c r="AC365">
        <v>0</v>
      </c>
      <c r="AD365">
        <v>1</v>
      </c>
      <c r="AE365" t="s">
        <v>40</v>
      </c>
      <c r="AF365" s="1">
        <v>42722</v>
      </c>
    </row>
    <row r="366" spans="1:32" x14ac:dyDescent="0.25">
      <c r="A366" t="s">
        <v>41</v>
      </c>
      <c r="B366">
        <v>1</v>
      </c>
      <c r="C366">
        <v>6</v>
      </c>
      <c r="D366">
        <v>2016</v>
      </c>
      <c r="E366" t="s">
        <v>61</v>
      </c>
      <c r="F366">
        <v>48</v>
      </c>
      <c r="G366">
        <v>24</v>
      </c>
      <c r="H366">
        <v>0</v>
      </c>
      <c r="I366">
        <v>1</v>
      </c>
      <c r="J366">
        <v>1</v>
      </c>
      <c r="K366">
        <v>0</v>
      </c>
      <c r="L366">
        <v>0</v>
      </c>
      <c r="M366" t="s">
        <v>34</v>
      </c>
      <c r="N366" t="s">
        <v>43</v>
      </c>
      <c r="O366" t="s">
        <v>76</v>
      </c>
      <c r="P366" t="s">
        <v>76</v>
      </c>
      <c r="Q366">
        <v>1</v>
      </c>
      <c r="R366">
        <v>1</v>
      </c>
      <c r="S366">
        <v>3</v>
      </c>
      <c r="T366" t="s">
        <v>46</v>
      </c>
      <c r="U366" t="s">
        <v>46</v>
      </c>
      <c r="V366">
        <v>0</v>
      </c>
      <c r="W366" t="s">
        <v>38</v>
      </c>
      <c r="Y366">
        <v>40</v>
      </c>
      <c r="Z366">
        <v>0</v>
      </c>
      <c r="AA366" t="s">
        <v>39</v>
      </c>
      <c r="AB366">
        <v>65</v>
      </c>
      <c r="AC366">
        <v>0</v>
      </c>
      <c r="AD366">
        <v>1</v>
      </c>
      <c r="AE366" t="s">
        <v>47</v>
      </c>
      <c r="AF366" s="1">
        <v>42697</v>
      </c>
    </row>
    <row r="367" spans="1:32" x14ac:dyDescent="0.25">
      <c r="A367" t="s">
        <v>32</v>
      </c>
      <c r="B367">
        <v>0</v>
      </c>
      <c r="C367">
        <v>82</v>
      </c>
      <c r="D367">
        <v>2017</v>
      </c>
      <c r="E367" t="s">
        <v>42</v>
      </c>
      <c r="F367">
        <v>30</v>
      </c>
      <c r="G367">
        <v>23</v>
      </c>
      <c r="H367">
        <v>3</v>
      </c>
      <c r="I367">
        <v>5</v>
      </c>
      <c r="J367">
        <v>2</v>
      </c>
      <c r="K367">
        <v>0</v>
      </c>
      <c r="L367">
        <v>0</v>
      </c>
      <c r="M367" t="s">
        <v>60</v>
      </c>
      <c r="N367" t="s">
        <v>35</v>
      </c>
      <c r="O367" t="s">
        <v>36</v>
      </c>
      <c r="P367" t="s">
        <v>36</v>
      </c>
      <c r="Q367">
        <v>0</v>
      </c>
      <c r="R367">
        <v>0</v>
      </c>
      <c r="S367">
        <v>0</v>
      </c>
      <c r="T367" t="s">
        <v>37</v>
      </c>
      <c r="U367" t="s">
        <v>37</v>
      </c>
      <c r="V367">
        <v>1</v>
      </c>
      <c r="W367" t="s">
        <v>38</v>
      </c>
      <c r="X367">
        <v>250</v>
      </c>
      <c r="Z367">
        <v>0</v>
      </c>
      <c r="AA367" t="s">
        <v>39</v>
      </c>
      <c r="AB367">
        <v>294</v>
      </c>
      <c r="AC367">
        <v>0</v>
      </c>
      <c r="AD367">
        <v>2</v>
      </c>
      <c r="AE367" t="s">
        <v>40</v>
      </c>
      <c r="AF367" s="1">
        <v>42947</v>
      </c>
    </row>
    <row r="368" spans="1:32" x14ac:dyDescent="0.25">
      <c r="A368" t="s">
        <v>41</v>
      </c>
      <c r="B368">
        <v>1</v>
      </c>
      <c r="C368">
        <v>174</v>
      </c>
      <c r="D368">
        <v>2015</v>
      </c>
      <c r="E368" t="s">
        <v>59</v>
      </c>
      <c r="F368">
        <v>41</v>
      </c>
      <c r="G368">
        <v>10</v>
      </c>
      <c r="H368">
        <v>1</v>
      </c>
      <c r="I368">
        <v>1</v>
      </c>
      <c r="J368">
        <v>2</v>
      </c>
      <c r="K368">
        <v>0</v>
      </c>
      <c r="L368">
        <v>0</v>
      </c>
      <c r="M368" t="s">
        <v>34</v>
      </c>
      <c r="N368" t="s">
        <v>43</v>
      </c>
      <c r="O368" t="s">
        <v>49</v>
      </c>
      <c r="P368" t="s">
        <v>45</v>
      </c>
      <c r="Q368">
        <v>0</v>
      </c>
      <c r="R368">
        <v>0</v>
      </c>
      <c r="S368">
        <v>0</v>
      </c>
      <c r="T368" t="s">
        <v>46</v>
      </c>
      <c r="U368" t="s">
        <v>46</v>
      </c>
      <c r="V368">
        <v>0</v>
      </c>
      <c r="W368" t="s">
        <v>68</v>
      </c>
      <c r="X368">
        <v>3</v>
      </c>
      <c r="Z368">
        <v>0</v>
      </c>
      <c r="AA368" t="s">
        <v>39</v>
      </c>
      <c r="AB368">
        <v>70</v>
      </c>
      <c r="AC368">
        <v>0</v>
      </c>
      <c r="AD368">
        <v>0</v>
      </c>
      <c r="AE368" t="s">
        <v>47</v>
      </c>
      <c r="AF368" s="1">
        <v>42247</v>
      </c>
    </row>
    <row r="369" spans="1:32" x14ac:dyDescent="0.25">
      <c r="A369" t="s">
        <v>41</v>
      </c>
      <c r="B369">
        <v>0</v>
      </c>
      <c r="C369">
        <v>22</v>
      </c>
      <c r="D369">
        <v>2017</v>
      </c>
      <c r="E369" t="s">
        <v>54</v>
      </c>
      <c r="F369">
        <v>16</v>
      </c>
      <c r="G369">
        <v>21</v>
      </c>
      <c r="H369">
        <v>2</v>
      </c>
      <c r="I369">
        <v>2</v>
      </c>
      <c r="J369">
        <v>2</v>
      </c>
      <c r="K369">
        <v>0</v>
      </c>
      <c r="L369">
        <v>0</v>
      </c>
      <c r="M369" t="s">
        <v>55</v>
      </c>
      <c r="N369" t="s">
        <v>106</v>
      </c>
      <c r="O369" t="s">
        <v>44</v>
      </c>
      <c r="P369" t="s">
        <v>45</v>
      </c>
      <c r="Q369">
        <v>0</v>
      </c>
      <c r="R369">
        <v>0</v>
      </c>
      <c r="S369">
        <v>0</v>
      </c>
      <c r="T369" t="s">
        <v>46</v>
      </c>
      <c r="U369" t="s">
        <v>46</v>
      </c>
      <c r="V369">
        <v>0</v>
      </c>
      <c r="W369" t="s">
        <v>38</v>
      </c>
      <c r="X369">
        <v>9</v>
      </c>
      <c r="Z369">
        <v>0</v>
      </c>
      <c r="AA369" t="s">
        <v>39</v>
      </c>
      <c r="AB369">
        <v>115</v>
      </c>
      <c r="AC369">
        <v>0</v>
      </c>
      <c r="AD369">
        <v>1</v>
      </c>
      <c r="AE369" t="s">
        <v>40</v>
      </c>
      <c r="AF369" s="1">
        <v>42850</v>
      </c>
    </row>
    <row r="370" spans="1:32" x14ac:dyDescent="0.25">
      <c r="A370" t="s">
        <v>41</v>
      </c>
      <c r="B370">
        <v>1</v>
      </c>
      <c r="C370">
        <v>272</v>
      </c>
      <c r="D370">
        <v>2015</v>
      </c>
      <c r="E370" t="s">
        <v>42</v>
      </c>
      <c r="F370">
        <v>29</v>
      </c>
      <c r="G370">
        <v>16</v>
      </c>
      <c r="H370">
        <v>0</v>
      </c>
      <c r="I370">
        <v>2</v>
      </c>
      <c r="J370">
        <v>2</v>
      </c>
      <c r="K370">
        <v>0</v>
      </c>
      <c r="L370">
        <v>0</v>
      </c>
      <c r="M370" t="s">
        <v>34</v>
      </c>
      <c r="N370" t="s">
        <v>43</v>
      </c>
      <c r="O370" t="s">
        <v>64</v>
      </c>
      <c r="P370" t="s">
        <v>45</v>
      </c>
      <c r="Q370">
        <v>0</v>
      </c>
      <c r="R370">
        <v>1</v>
      </c>
      <c r="S370">
        <v>0</v>
      </c>
      <c r="T370" t="s">
        <v>46</v>
      </c>
      <c r="U370" t="s">
        <v>46</v>
      </c>
      <c r="V370">
        <v>0</v>
      </c>
      <c r="W370" t="s">
        <v>38</v>
      </c>
      <c r="X370">
        <v>1</v>
      </c>
      <c r="Z370">
        <v>0</v>
      </c>
      <c r="AA370" t="s">
        <v>73</v>
      </c>
      <c r="AB370">
        <v>62</v>
      </c>
      <c r="AC370">
        <v>0</v>
      </c>
      <c r="AD370">
        <v>0</v>
      </c>
      <c r="AE370" t="s">
        <v>47</v>
      </c>
      <c r="AF370" s="1">
        <v>42005</v>
      </c>
    </row>
    <row r="371" spans="1:32" x14ac:dyDescent="0.25">
      <c r="A371" t="s">
        <v>41</v>
      </c>
      <c r="B371">
        <v>0</v>
      </c>
      <c r="C371">
        <v>0</v>
      </c>
      <c r="D371">
        <v>2017</v>
      </c>
      <c r="E371" t="s">
        <v>69</v>
      </c>
      <c r="F371">
        <v>20</v>
      </c>
      <c r="G371">
        <v>19</v>
      </c>
      <c r="H371">
        <v>0</v>
      </c>
      <c r="I371">
        <v>1</v>
      </c>
      <c r="J371">
        <v>3</v>
      </c>
      <c r="K371">
        <v>0</v>
      </c>
      <c r="L371">
        <v>1</v>
      </c>
      <c r="M371" t="s">
        <v>34</v>
      </c>
      <c r="N371" t="s">
        <v>97</v>
      </c>
      <c r="O371" t="s">
        <v>36</v>
      </c>
      <c r="P371" t="s">
        <v>36</v>
      </c>
      <c r="Q371">
        <v>0</v>
      </c>
      <c r="R371">
        <v>0</v>
      </c>
      <c r="S371">
        <v>0</v>
      </c>
      <c r="T371" t="s">
        <v>37</v>
      </c>
      <c r="U371" t="s">
        <v>37</v>
      </c>
      <c r="V371">
        <v>1</v>
      </c>
      <c r="W371" t="s">
        <v>38</v>
      </c>
      <c r="Z371">
        <v>0</v>
      </c>
      <c r="AA371" t="s">
        <v>39</v>
      </c>
      <c r="AB371">
        <v>305</v>
      </c>
      <c r="AC371">
        <v>0</v>
      </c>
      <c r="AD371">
        <v>0</v>
      </c>
      <c r="AE371" t="s">
        <v>40</v>
      </c>
      <c r="AF371" s="1">
        <v>42875</v>
      </c>
    </row>
    <row r="372" spans="1:32" x14ac:dyDescent="0.25">
      <c r="A372" t="s">
        <v>41</v>
      </c>
      <c r="B372">
        <v>0</v>
      </c>
      <c r="C372">
        <v>34</v>
      </c>
      <c r="D372">
        <v>2016</v>
      </c>
      <c r="E372" t="s">
        <v>61</v>
      </c>
      <c r="F372">
        <v>46</v>
      </c>
      <c r="G372">
        <v>7</v>
      </c>
      <c r="H372">
        <v>1</v>
      </c>
      <c r="I372">
        <v>2</v>
      </c>
      <c r="J372">
        <v>1</v>
      </c>
      <c r="K372">
        <v>0</v>
      </c>
      <c r="L372">
        <v>0</v>
      </c>
      <c r="M372" t="s">
        <v>34</v>
      </c>
      <c r="N372" t="s">
        <v>56</v>
      </c>
      <c r="O372" t="s">
        <v>44</v>
      </c>
      <c r="P372" t="s">
        <v>114</v>
      </c>
      <c r="Q372">
        <v>0</v>
      </c>
      <c r="R372">
        <v>0</v>
      </c>
      <c r="S372">
        <v>0</v>
      </c>
      <c r="T372" t="s">
        <v>46</v>
      </c>
      <c r="U372" t="s">
        <v>46</v>
      </c>
      <c r="V372">
        <v>0</v>
      </c>
      <c r="W372" t="s">
        <v>38</v>
      </c>
      <c r="X372">
        <v>195</v>
      </c>
      <c r="Z372">
        <v>0</v>
      </c>
      <c r="AA372" t="s">
        <v>39</v>
      </c>
      <c r="AB372">
        <v>169.2</v>
      </c>
      <c r="AC372">
        <v>0</v>
      </c>
      <c r="AD372">
        <v>0</v>
      </c>
      <c r="AE372" t="s">
        <v>40</v>
      </c>
      <c r="AF372" s="1">
        <v>42684</v>
      </c>
    </row>
    <row r="373" spans="1:32" x14ac:dyDescent="0.25">
      <c r="A373" t="s">
        <v>32</v>
      </c>
      <c r="B373">
        <v>1</v>
      </c>
      <c r="C373">
        <v>139</v>
      </c>
      <c r="D373">
        <v>2016</v>
      </c>
      <c r="E373" t="s">
        <v>54</v>
      </c>
      <c r="F373">
        <v>15</v>
      </c>
      <c r="G373">
        <v>4</v>
      </c>
      <c r="H373">
        <v>1</v>
      </c>
      <c r="I373">
        <v>1</v>
      </c>
      <c r="J373">
        <v>3</v>
      </c>
      <c r="K373">
        <v>0</v>
      </c>
      <c r="L373">
        <v>0</v>
      </c>
      <c r="M373" t="s">
        <v>34</v>
      </c>
      <c r="N373" t="s">
        <v>43</v>
      </c>
      <c r="O373" t="s">
        <v>44</v>
      </c>
      <c r="P373" t="s">
        <v>45</v>
      </c>
      <c r="Q373">
        <v>0</v>
      </c>
      <c r="R373">
        <v>0</v>
      </c>
      <c r="S373">
        <v>0</v>
      </c>
      <c r="T373" t="s">
        <v>57</v>
      </c>
      <c r="U373" t="s">
        <v>57</v>
      </c>
      <c r="V373">
        <v>0</v>
      </c>
      <c r="W373" t="s">
        <v>38</v>
      </c>
      <c r="X373">
        <v>242</v>
      </c>
      <c r="Z373">
        <v>0</v>
      </c>
      <c r="AA373" t="s">
        <v>39</v>
      </c>
      <c r="AB373">
        <v>94</v>
      </c>
      <c r="AC373">
        <v>0</v>
      </c>
      <c r="AD373">
        <v>1</v>
      </c>
      <c r="AE373" t="s">
        <v>47</v>
      </c>
      <c r="AF373" s="1">
        <v>42437</v>
      </c>
    </row>
    <row r="374" spans="1:32" x14ac:dyDescent="0.25">
      <c r="A374" t="s">
        <v>41</v>
      </c>
      <c r="B374">
        <v>0</v>
      </c>
      <c r="C374">
        <v>14</v>
      </c>
      <c r="D374">
        <v>2016</v>
      </c>
      <c r="E374" t="s">
        <v>42</v>
      </c>
      <c r="F374">
        <v>27</v>
      </c>
      <c r="G374">
        <v>2</v>
      </c>
      <c r="H374">
        <v>2</v>
      </c>
      <c r="I374">
        <v>3</v>
      </c>
      <c r="J374">
        <v>2</v>
      </c>
      <c r="K374">
        <v>0</v>
      </c>
      <c r="L374">
        <v>0</v>
      </c>
      <c r="M374" t="s">
        <v>34</v>
      </c>
      <c r="N374" t="s">
        <v>56</v>
      </c>
      <c r="O374" t="s">
        <v>44</v>
      </c>
      <c r="P374" t="s">
        <v>45</v>
      </c>
      <c r="Q374">
        <v>0</v>
      </c>
      <c r="R374">
        <v>0</v>
      </c>
      <c r="S374">
        <v>0</v>
      </c>
      <c r="T374" t="s">
        <v>46</v>
      </c>
      <c r="U374" t="s">
        <v>46</v>
      </c>
      <c r="V374">
        <v>0</v>
      </c>
      <c r="W374" t="s">
        <v>38</v>
      </c>
      <c r="X374">
        <v>9</v>
      </c>
      <c r="Z374">
        <v>0</v>
      </c>
      <c r="AA374" t="s">
        <v>39</v>
      </c>
      <c r="AB374">
        <v>151</v>
      </c>
      <c r="AC374">
        <v>0</v>
      </c>
      <c r="AD374">
        <v>2</v>
      </c>
      <c r="AE374" t="s">
        <v>40</v>
      </c>
      <c r="AF374" s="1">
        <v>42558</v>
      </c>
    </row>
    <row r="375" spans="1:32" x14ac:dyDescent="0.25">
      <c r="A375" t="s">
        <v>32</v>
      </c>
      <c r="B375">
        <v>1</v>
      </c>
      <c r="C375">
        <v>237</v>
      </c>
      <c r="D375">
        <v>2017</v>
      </c>
      <c r="E375" t="s">
        <v>69</v>
      </c>
      <c r="F375">
        <v>18</v>
      </c>
      <c r="G375">
        <v>3</v>
      </c>
      <c r="H375">
        <v>0</v>
      </c>
      <c r="I375">
        <v>1</v>
      </c>
      <c r="J375">
        <v>2</v>
      </c>
      <c r="K375">
        <v>0</v>
      </c>
      <c r="L375">
        <v>0</v>
      </c>
      <c r="M375" t="s">
        <v>60</v>
      </c>
      <c r="N375" t="s">
        <v>111</v>
      </c>
      <c r="O375" t="s">
        <v>44</v>
      </c>
      <c r="P375" t="s">
        <v>45</v>
      </c>
      <c r="Q375">
        <v>0</v>
      </c>
      <c r="R375">
        <v>0</v>
      </c>
      <c r="S375">
        <v>0</v>
      </c>
      <c r="T375" t="s">
        <v>72</v>
      </c>
      <c r="U375" t="s">
        <v>72</v>
      </c>
      <c r="V375">
        <v>2</v>
      </c>
      <c r="W375" t="s">
        <v>38</v>
      </c>
      <c r="X375">
        <v>240</v>
      </c>
      <c r="Z375">
        <v>0</v>
      </c>
      <c r="AA375" t="s">
        <v>51</v>
      </c>
      <c r="AB375">
        <v>109.8</v>
      </c>
      <c r="AC375">
        <v>0</v>
      </c>
      <c r="AD375">
        <v>0</v>
      </c>
      <c r="AE375" t="s">
        <v>47</v>
      </c>
      <c r="AF375" s="1">
        <v>42733</v>
      </c>
    </row>
    <row r="376" spans="1:32" x14ac:dyDescent="0.25">
      <c r="A376" t="s">
        <v>41</v>
      </c>
      <c r="B376">
        <v>0</v>
      </c>
      <c r="C376">
        <v>46</v>
      </c>
      <c r="D376">
        <v>2016</v>
      </c>
      <c r="E376" t="s">
        <v>42</v>
      </c>
      <c r="F376">
        <v>31</v>
      </c>
      <c r="G376">
        <v>27</v>
      </c>
      <c r="H376">
        <v>0</v>
      </c>
      <c r="I376">
        <v>1</v>
      </c>
      <c r="J376">
        <v>2</v>
      </c>
      <c r="K376">
        <v>1</v>
      </c>
      <c r="L376">
        <v>0</v>
      </c>
      <c r="M376" t="s">
        <v>34</v>
      </c>
      <c r="N376" t="s">
        <v>82</v>
      </c>
      <c r="O376" t="s">
        <v>44</v>
      </c>
      <c r="P376" t="s">
        <v>45</v>
      </c>
      <c r="Q376">
        <v>0</v>
      </c>
      <c r="R376">
        <v>0</v>
      </c>
      <c r="S376">
        <v>0</v>
      </c>
      <c r="T376" t="s">
        <v>46</v>
      </c>
      <c r="U376" t="s">
        <v>72</v>
      </c>
      <c r="V376">
        <v>0</v>
      </c>
      <c r="W376" t="s">
        <v>38</v>
      </c>
      <c r="X376">
        <v>9</v>
      </c>
      <c r="Z376">
        <v>0</v>
      </c>
      <c r="AA376" t="s">
        <v>39</v>
      </c>
      <c r="AB376">
        <v>152.1</v>
      </c>
      <c r="AC376">
        <v>0</v>
      </c>
      <c r="AD376">
        <v>2</v>
      </c>
      <c r="AE376" t="s">
        <v>40</v>
      </c>
      <c r="AF376" s="1">
        <v>42579</v>
      </c>
    </row>
    <row r="377" spans="1:32" x14ac:dyDescent="0.25">
      <c r="A377" t="s">
        <v>41</v>
      </c>
      <c r="B377">
        <v>1</v>
      </c>
      <c r="C377">
        <v>86</v>
      </c>
      <c r="D377">
        <v>2016</v>
      </c>
      <c r="E377" t="s">
        <v>33</v>
      </c>
      <c r="F377">
        <v>52</v>
      </c>
      <c r="G377">
        <v>24</v>
      </c>
      <c r="H377">
        <v>2</v>
      </c>
      <c r="I377">
        <v>3</v>
      </c>
      <c r="J377">
        <v>3</v>
      </c>
      <c r="K377">
        <v>0</v>
      </c>
      <c r="L377">
        <v>0</v>
      </c>
      <c r="M377" t="s">
        <v>34</v>
      </c>
      <c r="N377" t="s">
        <v>56</v>
      </c>
      <c r="O377" t="s">
        <v>44</v>
      </c>
      <c r="P377" t="s">
        <v>45</v>
      </c>
      <c r="Q377">
        <v>0</v>
      </c>
      <c r="R377">
        <v>0</v>
      </c>
      <c r="S377">
        <v>0</v>
      </c>
      <c r="T377" t="s">
        <v>57</v>
      </c>
      <c r="U377" t="s">
        <v>57</v>
      </c>
      <c r="V377">
        <v>0</v>
      </c>
      <c r="W377" t="s">
        <v>38</v>
      </c>
      <c r="X377">
        <v>9</v>
      </c>
      <c r="Z377">
        <v>0</v>
      </c>
      <c r="AA377" t="s">
        <v>39</v>
      </c>
      <c r="AB377">
        <v>119</v>
      </c>
      <c r="AC377">
        <v>0</v>
      </c>
      <c r="AD377">
        <v>2</v>
      </c>
      <c r="AE377" t="s">
        <v>47</v>
      </c>
      <c r="AF377" s="1">
        <v>42704</v>
      </c>
    </row>
    <row r="378" spans="1:32" x14ac:dyDescent="0.25">
      <c r="A378" t="s">
        <v>41</v>
      </c>
      <c r="B378">
        <v>1</v>
      </c>
      <c r="C378">
        <v>265</v>
      </c>
      <c r="D378">
        <v>2016</v>
      </c>
      <c r="E378" t="s">
        <v>54</v>
      </c>
      <c r="F378">
        <v>17</v>
      </c>
      <c r="G378">
        <v>20</v>
      </c>
      <c r="H378">
        <v>0</v>
      </c>
      <c r="I378">
        <v>4</v>
      </c>
      <c r="J378">
        <v>2</v>
      </c>
      <c r="K378">
        <v>0</v>
      </c>
      <c r="L378">
        <v>0</v>
      </c>
      <c r="M378" t="s">
        <v>34</v>
      </c>
      <c r="N378" t="s">
        <v>43</v>
      </c>
      <c r="O378" t="s">
        <v>64</v>
      </c>
      <c r="P378" t="s">
        <v>45</v>
      </c>
      <c r="Q378">
        <v>0</v>
      </c>
      <c r="R378">
        <v>0</v>
      </c>
      <c r="S378">
        <v>0</v>
      </c>
      <c r="T378" t="s">
        <v>46</v>
      </c>
      <c r="U378" t="s">
        <v>46</v>
      </c>
      <c r="V378">
        <v>0</v>
      </c>
      <c r="W378" t="s">
        <v>68</v>
      </c>
      <c r="X378">
        <v>30</v>
      </c>
      <c r="Z378">
        <v>0</v>
      </c>
      <c r="AA378" t="s">
        <v>39</v>
      </c>
      <c r="AB378">
        <v>101</v>
      </c>
      <c r="AC378">
        <v>0</v>
      </c>
      <c r="AD378">
        <v>0</v>
      </c>
      <c r="AE378" t="s">
        <v>47</v>
      </c>
      <c r="AF378" s="1">
        <v>42215</v>
      </c>
    </row>
    <row r="379" spans="1:32" x14ac:dyDescent="0.25">
      <c r="A379" t="s">
        <v>41</v>
      </c>
      <c r="B379">
        <v>1</v>
      </c>
      <c r="C379">
        <v>52</v>
      </c>
      <c r="D379">
        <v>2017</v>
      </c>
      <c r="E379" t="s">
        <v>74</v>
      </c>
      <c r="F379">
        <v>1</v>
      </c>
      <c r="G379">
        <v>6</v>
      </c>
      <c r="H379">
        <v>2</v>
      </c>
      <c r="I379">
        <v>2</v>
      </c>
      <c r="J379">
        <v>2</v>
      </c>
      <c r="K379">
        <v>0</v>
      </c>
      <c r="L379">
        <v>0</v>
      </c>
      <c r="M379" t="s">
        <v>34</v>
      </c>
      <c r="N379" t="s">
        <v>106</v>
      </c>
      <c r="O379" t="s">
        <v>44</v>
      </c>
      <c r="P379" t="s">
        <v>45</v>
      </c>
      <c r="Q379">
        <v>1</v>
      </c>
      <c r="R379">
        <v>1</v>
      </c>
      <c r="S379">
        <v>1</v>
      </c>
      <c r="T379" t="s">
        <v>46</v>
      </c>
      <c r="U379" t="s">
        <v>46</v>
      </c>
      <c r="V379">
        <v>0</v>
      </c>
      <c r="W379" t="s">
        <v>38</v>
      </c>
      <c r="X379">
        <v>9</v>
      </c>
      <c r="Z379">
        <v>0</v>
      </c>
      <c r="AA379" t="s">
        <v>39</v>
      </c>
      <c r="AB379">
        <v>88.4</v>
      </c>
      <c r="AC379">
        <v>0</v>
      </c>
      <c r="AD379">
        <v>2</v>
      </c>
      <c r="AE379" t="s">
        <v>47</v>
      </c>
      <c r="AF379" s="1">
        <v>42726</v>
      </c>
    </row>
    <row r="380" spans="1:32" x14ac:dyDescent="0.25">
      <c r="A380" t="s">
        <v>32</v>
      </c>
      <c r="B380">
        <v>0</v>
      </c>
      <c r="C380">
        <v>47</v>
      </c>
      <c r="D380">
        <v>2016</v>
      </c>
      <c r="E380" t="s">
        <v>61</v>
      </c>
      <c r="F380">
        <v>47</v>
      </c>
      <c r="G380">
        <v>19</v>
      </c>
      <c r="H380">
        <v>2</v>
      </c>
      <c r="I380">
        <v>3</v>
      </c>
      <c r="J380">
        <v>2</v>
      </c>
      <c r="K380">
        <v>0</v>
      </c>
      <c r="L380">
        <v>0</v>
      </c>
      <c r="M380" t="s">
        <v>34</v>
      </c>
      <c r="N380" t="s">
        <v>115</v>
      </c>
      <c r="O380" t="s">
        <v>44</v>
      </c>
      <c r="P380" t="s">
        <v>45</v>
      </c>
      <c r="Q380">
        <v>0</v>
      </c>
      <c r="R380">
        <v>0</v>
      </c>
      <c r="S380">
        <v>0</v>
      </c>
      <c r="T380" t="s">
        <v>46</v>
      </c>
      <c r="U380" t="s">
        <v>46</v>
      </c>
      <c r="V380">
        <v>0</v>
      </c>
      <c r="W380" t="s">
        <v>38</v>
      </c>
      <c r="X380">
        <v>240</v>
      </c>
      <c r="Z380">
        <v>0</v>
      </c>
      <c r="AA380" t="s">
        <v>39</v>
      </c>
      <c r="AB380">
        <v>37.799999999999997</v>
      </c>
      <c r="AC380">
        <v>0</v>
      </c>
      <c r="AD380">
        <v>2</v>
      </c>
      <c r="AE380" t="s">
        <v>40</v>
      </c>
      <c r="AF380" s="1">
        <v>42698</v>
      </c>
    </row>
    <row r="381" spans="1:32" x14ac:dyDescent="0.25">
      <c r="A381" t="s">
        <v>41</v>
      </c>
      <c r="B381">
        <v>1</v>
      </c>
      <c r="C381">
        <v>47</v>
      </c>
      <c r="D381">
        <v>2017</v>
      </c>
      <c r="E381" t="s">
        <v>42</v>
      </c>
      <c r="F381">
        <v>27</v>
      </c>
      <c r="G381">
        <v>3</v>
      </c>
      <c r="H381">
        <v>1</v>
      </c>
      <c r="I381">
        <v>3</v>
      </c>
      <c r="J381">
        <v>3</v>
      </c>
      <c r="K381">
        <v>0</v>
      </c>
      <c r="L381">
        <v>0</v>
      </c>
      <c r="M381" t="s">
        <v>34</v>
      </c>
      <c r="N381" t="s">
        <v>95</v>
      </c>
      <c r="O381" t="s">
        <v>44</v>
      </c>
      <c r="P381" t="s">
        <v>45</v>
      </c>
      <c r="Q381">
        <v>0</v>
      </c>
      <c r="R381">
        <v>0</v>
      </c>
      <c r="S381">
        <v>0</v>
      </c>
      <c r="T381" t="s">
        <v>72</v>
      </c>
      <c r="U381" t="s">
        <v>72</v>
      </c>
      <c r="V381">
        <v>0</v>
      </c>
      <c r="W381" t="s">
        <v>38</v>
      </c>
      <c r="X381">
        <v>9</v>
      </c>
      <c r="Z381">
        <v>0</v>
      </c>
      <c r="AA381" t="s">
        <v>39</v>
      </c>
      <c r="AB381">
        <v>234.5</v>
      </c>
      <c r="AC381">
        <v>0</v>
      </c>
      <c r="AD381">
        <v>1</v>
      </c>
      <c r="AE381" t="s">
        <v>47</v>
      </c>
      <c r="AF381" s="1">
        <v>42872</v>
      </c>
    </row>
    <row r="382" spans="1:32" x14ac:dyDescent="0.25">
      <c r="A382" t="s">
        <v>32</v>
      </c>
      <c r="B382">
        <v>0</v>
      </c>
      <c r="C382">
        <v>2</v>
      </c>
      <c r="D382">
        <v>2017</v>
      </c>
      <c r="E382" t="s">
        <v>66</v>
      </c>
      <c r="F382">
        <v>8</v>
      </c>
      <c r="G382">
        <v>23</v>
      </c>
      <c r="H382">
        <v>0</v>
      </c>
      <c r="I382">
        <v>2</v>
      </c>
      <c r="J382">
        <v>1</v>
      </c>
      <c r="K382">
        <v>0</v>
      </c>
      <c r="L382">
        <v>0</v>
      </c>
      <c r="M382" t="s">
        <v>77</v>
      </c>
      <c r="N382" t="s">
        <v>63</v>
      </c>
      <c r="O382" t="s">
        <v>64</v>
      </c>
      <c r="P382" t="s">
        <v>45</v>
      </c>
      <c r="Q382">
        <v>0</v>
      </c>
      <c r="R382">
        <v>0</v>
      </c>
      <c r="S382">
        <v>0</v>
      </c>
      <c r="T382" t="s">
        <v>46</v>
      </c>
      <c r="U382" t="s">
        <v>46</v>
      </c>
      <c r="V382">
        <v>1</v>
      </c>
      <c r="W382" t="s">
        <v>38</v>
      </c>
      <c r="X382">
        <v>68</v>
      </c>
      <c r="Z382">
        <v>0</v>
      </c>
      <c r="AA382" t="s">
        <v>51</v>
      </c>
      <c r="AB382">
        <v>0</v>
      </c>
      <c r="AC382">
        <v>0</v>
      </c>
      <c r="AD382">
        <v>0</v>
      </c>
      <c r="AE382" t="s">
        <v>40</v>
      </c>
      <c r="AF382" s="1">
        <v>42791</v>
      </c>
    </row>
    <row r="383" spans="1:32" x14ac:dyDescent="0.25">
      <c r="A383" t="s">
        <v>32</v>
      </c>
      <c r="B383">
        <v>0</v>
      </c>
      <c r="C383">
        <v>199</v>
      </c>
      <c r="D383">
        <v>2016</v>
      </c>
      <c r="E383" t="s">
        <v>69</v>
      </c>
      <c r="F383">
        <v>19</v>
      </c>
      <c r="G383">
        <v>2</v>
      </c>
      <c r="H383">
        <v>1</v>
      </c>
      <c r="I383">
        <v>1</v>
      </c>
      <c r="J383">
        <v>2</v>
      </c>
      <c r="K383">
        <v>0</v>
      </c>
      <c r="L383">
        <v>0</v>
      </c>
      <c r="M383" t="s">
        <v>60</v>
      </c>
      <c r="N383" t="s">
        <v>56</v>
      </c>
      <c r="O383" t="s">
        <v>64</v>
      </c>
      <c r="P383" t="s">
        <v>45</v>
      </c>
      <c r="Q383">
        <v>0</v>
      </c>
      <c r="R383">
        <v>0</v>
      </c>
      <c r="S383">
        <v>0</v>
      </c>
      <c r="T383" t="s">
        <v>46</v>
      </c>
      <c r="U383" t="s">
        <v>46</v>
      </c>
      <c r="V383">
        <v>0</v>
      </c>
      <c r="W383" t="s">
        <v>38</v>
      </c>
      <c r="X383">
        <v>298</v>
      </c>
      <c r="Z383">
        <v>0</v>
      </c>
      <c r="AA383" t="s">
        <v>51</v>
      </c>
      <c r="AB383">
        <v>85</v>
      </c>
      <c r="AC383">
        <v>0</v>
      </c>
      <c r="AD383">
        <v>0</v>
      </c>
      <c r="AE383" t="s">
        <v>40</v>
      </c>
      <c r="AF383" s="1">
        <v>42494</v>
      </c>
    </row>
    <row r="384" spans="1:32" x14ac:dyDescent="0.25">
      <c r="A384" t="s">
        <v>41</v>
      </c>
      <c r="B384">
        <v>0</v>
      </c>
      <c r="C384">
        <v>99</v>
      </c>
      <c r="D384">
        <v>2017</v>
      </c>
      <c r="E384" t="s">
        <v>83</v>
      </c>
      <c r="F384">
        <v>23</v>
      </c>
      <c r="G384">
        <v>9</v>
      </c>
      <c r="H384">
        <v>0</v>
      </c>
      <c r="I384">
        <v>1</v>
      </c>
      <c r="J384">
        <v>1</v>
      </c>
      <c r="K384">
        <v>0</v>
      </c>
      <c r="L384">
        <v>0</v>
      </c>
      <c r="M384" t="s">
        <v>60</v>
      </c>
      <c r="N384" t="s">
        <v>48</v>
      </c>
      <c r="O384" t="s">
        <v>44</v>
      </c>
      <c r="P384" t="s">
        <v>45</v>
      </c>
      <c r="Q384">
        <v>0</v>
      </c>
      <c r="R384">
        <v>0</v>
      </c>
      <c r="S384">
        <v>0</v>
      </c>
      <c r="T384" t="s">
        <v>57</v>
      </c>
      <c r="U384" t="s">
        <v>57</v>
      </c>
      <c r="V384">
        <v>0</v>
      </c>
      <c r="W384" t="s">
        <v>38</v>
      </c>
      <c r="X384">
        <v>7</v>
      </c>
      <c r="Z384">
        <v>0</v>
      </c>
      <c r="AA384" t="s">
        <v>39</v>
      </c>
      <c r="AB384">
        <v>146.16</v>
      </c>
      <c r="AC384">
        <v>0</v>
      </c>
      <c r="AD384">
        <v>0</v>
      </c>
      <c r="AE384" t="s">
        <v>40</v>
      </c>
      <c r="AF384" s="1">
        <v>42896</v>
      </c>
    </row>
    <row r="385" spans="1:32" x14ac:dyDescent="0.25">
      <c r="A385" t="s">
        <v>41</v>
      </c>
      <c r="B385">
        <v>0</v>
      </c>
      <c r="C385">
        <v>246</v>
      </c>
      <c r="D385">
        <v>2017</v>
      </c>
      <c r="E385" t="s">
        <v>42</v>
      </c>
      <c r="F385">
        <v>28</v>
      </c>
      <c r="G385">
        <v>10</v>
      </c>
      <c r="H385">
        <v>1</v>
      </c>
      <c r="I385">
        <v>0</v>
      </c>
      <c r="J385">
        <v>2</v>
      </c>
      <c r="K385">
        <v>0</v>
      </c>
      <c r="L385">
        <v>0</v>
      </c>
      <c r="M385" t="s">
        <v>34</v>
      </c>
      <c r="N385" t="s">
        <v>56</v>
      </c>
      <c r="O385" t="s">
        <v>44</v>
      </c>
      <c r="P385" t="s">
        <v>45</v>
      </c>
      <c r="Q385">
        <v>0</v>
      </c>
      <c r="R385">
        <v>0</v>
      </c>
      <c r="S385">
        <v>0</v>
      </c>
      <c r="T385" t="s">
        <v>46</v>
      </c>
      <c r="U385" t="s">
        <v>46</v>
      </c>
      <c r="V385">
        <v>0</v>
      </c>
      <c r="W385" t="s">
        <v>38</v>
      </c>
      <c r="X385">
        <v>9</v>
      </c>
      <c r="Z385">
        <v>0</v>
      </c>
      <c r="AA385" t="s">
        <v>39</v>
      </c>
      <c r="AB385">
        <v>107.1</v>
      </c>
      <c r="AC385">
        <v>0</v>
      </c>
      <c r="AD385">
        <v>1</v>
      </c>
      <c r="AE385" t="s">
        <v>40</v>
      </c>
      <c r="AF385" s="1">
        <v>42927</v>
      </c>
    </row>
    <row r="386" spans="1:32" x14ac:dyDescent="0.25">
      <c r="A386" t="s">
        <v>41</v>
      </c>
      <c r="B386">
        <v>1</v>
      </c>
      <c r="C386">
        <v>97</v>
      </c>
      <c r="D386">
        <v>2017</v>
      </c>
      <c r="E386" t="s">
        <v>42</v>
      </c>
      <c r="F386">
        <v>28</v>
      </c>
      <c r="G386">
        <v>11</v>
      </c>
      <c r="H386">
        <v>0</v>
      </c>
      <c r="I386">
        <v>3</v>
      </c>
      <c r="J386">
        <v>2</v>
      </c>
      <c r="K386">
        <v>0</v>
      </c>
      <c r="L386">
        <v>0</v>
      </c>
      <c r="M386" t="s">
        <v>34</v>
      </c>
      <c r="N386" t="s">
        <v>91</v>
      </c>
      <c r="O386" t="s">
        <v>44</v>
      </c>
      <c r="P386" t="s">
        <v>45</v>
      </c>
      <c r="Q386">
        <v>0</v>
      </c>
      <c r="R386">
        <v>0</v>
      </c>
      <c r="S386">
        <v>0</v>
      </c>
      <c r="T386" t="s">
        <v>57</v>
      </c>
      <c r="U386" t="s">
        <v>57</v>
      </c>
      <c r="V386">
        <v>0</v>
      </c>
      <c r="W386" t="s">
        <v>38</v>
      </c>
      <c r="X386">
        <v>9</v>
      </c>
      <c r="Z386">
        <v>0</v>
      </c>
      <c r="AA386" t="s">
        <v>39</v>
      </c>
      <c r="AB386">
        <v>150</v>
      </c>
      <c r="AC386">
        <v>0</v>
      </c>
      <c r="AD386">
        <v>2</v>
      </c>
      <c r="AE386" t="s">
        <v>47</v>
      </c>
      <c r="AF386" s="1">
        <v>42831</v>
      </c>
    </row>
    <row r="387" spans="1:32" x14ac:dyDescent="0.25">
      <c r="A387" t="s">
        <v>32</v>
      </c>
      <c r="B387">
        <v>1</v>
      </c>
      <c r="C387">
        <v>250</v>
      </c>
      <c r="D387">
        <v>2017</v>
      </c>
      <c r="E387" t="s">
        <v>83</v>
      </c>
      <c r="F387">
        <v>26</v>
      </c>
      <c r="G387">
        <v>26</v>
      </c>
      <c r="H387">
        <v>1</v>
      </c>
      <c r="I387">
        <v>4</v>
      </c>
      <c r="J387">
        <v>2</v>
      </c>
      <c r="K387">
        <v>1</v>
      </c>
      <c r="L387">
        <v>0</v>
      </c>
      <c r="M387" t="s">
        <v>34</v>
      </c>
      <c r="N387" t="s">
        <v>63</v>
      </c>
      <c r="O387" t="s">
        <v>36</v>
      </c>
      <c r="P387" t="s">
        <v>36</v>
      </c>
      <c r="Q387">
        <v>0</v>
      </c>
      <c r="R387">
        <v>0</v>
      </c>
      <c r="S387">
        <v>0</v>
      </c>
      <c r="T387" t="s">
        <v>46</v>
      </c>
      <c r="U387" t="s">
        <v>46</v>
      </c>
      <c r="V387">
        <v>2</v>
      </c>
      <c r="W387" t="s">
        <v>38</v>
      </c>
      <c r="X387">
        <v>250</v>
      </c>
      <c r="Z387">
        <v>0</v>
      </c>
      <c r="AA387" t="s">
        <v>39</v>
      </c>
      <c r="AB387">
        <v>132.6</v>
      </c>
      <c r="AC387">
        <v>0</v>
      </c>
      <c r="AD387">
        <v>0</v>
      </c>
      <c r="AE387" t="s">
        <v>47</v>
      </c>
      <c r="AF387" s="1">
        <v>42884</v>
      </c>
    </row>
    <row r="388" spans="1:32" x14ac:dyDescent="0.25">
      <c r="A388" t="s">
        <v>32</v>
      </c>
      <c r="B388">
        <v>1</v>
      </c>
      <c r="C388">
        <v>106</v>
      </c>
      <c r="D388">
        <v>2016</v>
      </c>
      <c r="E388" t="s">
        <v>52</v>
      </c>
      <c r="F388">
        <v>13</v>
      </c>
      <c r="G388">
        <v>24</v>
      </c>
      <c r="H388">
        <v>1</v>
      </c>
      <c r="I388">
        <v>3</v>
      </c>
      <c r="J388">
        <v>2</v>
      </c>
      <c r="K388">
        <v>0</v>
      </c>
      <c r="L388">
        <v>0</v>
      </c>
      <c r="M388" t="s">
        <v>90</v>
      </c>
      <c r="N388" t="s">
        <v>43</v>
      </c>
      <c r="O388" t="s">
        <v>64</v>
      </c>
      <c r="P388" t="s">
        <v>36</v>
      </c>
      <c r="Q388">
        <v>0</v>
      </c>
      <c r="R388">
        <v>0</v>
      </c>
      <c r="S388">
        <v>0</v>
      </c>
      <c r="T388" t="s">
        <v>46</v>
      </c>
      <c r="U388" t="s">
        <v>46</v>
      </c>
      <c r="V388">
        <v>0</v>
      </c>
      <c r="W388" t="s">
        <v>68</v>
      </c>
      <c r="X388">
        <v>68</v>
      </c>
      <c r="Z388">
        <v>0</v>
      </c>
      <c r="AA388" t="s">
        <v>39</v>
      </c>
      <c r="AB388">
        <v>84</v>
      </c>
      <c r="AC388">
        <v>0</v>
      </c>
      <c r="AD388">
        <v>0</v>
      </c>
      <c r="AE388" t="s">
        <v>47</v>
      </c>
      <c r="AF388" s="1">
        <v>42391</v>
      </c>
    </row>
    <row r="389" spans="1:32" x14ac:dyDescent="0.25">
      <c r="A389" t="s">
        <v>41</v>
      </c>
      <c r="B389">
        <v>0</v>
      </c>
      <c r="C389">
        <v>4</v>
      </c>
      <c r="D389">
        <v>2016</v>
      </c>
      <c r="E389" t="s">
        <v>62</v>
      </c>
      <c r="F389">
        <v>39</v>
      </c>
      <c r="G389">
        <v>20</v>
      </c>
      <c r="H389">
        <v>0</v>
      </c>
      <c r="I389">
        <v>1</v>
      </c>
      <c r="J389">
        <v>2</v>
      </c>
      <c r="K389">
        <v>1</v>
      </c>
      <c r="L389">
        <v>0</v>
      </c>
      <c r="M389" t="s">
        <v>55</v>
      </c>
      <c r="N389" t="s">
        <v>43</v>
      </c>
      <c r="O389" t="s">
        <v>49</v>
      </c>
      <c r="P389" t="s">
        <v>45</v>
      </c>
      <c r="Q389">
        <v>0</v>
      </c>
      <c r="R389">
        <v>0</v>
      </c>
      <c r="S389">
        <v>0</v>
      </c>
      <c r="T389" t="s">
        <v>46</v>
      </c>
      <c r="U389" t="s">
        <v>46</v>
      </c>
      <c r="V389">
        <v>0</v>
      </c>
      <c r="W389" t="s">
        <v>38</v>
      </c>
      <c r="X389">
        <v>15</v>
      </c>
      <c r="Z389">
        <v>0</v>
      </c>
      <c r="AA389" t="s">
        <v>39</v>
      </c>
      <c r="AB389">
        <v>152.19999999999999</v>
      </c>
      <c r="AC389">
        <v>0</v>
      </c>
      <c r="AD389">
        <v>0</v>
      </c>
      <c r="AE389" t="s">
        <v>40</v>
      </c>
      <c r="AF389" s="1">
        <v>42634</v>
      </c>
    </row>
    <row r="390" spans="1:32" x14ac:dyDescent="0.25">
      <c r="A390" t="s">
        <v>32</v>
      </c>
      <c r="B390">
        <v>0</v>
      </c>
      <c r="C390">
        <v>54</v>
      </c>
      <c r="D390">
        <v>2015</v>
      </c>
      <c r="E390" t="s">
        <v>62</v>
      </c>
      <c r="F390">
        <v>36</v>
      </c>
      <c r="G390">
        <v>5</v>
      </c>
      <c r="H390">
        <v>2</v>
      </c>
      <c r="I390">
        <v>5</v>
      </c>
      <c r="J390">
        <v>2</v>
      </c>
      <c r="K390">
        <v>0</v>
      </c>
      <c r="L390">
        <v>0</v>
      </c>
      <c r="M390" t="s">
        <v>34</v>
      </c>
      <c r="N390" t="s">
        <v>99</v>
      </c>
      <c r="O390" t="s">
        <v>36</v>
      </c>
      <c r="P390" t="s">
        <v>36</v>
      </c>
      <c r="Q390">
        <v>0</v>
      </c>
      <c r="R390">
        <v>0</v>
      </c>
      <c r="S390">
        <v>0</v>
      </c>
      <c r="T390" t="s">
        <v>46</v>
      </c>
      <c r="U390" t="s">
        <v>46</v>
      </c>
      <c r="V390">
        <v>0</v>
      </c>
      <c r="W390" t="s">
        <v>38</v>
      </c>
      <c r="X390">
        <v>250</v>
      </c>
      <c r="Z390">
        <v>0</v>
      </c>
      <c r="AA390" t="s">
        <v>39</v>
      </c>
      <c r="AB390">
        <v>98</v>
      </c>
      <c r="AC390">
        <v>0</v>
      </c>
      <c r="AD390">
        <v>2</v>
      </c>
      <c r="AE390" t="s">
        <v>40</v>
      </c>
      <c r="AF390" s="1">
        <v>42259</v>
      </c>
    </row>
    <row r="391" spans="1:32" x14ac:dyDescent="0.25">
      <c r="A391" t="s">
        <v>41</v>
      </c>
      <c r="B391">
        <v>1</v>
      </c>
      <c r="C391">
        <v>179</v>
      </c>
      <c r="D391">
        <v>2016</v>
      </c>
      <c r="E391" t="s">
        <v>62</v>
      </c>
      <c r="F391">
        <v>36</v>
      </c>
      <c r="G391">
        <v>2</v>
      </c>
      <c r="H391">
        <v>2</v>
      </c>
      <c r="I391">
        <v>5</v>
      </c>
      <c r="J391">
        <v>0</v>
      </c>
      <c r="K391">
        <v>2</v>
      </c>
      <c r="L391">
        <v>0</v>
      </c>
      <c r="M391" t="s">
        <v>34</v>
      </c>
      <c r="N391" t="s">
        <v>63</v>
      </c>
      <c r="O391" t="s">
        <v>44</v>
      </c>
      <c r="P391" t="s">
        <v>45</v>
      </c>
      <c r="Q391">
        <v>0</v>
      </c>
      <c r="R391">
        <v>0</v>
      </c>
      <c r="S391">
        <v>0</v>
      </c>
      <c r="T391" t="s">
        <v>86</v>
      </c>
      <c r="U391" t="s">
        <v>86</v>
      </c>
      <c r="V391">
        <v>3</v>
      </c>
      <c r="W391" t="s">
        <v>38</v>
      </c>
      <c r="X391">
        <v>9</v>
      </c>
      <c r="Z391">
        <v>0</v>
      </c>
      <c r="AA391" t="s">
        <v>51</v>
      </c>
      <c r="AB391">
        <v>121.01</v>
      </c>
      <c r="AC391">
        <v>0</v>
      </c>
      <c r="AD391">
        <v>0</v>
      </c>
      <c r="AE391" t="s">
        <v>47</v>
      </c>
      <c r="AF391" s="1">
        <v>42614</v>
      </c>
    </row>
    <row r="392" spans="1:32" x14ac:dyDescent="0.25">
      <c r="A392" t="s">
        <v>41</v>
      </c>
      <c r="B392">
        <v>0</v>
      </c>
      <c r="C392">
        <v>127</v>
      </c>
      <c r="D392">
        <v>2017</v>
      </c>
      <c r="E392" t="s">
        <v>67</v>
      </c>
      <c r="F392">
        <v>33</v>
      </c>
      <c r="G392">
        <v>16</v>
      </c>
      <c r="H392">
        <v>2</v>
      </c>
      <c r="I392">
        <v>5</v>
      </c>
      <c r="J392">
        <v>2</v>
      </c>
      <c r="K392">
        <v>0</v>
      </c>
      <c r="L392">
        <v>0</v>
      </c>
      <c r="M392" t="s">
        <v>34</v>
      </c>
      <c r="N392" t="s">
        <v>99</v>
      </c>
      <c r="O392" t="s">
        <v>49</v>
      </c>
      <c r="P392" t="s">
        <v>45</v>
      </c>
      <c r="Q392">
        <v>0</v>
      </c>
      <c r="R392">
        <v>0</v>
      </c>
      <c r="S392">
        <v>0</v>
      </c>
      <c r="T392" t="s">
        <v>46</v>
      </c>
      <c r="U392" t="s">
        <v>46</v>
      </c>
      <c r="V392">
        <v>0</v>
      </c>
      <c r="W392" t="s">
        <v>38</v>
      </c>
      <c r="X392">
        <v>262</v>
      </c>
      <c r="Z392">
        <v>0</v>
      </c>
      <c r="AA392" t="s">
        <v>39</v>
      </c>
      <c r="AB392">
        <v>80.099999999999994</v>
      </c>
      <c r="AC392">
        <v>0</v>
      </c>
      <c r="AD392">
        <v>1</v>
      </c>
      <c r="AE392" t="s">
        <v>40</v>
      </c>
      <c r="AF392" s="1">
        <v>42970</v>
      </c>
    </row>
    <row r="393" spans="1:32" x14ac:dyDescent="0.25">
      <c r="A393" t="s">
        <v>32</v>
      </c>
      <c r="B393">
        <v>0</v>
      </c>
      <c r="C393">
        <v>74</v>
      </c>
      <c r="D393">
        <v>2017</v>
      </c>
      <c r="E393" t="s">
        <v>52</v>
      </c>
      <c r="F393">
        <v>13</v>
      </c>
      <c r="G393">
        <v>30</v>
      </c>
      <c r="H393">
        <v>2</v>
      </c>
      <c r="I393">
        <v>5</v>
      </c>
      <c r="J393">
        <v>2</v>
      </c>
      <c r="K393">
        <v>2</v>
      </c>
      <c r="L393">
        <v>0</v>
      </c>
      <c r="M393" t="s">
        <v>34</v>
      </c>
      <c r="N393" t="s">
        <v>43</v>
      </c>
      <c r="O393" t="s">
        <v>44</v>
      </c>
      <c r="P393" t="s">
        <v>45</v>
      </c>
      <c r="Q393">
        <v>0</v>
      </c>
      <c r="R393">
        <v>0</v>
      </c>
      <c r="S393">
        <v>0</v>
      </c>
      <c r="T393" t="s">
        <v>84</v>
      </c>
      <c r="U393" t="s">
        <v>84</v>
      </c>
      <c r="V393">
        <v>0</v>
      </c>
      <c r="W393" t="s">
        <v>38</v>
      </c>
      <c r="X393">
        <v>240</v>
      </c>
      <c r="Z393">
        <v>0</v>
      </c>
      <c r="AA393" t="s">
        <v>39</v>
      </c>
      <c r="AB393">
        <v>113.29</v>
      </c>
      <c r="AC393">
        <v>0</v>
      </c>
      <c r="AD393">
        <v>1</v>
      </c>
      <c r="AE393" t="s">
        <v>40</v>
      </c>
      <c r="AF393" s="1">
        <v>42831</v>
      </c>
    </row>
    <row r="394" spans="1:32" x14ac:dyDescent="0.25">
      <c r="A394" t="s">
        <v>32</v>
      </c>
      <c r="B394">
        <v>1</v>
      </c>
      <c r="C394">
        <v>12</v>
      </c>
      <c r="D394">
        <v>2016</v>
      </c>
      <c r="E394" t="s">
        <v>42</v>
      </c>
      <c r="F394">
        <v>31</v>
      </c>
      <c r="G394">
        <v>24</v>
      </c>
      <c r="H394">
        <v>1</v>
      </c>
      <c r="I394">
        <v>0</v>
      </c>
      <c r="J394">
        <v>2</v>
      </c>
      <c r="K394">
        <v>0</v>
      </c>
      <c r="L394">
        <v>0</v>
      </c>
      <c r="M394" t="s">
        <v>34</v>
      </c>
      <c r="N394" t="s">
        <v>43</v>
      </c>
      <c r="O394" t="s">
        <v>36</v>
      </c>
      <c r="P394" t="s">
        <v>36</v>
      </c>
      <c r="Q394">
        <v>0</v>
      </c>
      <c r="R394">
        <v>0</v>
      </c>
      <c r="S394">
        <v>0</v>
      </c>
      <c r="T394" t="s">
        <v>46</v>
      </c>
      <c r="U394" t="s">
        <v>46</v>
      </c>
      <c r="V394">
        <v>0</v>
      </c>
      <c r="W394" t="s">
        <v>38</v>
      </c>
      <c r="Z394">
        <v>0</v>
      </c>
      <c r="AA394" t="s">
        <v>51</v>
      </c>
      <c r="AB394">
        <v>126</v>
      </c>
      <c r="AC394">
        <v>0</v>
      </c>
      <c r="AD394">
        <v>0</v>
      </c>
      <c r="AE394" t="s">
        <v>47</v>
      </c>
      <c r="AF394" s="1">
        <v>42564</v>
      </c>
    </row>
    <row r="395" spans="1:32" x14ac:dyDescent="0.25">
      <c r="A395" t="s">
        <v>32</v>
      </c>
      <c r="B395">
        <v>0</v>
      </c>
      <c r="C395">
        <v>21</v>
      </c>
      <c r="D395">
        <v>2017</v>
      </c>
      <c r="E395" t="s">
        <v>69</v>
      </c>
      <c r="F395">
        <v>22</v>
      </c>
      <c r="G395">
        <v>28</v>
      </c>
      <c r="H395">
        <v>2</v>
      </c>
      <c r="I395">
        <v>1</v>
      </c>
      <c r="J395">
        <v>2</v>
      </c>
      <c r="K395">
        <v>0</v>
      </c>
      <c r="L395">
        <v>0</v>
      </c>
      <c r="M395" t="s">
        <v>34</v>
      </c>
      <c r="N395" t="s">
        <v>43</v>
      </c>
      <c r="O395" t="s">
        <v>44</v>
      </c>
      <c r="P395" t="s">
        <v>45</v>
      </c>
      <c r="Q395">
        <v>0</v>
      </c>
      <c r="R395">
        <v>0</v>
      </c>
      <c r="S395">
        <v>0</v>
      </c>
      <c r="T395" t="s">
        <v>57</v>
      </c>
      <c r="U395" t="s">
        <v>57</v>
      </c>
      <c r="V395">
        <v>0</v>
      </c>
      <c r="W395" t="s">
        <v>38</v>
      </c>
      <c r="X395">
        <v>240</v>
      </c>
      <c r="Z395">
        <v>0</v>
      </c>
      <c r="AA395" t="s">
        <v>39</v>
      </c>
      <c r="AB395">
        <v>142</v>
      </c>
      <c r="AC395">
        <v>0</v>
      </c>
      <c r="AD395">
        <v>3</v>
      </c>
      <c r="AE395" t="s">
        <v>40</v>
      </c>
      <c r="AF395" s="1">
        <v>42886</v>
      </c>
    </row>
    <row r="396" spans="1:32" x14ac:dyDescent="0.25">
      <c r="A396" t="s">
        <v>32</v>
      </c>
      <c r="B396">
        <v>0</v>
      </c>
      <c r="C396">
        <v>0</v>
      </c>
      <c r="D396">
        <v>2017</v>
      </c>
      <c r="E396" t="s">
        <v>74</v>
      </c>
      <c r="F396">
        <v>2</v>
      </c>
      <c r="G396">
        <v>9</v>
      </c>
      <c r="H396">
        <v>1</v>
      </c>
      <c r="I396">
        <v>0</v>
      </c>
      <c r="J396">
        <v>2</v>
      </c>
      <c r="K396">
        <v>0</v>
      </c>
      <c r="L396">
        <v>0</v>
      </c>
      <c r="M396" t="s">
        <v>34</v>
      </c>
      <c r="N396" t="s">
        <v>71</v>
      </c>
      <c r="O396" t="s">
        <v>44</v>
      </c>
      <c r="P396" t="s">
        <v>45</v>
      </c>
      <c r="Q396">
        <v>1</v>
      </c>
      <c r="R396">
        <v>0</v>
      </c>
      <c r="S396">
        <v>0</v>
      </c>
      <c r="T396" t="s">
        <v>46</v>
      </c>
      <c r="U396" t="s">
        <v>46</v>
      </c>
      <c r="V396">
        <v>0</v>
      </c>
      <c r="W396" t="s">
        <v>38</v>
      </c>
      <c r="X396">
        <v>306</v>
      </c>
      <c r="Z396">
        <v>0</v>
      </c>
      <c r="AA396" t="s">
        <v>39</v>
      </c>
      <c r="AB396">
        <v>30.99</v>
      </c>
      <c r="AC396">
        <v>0</v>
      </c>
      <c r="AD396">
        <v>0</v>
      </c>
      <c r="AE396" t="s">
        <v>40</v>
      </c>
      <c r="AF396" s="1">
        <v>42745</v>
      </c>
    </row>
    <row r="397" spans="1:32" x14ac:dyDescent="0.25">
      <c r="A397" t="s">
        <v>32</v>
      </c>
      <c r="B397">
        <v>1</v>
      </c>
      <c r="C397">
        <v>80</v>
      </c>
      <c r="D397">
        <v>2015</v>
      </c>
      <c r="E397" t="s">
        <v>67</v>
      </c>
      <c r="F397">
        <v>31</v>
      </c>
      <c r="G397">
        <v>1</v>
      </c>
      <c r="H397">
        <v>4</v>
      </c>
      <c r="I397">
        <v>6</v>
      </c>
      <c r="J397">
        <v>2</v>
      </c>
      <c r="K397">
        <v>2</v>
      </c>
      <c r="L397">
        <v>0</v>
      </c>
      <c r="M397" t="s">
        <v>34</v>
      </c>
      <c r="N397" t="s">
        <v>43</v>
      </c>
      <c r="O397" t="s">
        <v>44</v>
      </c>
      <c r="P397" t="s">
        <v>45</v>
      </c>
      <c r="Q397">
        <v>0</v>
      </c>
      <c r="R397">
        <v>0</v>
      </c>
      <c r="S397">
        <v>0</v>
      </c>
      <c r="T397" t="s">
        <v>104</v>
      </c>
      <c r="U397" t="s">
        <v>104</v>
      </c>
      <c r="V397">
        <v>0</v>
      </c>
      <c r="W397" t="s">
        <v>38</v>
      </c>
      <c r="X397">
        <v>242</v>
      </c>
      <c r="Z397">
        <v>0</v>
      </c>
      <c r="AA397" t="s">
        <v>39</v>
      </c>
      <c r="AB397">
        <v>169</v>
      </c>
      <c r="AC397">
        <v>0</v>
      </c>
      <c r="AD397">
        <v>1</v>
      </c>
      <c r="AE397" t="s">
        <v>47</v>
      </c>
      <c r="AF397" s="1">
        <v>42206</v>
      </c>
    </row>
    <row r="398" spans="1:32" x14ac:dyDescent="0.25">
      <c r="A398" t="s">
        <v>32</v>
      </c>
      <c r="B398">
        <v>1</v>
      </c>
      <c r="C398">
        <v>57</v>
      </c>
      <c r="D398">
        <v>2017</v>
      </c>
      <c r="E398" t="s">
        <v>52</v>
      </c>
      <c r="F398">
        <v>10</v>
      </c>
      <c r="G398">
        <v>11</v>
      </c>
      <c r="H398">
        <v>2</v>
      </c>
      <c r="I398">
        <v>5</v>
      </c>
      <c r="J398">
        <v>1</v>
      </c>
      <c r="K398">
        <v>0</v>
      </c>
      <c r="L398">
        <v>0</v>
      </c>
      <c r="M398" t="s">
        <v>60</v>
      </c>
      <c r="N398" t="s">
        <v>43</v>
      </c>
      <c r="O398" t="s">
        <v>64</v>
      </c>
      <c r="P398" t="s">
        <v>45</v>
      </c>
      <c r="Q398">
        <v>0</v>
      </c>
      <c r="R398">
        <v>0</v>
      </c>
      <c r="S398">
        <v>0</v>
      </c>
      <c r="T398" t="s">
        <v>57</v>
      </c>
      <c r="U398" t="s">
        <v>57</v>
      </c>
      <c r="V398">
        <v>0</v>
      </c>
      <c r="W398" t="s">
        <v>38</v>
      </c>
      <c r="X398">
        <v>298</v>
      </c>
      <c r="Z398">
        <v>0</v>
      </c>
      <c r="AA398" t="s">
        <v>51</v>
      </c>
      <c r="AB398">
        <v>51</v>
      </c>
      <c r="AC398">
        <v>0</v>
      </c>
      <c r="AD398">
        <v>0</v>
      </c>
      <c r="AE398" t="s">
        <v>47</v>
      </c>
      <c r="AF398" s="1">
        <v>42761</v>
      </c>
    </row>
    <row r="399" spans="1:32" x14ac:dyDescent="0.25">
      <c r="A399" t="s">
        <v>41</v>
      </c>
      <c r="B399">
        <v>1</v>
      </c>
      <c r="C399">
        <v>69</v>
      </c>
      <c r="D399">
        <v>2016</v>
      </c>
      <c r="E399" t="s">
        <v>83</v>
      </c>
      <c r="F399">
        <v>25</v>
      </c>
      <c r="G399">
        <v>12</v>
      </c>
      <c r="H399">
        <v>2</v>
      </c>
      <c r="I399">
        <v>4</v>
      </c>
      <c r="J399">
        <v>1</v>
      </c>
      <c r="K399">
        <v>0</v>
      </c>
      <c r="L399">
        <v>0</v>
      </c>
      <c r="M399" t="s">
        <v>34</v>
      </c>
      <c r="N399" t="s">
        <v>43</v>
      </c>
      <c r="O399" t="s">
        <v>49</v>
      </c>
      <c r="P399" t="s">
        <v>45</v>
      </c>
      <c r="Q399">
        <v>0</v>
      </c>
      <c r="R399">
        <v>0</v>
      </c>
      <c r="S399">
        <v>0</v>
      </c>
      <c r="T399" t="s">
        <v>46</v>
      </c>
      <c r="U399" t="s">
        <v>46</v>
      </c>
      <c r="V399">
        <v>0</v>
      </c>
      <c r="W399" t="s">
        <v>68</v>
      </c>
      <c r="X399">
        <v>236</v>
      </c>
      <c r="Z399">
        <v>0</v>
      </c>
      <c r="AA399" t="s">
        <v>39</v>
      </c>
      <c r="AB399">
        <v>120</v>
      </c>
      <c r="AC399">
        <v>0</v>
      </c>
      <c r="AD399">
        <v>0</v>
      </c>
      <c r="AE399" t="s">
        <v>47</v>
      </c>
      <c r="AF399" s="1">
        <v>42494</v>
      </c>
    </row>
    <row r="400" spans="1:32" x14ac:dyDescent="0.25">
      <c r="A400" t="s">
        <v>41</v>
      </c>
      <c r="B400">
        <v>0</v>
      </c>
      <c r="C400">
        <v>95</v>
      </c>
      <c r="D400">
        <v>2017</v>
      </c>
      <c r="E400" t="s">
        <v>52</v>
      </c>
      <c r="F400">
        <v>12</v>
      </c>
      <c r="G400">
        <v>25</v>
      </c>
      <c r="H400">
        <v>2</v>
      </c>
      <c r="I400">
        <v>3</v>
      </c>
      <c r="J400">
        <v>2</v>
      </c>
      <c r="K400">
        <v>0</v>
      </c>
      <c r="L400">
        <v>0</v>
      </c>
      <c r="M400" t="s">
        <v>34</v>
      </c>
      <c r="N400" t="s">
        <v>56</v>
      </c>
      <c r="O400" t="s">
        <v>49</v>
      </c>
      <c r="P400" t="s">
        <v>45</v>
      </c>
      <c r="Q400">
        <v>0</v>
      </c>
      <c r="R400">
        <v>0</v>
      </c>
      <c r="S400">
        <v>0</v>
      </c>
      <c r="T400" t="s">
        <v>46</v>
      </c>
      <c r="U400" t="s">
        <v>46</v>
      </c>
      <c r="V400">
        <v>0</v>
      </c>
      <c r="W400" t="s">
        <v>38</v>
      </c>
      <c r="X400">
        <v>27</v>
      </c>
      <c r="Z400">
        <v>0</v>
      </c>
      <c r="AA400" t="s">
        <v>39</v>
      </c>
      <c r="AB400">
        <v>72</v>
      </c>
      <c r="AC400">
        <v>0</v>
      </c>
      <c r="AD400">
        <v>0</v>
      </c>
      <c r="AE400" t="s">
        <v>40</v>
      </c>
      <c r="AF400" s="1">
        <v>42824</v>
      </c>
    </row>
    <row r="401" spans="1:32" x14ac:dyDescent="0.25">
      <c r="A401" t="s">
        <v>32</v>
      </c>
      <c r="B401">
        <v>1</v>
      </c>
      <c r="C401">
        <v>16</v>
      </c>
      <c r="D401">
        <v>2015</v>
      </c>
      <c r="E401" t="s">
        <v>42</v>
      </c>
      <c r="F401">
        <v>30</v>
      </c>
      <c r="G401">
        <v>25</v>
      </c>
      <c r="H401">
        <v>1</v>
      </c>
      <c r="I401">
        <v>1</v>
      </c>
      <c r="J401">
        <v>2</v>
      </c>
      <c r="K401">
        <v>0</v>
      </c>
      <c r="L401">
        <v>0</v>
      </c>
      <c r="M401" t="s">
        <v>34</v>
      </c>
      <c r="N401" t="s">
        <v>43</v>
      </c>
      <c r="O401" t="s">
        <v>36</v>
      </c>
      <c r="P401" t="s">
        <v>36</v>
      </c>
      <c r="Q401">
        <v>0</v>
      </c>
      <c r="R401">
        <v>0</v>
      </c>
      <c r="S401">
        <v>0</v>
      </c>
      <c r="T401" t="s">
        <v>46</v>
      </c>
      <c r="U401" t="s">
        <v>46</v>
      </c>
      <c r="V401">
        <v>0</v>
      </c>
      <c r="W401" t="s">
        <v>38</v>
      </c>
      <c r="Z401">
        <v>0</v>
      </c>
      <c r="AA401" t="s">
        <v>39</v>
      </c>
      <c r="AB401">
        <v>134</v>
      </c>
      <c r="AC401">
        <v>0</v>
      </c>
      <c r="AD401">
        <v>0</v>
      </c>
      <c r="AE401" t="s">
        <v>47</v>
      </c>
      <c r="AF401" s="1">
        <v>42208</v>
      </c>
    </row>
    <row r="402" spans="1:32" x14ac:dyDescent="0.25">
      <c r="A402" t="s">
        <v>41</v>
      </c>
      <c r="B402">
        <v>0</v>
      </c>
      <c r="C402">
        <v>50</v>
      </c>
      <c r="D402">
        <v>2016</v>
      </c>
      <c r="E402" t="s">
        <v>33</v>
      </c>
      <c r="F402">
        <v>50</v>
      </c>
      <c r="G402">
        <v>4</v>
      </c>
      <c r="H402">
        <v>2</v>
      </c>
      <c r="I402">
        <v>2</v>
      </c>
      <c r="J402">
        <v>2</v>
      </c>
      <c r="K402">
        <v>0</v>
      </c>
      <c r="L402">
        <v>0</v>
      </c>
      <c r="M402" t="s">
        <v>34</v>
      </c>
      <c r="N402" t="s">
        <v>63</v>
      </c>
      <c r="O402" t="s">
        <v>44</v>
      </c>
      <c r="P402" t="s">
        <v>45</v>
      </c>
      <c r="Q402">
        <v>0</v>
      </c>
      <c r="R402">
        <v>0</v>
      </c>
      <c r="S402">
        <v>0</v>
      </c>
      <c r="T402" t="s">
        <v>46</v>
      </c>
      <c r="U402" t="s">
        <v>46</v>
      </c>
      <c r="V402">
        <v>0</v>
      </c>
      <c r="W402" t="s">
        <v>38</v>
      </c>
      <c r="X402">
        <v>9</v>
      </c>
      <c r="Z402">
        <v>0</v>
      </c>
      <c r="AA402" t="s">
        <v>39</v>
      </c>
      <c r="AB402">
        <v>88.4</v>
      </c>
      <c r="AC402">
        <v>0</v>
      </c>
      <c r="AD402">
        <v>0</v>
      </c>
      <c r="AE402" t="s">
        <v>40</v>
      </c>
      <c r="AF402" s="1">
        <v>42712</v>
      </c>
    </row>
    <row r="403" spans="1:32" x14ac:dyDescent="0.25">
      <c r="A403" t="s">
        <v>32</v>
      </c>
      <c r="B403">
        <v>1</v>
      </c>
      <c r="C403">
        <v>2</v>
      </c>
      <c r="D403">
        <v>2017</v>
      </c>
      <c r="E403" t="s">
        <v>66</v>
      </c>
      <c r="F403">
        <v>8</v>
      </c>
      <c r="G403">
        <v>22</v>
      </c>
      <c r="H403">
        <v>0</v>
      </c>
      <c r="I403">
        <v>4</v>
      </c>
      <c r="J403">
        <v>1</v>
      </c>
      <c r="K403">
        <v>0</v>
      </c>
      <c r="L403">
        <v>0</v>
      </c>
      <c r="M403" t="s">
        <v>34</v>
      </c>
      <c r="N403" t="s">
        <v>43</v>
      </c>
      <c r="O403" t="s">
        <v>64</v>
      </c>
      <c r="P403" t="s">
        <v>36</v>
      </c>
      <c r="Q403">
        <v>0</v>
      </c>
      <c r="R403">
        <v>0</v>
      </c>
      <c r="S403">
        <v>0</v>
      </c>
      <c r="T403" t="s">
        <v>46</v>
      </c>
      <c r="U403" t="s">
        <v>46</v>
      </c>
      <c r="V403">
        <v>0</v>
      </c>
      <c r="W403" t="s">
        <v>38</v>
      </c>
      <c r="Z403">
        <v>0</v>
      </c>
      <c r="AA403" t="s">
        <v>51</v>
      </c>
      <c r="AB403">
        <v>36</v>
      </c>
      <c r="AC403">
        <v>0</v>
      </c>
      <c r="AD403">
        <v>0</v>
      </c>
      <c r="AE403" t="s">
        <v>47</v>
      </c>
      <c r="AF403" s="1">
        <v>42786</v>
      </c>
    </row>
    <row r="404" spans="1:32" x14ac:dyDescent="0.25">
      <c r="A404" t="s">
        <v>41</v>
      </c>
      <c r="B404">
        <v>0</v>
      </c>
      <c r="C404">
        <v>23</v>
      </c>
      <c r="D404">
        <v>2017</v>
      </c>
      <c r="E404" t="s">
        <v>67</v>
      </c>
      <c r="F404">
        <v>31</v>
      </c>
      <c r="G404">
        <v>3</v>
      </c>
      <c r="H404">
        <v>1</v>
      </c>
      <c r="I404">
        <v>3</v>
      </c>
      <c r="J404">
        <v>2</v>
      </c>
      <c r="K404">
        <v>0</v>
      </c>
      <c r="L404">
        <v>0</v>
      </c>
      <c r="M404" t="s">
        <v>55</v>
      </c>
      <c r="N404" t="s">
        <v>111</v>
      </c>
      <c r="O404" t="s">
        <v>44</v>
      </c>
      <c r="P404" t="s">
        <v>45</v>
      </c>
      <c r="Q404">
        <v>0</v>
      </c>
      <c r="R404">
        <v>0</v>
      </c>
      <c r="S404">
        <v>0</v>
      </c>
      <c r="T404" t="s">
        <v>46</v>
      </c>
      <c r="U404" t="s">
        <v>46</v>
      </c>
      <c r="V404">
        <v>1</v>
      </c>
      <c r="W404" t="s">
        <v>38</v>
      </c>
      <c r="X404">
        <v>9</v>
      </c>
      <c r="Z404">
        <v>0</v>
      </c>
      <c r="AA404" t="s">
        <v>39</v>
      </c>
      <c r="AB404">
        <v>147</v>
      </c>
      <c r="AC404">
        <v>0</v>
      </c>
      <c r="AD404">
        <v>1</v>
      </c>
      <c r="AE404" t="s">
        <v>40</v>
      </c>
      <c r="AF404" s="1">
        <v>42954</v>
      </c>
    </row>
    <row r="405" spans="1:32" x14ac:dyDescent="0.25">
      <c r="A405" t="s">
        <v>32</v>
      </c>
      <c r="B405">
        <v>1</v>
      </c>
      <c r="C405">
        <v>2</v>
      </c>
      <c r="D405">
        <v>2015</v>
      </c>
      <c r="E405" t="s">
        <v>59</v>
      </c>
      <c r="F405">
        <v>42</v>
      </c>
      <c r="G405">
        <v>14</v>
      </c>
      <c r="H405">
        <v>0</v>
      </c>
      <c r="I405">
        <v>1</v>
      </c>
      <c r="J405">
        <v>1</v>
      </c>
      <c r="K405">
        <v>0</v>
      </c>
      <c r="L405">
        <v>0</v>
      </c>
      <c r="M405" t="s">
        <v>34</v>
      </c>
      <c r="N405" t="s">
        <v>43</v>
      </c>
      <c r="O405" t="s">
        <v>76</v>
      </c>
      <c r="P405" t="s">
        <v>76</v>
      </c>
      <c r="Q405">
        <v>0</v>
      </c>
      <c r="R405">
        <v>1</v>
      </c>
      <c r="S405">
        <v>0</v>
      </c>
      <c r="T405" t="s">
        <v>46</v>
      </c>
      <c r="U405" t="s">
        <v>46</v>
      </c>
      <c r="V405">
        <v>0</v>
      </c>
      <c r="W405" t="s">
        <v>38</v>
      </c>
      <c r="Z405">
        <v>0</v>
      </c>
      <c r="AA405" t="s">
        <v>39</v>
      </c>
      <c r="AB405">
        <v>47</v>
      </c>
      <c r="AC405">
        <v>0</v>
      </c>
      <c r="AD405">
        <v>0</v>
      </c>
      <c r="AE405" t="s">
        <v>47</v>
      </c>
      <c r="AF405" s="1">
        <v>42289</v>
      </c>
    </row>
    <row r="406" spans="1:32" x14ac:dyDescent="0.25">
      <c r="A406" t="s">
        <v>41</v>
      </c>
      <c r="B406">
        <v>0</v>
      </c>
      <c r="C406">
        <v>3</v>
      </c>
      <c r="D406">
        <v>2016</v>
      </c>
      <c r="E406" t="s">
        <v>52</v>
      </c>
      <c r="F406">
        <v>13</v>
      </c>
      <c r="G406">
        <v>25</v>
      </c>
      <c r="H406">
        <v>1</v>
      </c>
      <c r="I406">
        <v>2</v>
      </c>
      <c r="J406">
        <v>2</v>
      </c>
      <c r="K406">
        <v>0</v>
      </c>
      <c r="L406">
        <v>0</v>
      </c>
      <c r="M406" t="s">
        <v>55</v>
      </c>
      <c r="N406" t="s">
        <v>100</v>
      </c>
      <c r="O406" t="s">
        <v>44</v>
      </c>
      <c r="P406" t="s">
        <v>45</v>
      </c>
      <c r="Q406">
        <v>0</v>
      </c>
      <c r="R406">
        <v>0</v>
      </c>
      <c r="S406">
        <v>0</v>
      </c>
      <c r="T406" t="s">
        <v>46</v>
      </c>
      <c r="U406" t="s">
        <v>46</v>
      </c>
      <c r="V406">
        <v>0</v>
      </c>
      <c r="W406" t="s">
        <v>38</v>
      </c>
      <c r="X406">
        <v>9</v>
      </c>
      <c r="Z406">
        <v>0</v>
      </c>
      <c r="AA406" t="s">
        <v>39</v>
      </c>
      <c r="AB406">
        <v>135.66999999999999</v>
      </c>
      <c r="AC406">
        <v>0</v>
      </c>
      <c r="AD406">
        <v>1</v>
      </c>
      <c r="AE406" t="s">
        <v>40</v>
      </c>
      <c r="AF406" s="1">
        <v>42457</v>
      </c>
    </row>
    <row r="407" spans="1:32" x14ac:dyDescent="0.25">
      <c r="A407" t="s">
        <v>32</v>
      </c>
      <c r="B407">
        <v>0</v>
      </c>
      <c r="C407">
        <v>23</v>
      </c>
      <c r="D407">
        <v>2017</v>
      </c>
      <c r="E407" t="s">
        <v>54</v>
      </c>
      <c r="F407">
        <v>16</v>
      </c>
      <c r="G407">
        <v>20</v>
      </c>
      <c r="H407">
        <v>0</v>
      </c>
      <c r="I407">
        <v>3</v>
      </c>
      <c r="J407">
        <v>2</v>
      </c>
      <c r="K407">
        <v>0</v>
      </c>
      <c r="L407">
        <v>0</v>
      </c>
      <c r="M407" t="s">
        <v>34</v>
      </c>
      <c r="N407" t="s">
        <v>35</v>
      </c>
      <c r="O407" t="s">
        <v>64</v>
      </c>
      <c r="P407" t="s">
        <v>36</v>
      </c>
      <c r="Q407">
        <v>0</v>
      </c>
      <c r="R407">
        <v>0</v>
      </c>
      <c r="S407">
        <v>0</v>
      </c>
      <c r="T407" t="s">
        <v>46</v>
      </c>
      <c r="U407" t="s">
        <v>57</v>
      </c>
      <c r="V407">
        <v>0</v>
      </c>
      <c r="W407" t="s">
        <v>38</v>
      </c>
      <c r="Z407">
        <v>0</v>
      </c>
      <c r="AA407" t="s">
        <v>51</v>
      </c>
      <c r="AB407">
        <v>99</v>
      </c>
      <c r="AC407">
        <v>0</v>
      </c>
      <c r="AD407">
        <v>0</v>
      </c>
      <c r="AE407" t="s">
        <v>40</v>
      </c>
      <c r="AF407" s="1">
        <v>42848</v>
      </c>
    </row>
    <row r="408" spans="1:32" x14ac:dyDescent="0.25">
      <c r="A408" t="s">
        <v>41</v>
      </c>
      <c r="B408">
        <v>0</v>
      </c>
      <c r="C408">
        <v>103</v>
      </c>
      <c r="D408">
        <v>2016</v>
      </c>
      <c r="E408" t="s">
        <v>61</v>
      </c>
      <c r="F408">
        <v>46</v>
      </c>
      <c r="G408">
        <v>7</v>
      </c>
      <c r="H408">
        <v>1</v>
      </c>
      <c r="I408">
        <v>3</v>
      </c>
      <c r="J408">
        <v>1</v>
      </c>
      <c r="K408">
        <v>0</v>
      </c>
      <c r="L408">
        <v>0</v>
      </c>
      <c r="M408" t="s">
        <v>34</v>
      </c>
      <c r="N408" t="s">
        <v>109</v>
      </c>
      <c r="O408" t="s">
        <v>44</v>
      </c>
      <c r="P408" t="s">
        <v>45</v>
      </c>
      <c r="Q408">
        <v>0</v>
      </c>
      <c r="R408">
        <v>0</v>
      </c>
      <c r="S408">
        <v>0</v>
      </c>
      <c r="T408" t="s">
        <v>46</v>
      </c>
      <c r="U408" t="s">
        <v>46</v>
      </c>
      <c r="V408">
        <v>0</v>
      </c>
      <c r="W408" t="s">
        <v>38</v>
      </c>
      <c r="X408">
        <v>8</v>
      </c>
      <c r="Z408">
        <v>0</v>
      </c>
      <c r="AA408" t="s">
        <v>39</v>
      </c>
      <c r="AB408">
        <v>187.25</v>
      </c>
      <c r="AC408">
        <v>0</v>
      </c>
      <c r="AD408">
        <v>2</v>
      </c>
      <c r="AE408" t="s">
        <v>40</v>
      </c>
      <c r="AF408" s="1">
        <v>42685</v>
      </c>
    </row>
    <row r="409" spans="1:32" x14ac:dyDescent="0.25">
      <c r="A409" t="s">
        <v>41</v>
      </c>
      <c r="B409">
        <v>0</v>
      </c>
      <c r="C409">
        <v>168</v>
      </c>
      <c r="D409">
        <v>2017</v>
      </c>
      <c r="E409" t="s">
        <v>69</v>
      </c>
      <c r="F409">
        <v>20</v>
      </c>
      <c r="G409">
        <v>14</v>
      </c>
      <c r="H409">
        <v>2</v>
      </c>
      <c r="I409">
        <v>1</v>
      </c>
      <c r="J409">
        <v>2</v>
      </c>
      <c r="K409">
        <v>0</v>
      </c>
      <c r="L409">
        <v>0</v>
      </c>
      <c r="M409" t="s">
        <v>55</v>
      </c>
      <c r="N409" t="s">
        <v>35</v>
      </c>
      <c r="O409" t="s">
        <v>44</v>
      </c>
      <c r="P409" t="s">
        <v>45</v>
      </c>
      <c r="Q409">
        <v>0</v>
      </c>
      <c r="R409">
        <v>0</v>
      </c>
      <c r="S409">
        <v>0</v>
      </c>
      <c r="T409" t="s">
        <v>46</v>
      </c>
      <c r="U409" t="s">
        <v>46</v>
      </c>
      <c r="V409">
        <v>0</v>
      </c>
      <c r="W409" t="s">
        <v>38</v>
      </c>
      <c r="X409">
        <v>9</v>
      </c>
      <c r="Z409">
        <v>0</v>
      </c>
      <c r="AA409" t="s">
        <v>39</v>
      </c>
      <c r="AB409">
        <v>108</v>
      </c>
      <c r="AC409">
        <v>0</v>
      </c>
      <c r="AD409">
        <v>0</v>
      </c>
      <c r="AE409" t="s">
        <v>40</v>
      </c>
      <c r="AF409" s="1">
        <v>42872</v>
      </c>
    </row>
    <row r="410" spans="1:32" x14ac:dyDescent="0.25">
      <c r="A410" t="s">
        <v>41</v>
      </c>
      <c r="B410">
        <v>0</v>
      </c>
      <c r="C410">
        <v>260</v>
      </c>
      <c r="D410">
        <v>2016</v>
      </c>
      <c r="E410" t="s">
        <v>59</v>
      </c>
      <c r="F410">
        <v>43</v>
      </c>
      <c r="G410">
        <v>22</v>
      </c>
      <c r="H410">
        <v>2</v>
      </c>
      <c r="I410">
        <v>5</v>
      </c>
      <c r="J410">
        <v>2</v>
      </c>
      <c r="K410">
        <v>1</v>
      </c>
      <c r="L410">
        <v>0</v>
      </c>
      <c r="M410" t="s">
        <v>34</v>
      </c>
      <c r="N410" t="s">
        <v>70</v>
      </c>
      <c r="O410" t="s">
        <v>44</v>
      </c>
      <c r="P410" t="s">
        <v>45</v>
      </c>
      <c r="Q410">
        <v>0</v>
      </c>
      <c r="R410">
        <v>0</v>
      </c>
      <c r="S410">
        <v>0</v>
      </c>
      <c r="T410" t="s">
        <v>46</v>
      </c>
      <c r="U410" t="s">
        <v>46</v>
      </c>
      <c r="V410">
        <v>0</v>
      </c>
      <c r="W410" t="s">
        <v>38</v>
      </c>
      <c r="X410">
        <v>9</v>
      </c>
      <c r="Z410">
        <v>0</v>
      </c>
      <c r="AA410" t="s">
        <v>51</v>
      </c>
      <c r="AB410">
        <v>108.68</v>
      </c>
      <c r="AC410">
        <v>0</v>
      </c>
      <c r="AD410">
        <v>3</v>
      </c>
      <c r="AE410" t="s">
        <v>40</v>
      </c>
      <c r="AF410" s="1">
        <v>42672</v>
      </c>
    </row>
    <row r="411" spans="1:32" x14ac:dyDescent="0.25">
      <c r="A411" t="s">
        <v>32</v>
      </c>
      <c r="B411">
        <v>1</v>
      </c>
      <c r="C411">
        <v>99</v>
      </c>
      <c r="D411">
        <v>2015</v>
      </c>
      <c r="E411" t="s">
        <v>59</v>
      </c>
      <c r="F411">
        <v>43</v>
      </c>
      <c r="G411">
        <v>24</v>
      </c>
      <c r="H411">
        <v>1</v>
      </c>
      <c r="I411">
        <v>1</v>
      </c>
      <c r="J411">
        <v>2</v>
      </c>
      <c r="K411">
        <v>0</v>
      </c>
      <c r="L411">
        <v>0</v>
      </c>
      <c r="M411" t="s">
        <v>34</v>
      </c>
      <c r="N411" t="s">
        <v>43</v>
      </c>
      <c r="O411" t="s">
        <v>44</v>
      </c>
      <c r="P411" t="s">
        <v>45</v>
      </c>
      <c r="Q411">
        <v>0</v>
      </c>
      <c r="R411">
        <v>0</v>
      </c>
      <c r="S411">
        <v>0</v>
      </c>
      <c r="T411" t="s">
        <v>72</v>
      </c>
      <c r="U411" t="s">
        <v>72</v>
      </c>
      <c r="V411">
        <v>0</v>
      </c>
      <c r="W411" t="s">
        <v>38</v>
      </c>
      <c r="X411">
        <v>240</v>
      </c>
      <c r="Z411">
        <v>0</v>
      </c>
      <c r="AA411" t="s">
        <v>39</v>
      </c>
      <c r="AB411">
        <v>65</v>
      </c>
      <c r="AC411">
        <v>0</v>
      </c>
      <c r="AD411">
        <v>2</v>
      </c>
      <c r="AE411" t="s">
        <v>47</v>
      </c>
      <c r="AF411" s="1">
        <v>42242</v>
      </c>
    </row>
    <row r="412" spans="1:32" x14ac:dyDescent="0.25">
      <c r="A412" t="s">
        <v>41</v>
      </c>
      <c r="B412">
        <v>0</v>
      </c>
      <c r="C412">
        <v>192</v>
      </c>
      <c r="D412">
        <v>2016</v>
      </c>
      <c r="E412" t="s">
        <v>83</v>
      </c>
      <c r="F412">
        <v>26</v>
      </c>
      <c r="G412">
        <v>24</v>
      </c>
      <c r="H412">
        <v>0</v>
      </c>
      <c r="I412">
        <v>2</v>
      </c>
      <c r="J412">
        <v>1</v>
      </c>
      <c r="K412">
        <v>0</v>
      </c>
      <c r="L412">
        <v>0</v>
      </c>
      <c r="M412" t="s">
        <v>34</v>
      </c>
      <c r="N412" t="s">
        <v>43</v>
      </c>
      <c r="O412" t="s">
        <v>49</v>
      </c>
      <c r="P412" t="s">
        <v>45</v>
      </c>
      <c r="Q412">
        <v>0</v>
      </c>
      <c r="R412">
        <v>0</v>
      </c>
      <c r="S412">
        <v>0</v>
      </c>
      <c r="T412" t="s">
        <v>46</v>
      </c>
      <c r="U412" t="s">
        <v>46</v>
      </c>
      <c r="V412">
        <v>0</v>
      </c>
      <c r="W412" t="s">
        <v>38</v>
      </c>
      <c r="X412">
        <v>34</v>
      </c>
      <c r="Z412">
        <v>0</v>
      </c>
      <c r="AA412" t="s">
        <v>51</v>
      </c>
      <c r="AB412">
        <v>95</v>
      </c>
      <c r="AC412">
        <v>0</v>
      </c>
      <c r="AD412">
        <v>0</v>
      </c>
      <c r="AE412" t="s">
        <v>40</v>
      </c>
      <c r="AF412" s="1">
        <v>42547</v>
      </c>
    </row>
    <row r="413" spans="1:32" x14ac:dyDescent="0.25">
      <c r="A413" t="s">
        <v>41</v>
      </c>
      <c r="B413">
        <v>1</v>
      </c>
      <c r="C413">
        <v>273</v>
      </c>
      <c r="D413">
        <v>2015</v>
      </c>
      <c r="E413" t="s">
        <v>42</v>
      </c>
      <c r="F413">
        <v>29</v>
      </c>
      <c r="G413">
        <v>17</v>
      </c>
      <c r="H413">
        <v>0</v>
      </c>
      <c r="I413">
        <v>2</v>
      </c>
      <c r="J413">
        <v>2</v>
      </c>
      <c r="K413">
        <v>0</v>
      </c>
      <c r="L413">
        <v>0</v>
      </c>
      <c r="M413" t="s">
        <v>60</v>
      </c>
      <c r="N413" t="s">
        <v>43</v>
      </c>
      <c r="O413" t="s">
        <v>49</v>
      </c>
      <c r="P413" t="s">
        <v>45</v>
      </c>
      <c r="Q413">
        <v>0</v>
      </c>
      <c r="R413">
        <v>1</v>
      </c>
      <c r="S413">
        <v>0</v>
      </c>
      <c r="T413" t="s">
        <v>46</v>
      </c>
      <c r="U413" t="s">
        <v>46</v>
      </c>
      <c r="V413">
        <v>0</v>
      </c>
      <c r="W413" t="s">
        <v>38</v>
      </c>
      <c r="X413">
        <v>6</v>
      </c>
      <c r="Z413">
        <v>0</v>
      </c>
      <c r="AA413" t="s">
        <v>51</v>
      </c>
      <c r="AB413">
        <v>101.5</v>
      </c>
      <c r="AC413">
        <v>0</v>
      </c>
      <c r="AD413">
        <v>0</v>
      </c>
      <c r="AE413" t="s">
        <v>47</v>
      </c>
      <c r="AF413" s="1">
        <v>42191</v>
      </c>
    </row>
    <row r="414" spans="1:32" x14ac:dyDescent="0.25">
      <c r="A414" t="s">
        <v>32</v>
      </c>
      <c r="B414">
        <v>0</v>
      </c>
      <c r="C414">
        <v>10</v>
      </c>
      <c r="D414">
        <v>2016</v>
      </c>
      <c r="E414" t="s">
        <v>52</v>
      </c>
      <c r="F414">
        <v>11</v>
      </c>
      <c r="G414">
        <v>11</v>
      </c>
      <c r="H414">
        <v>2</v>
      </c>
      <c r="I414">
        <v>2</v>
      </c>
      <c r="J414">
        <v>2</v>
      </c>
      <c r="K414">
        <v>0</v>
      </c>
      <c r="L414">
        <v>0</v>
      </c>
      <c r="M414" t="s">
        <v>34</v>
      </c>
      <c r="N414" t="s">
        <v>115</v>
      </c>
      <c r="O414" t="s">
        <v>44</v>
      </c>
      <c r="P414" t="s">
        <v>45</v>
      </c>
      <c r="Q414">
        <v>0</v>
      </c>
      <c r="R414">
        <v>0</v>
      </c>
      <c r="S414">
        <v>0</v>
      </c>
      <c r="T414" t="s">
        <v>72</v>
      </c>
      <c r="U414" t="s">
        <v>37</v>
      </c>
      <c r="V414">
        <v>2</v>
      </c>
      <c r="W414" t="s">
        <v>38</v>
      </c>
      <c r="X414">
        <v>240</v>
      </c>
      <c r="Z414">
        <v>0</v>
      </c>
      <c r="AA414" t="s">
        <v>39</v>
      </c>
      <c r="AB414">
        <v>67.5</v>
      </c>
      <c r="AC414">
        <v>0</v>
      </c>
      <c r="AD414">
        <v>1</v>
      </c>
      <c r="AE414" t="s">
        <v>40</v>
      </c>
      <c r="AF414" s="1">
        <v>42444</v>
      </c>
    </row>
    <row r="415" spans="1:32" x14ac:dyDescent="0.25">
      <c r="A415" t="s">
        <v>41</v>
      </c>
      <c r="B415">
        <v>1</v>
      </c>
      <c r="C415">
        <v>41</v>
      </c>
      <c r="D415">
        <v>2016</v>
      </c>
      <c r="E415" t="s">
        <v>54</v>
      </c>
      <c r="F415">
        <v>17</v>
      </c>
      <c r="G415">
        <v>21</v>
      </c>
      <c r="H415">
        <v>0</v>
      </c>
      <c r="I415">
        <v>3</v>
      </c>
      <c r="J415">
        <v>2</v>
      </c>
      <c r="K415">
        <v>2</v>
      </c>
      <c r="L415">
        <v>0</v>
      </c>
      <c r="M415" t="s">
        <v>34</v>
      </c>
      <c r="N415" t="s">
        <v>43</v>
      </c>
      <c r="O415" t="s">
        <v>44</v>
      </c>
      <c r="P415" t="s">
        <v>45</v>
      </c>
      <c r="Q415">
        <v>0</v>
      </c>
      <c r="R415">
        <v>0</v>
      </c>
      <c r="S415">
        <v>0</v>
      </c>
      <c r="T415" t="s">
        <v>84</v>
      </c>
      <c r="U415" t="s">
        <v>84</v>
      </c>
      <c r="V415">
        <v>0</v>
      </c>
      <c r="W415" t="s">
        <v>38</v>
      </c>
      <c r="X415">
        <v>7</v>
      </c>
      <c r="Z415">
        <v>0</v>
      </c>
      <c r="AA415" t="s">
        <v>39</v>
      </c>
      <c r="AB415">
        <v>191.58</v>
      </c>
      <c r="AC415">
        <v>0</v>
      </c>
      <c r="AD415">
        <v>0</v>
      </c>
      <c r="AE415" t="s">
        <v>47</v>
      </c>
      <c r="AF415" s="1">
        <v>42440</v>
      </c>
    </row>
    <row r="416" spans="1:32" x14ac:dyDescent="0.25">
      <c r="A416" t="s">
        <v>41</v>
      </c>
      <c r="B416">
        <v>0</v>
      </c>
      <c r="C416">
        <v>21</v>
      </c>
      <c r="D416">
        <v>2015</v>
      </c>
      <c r="E416" t="s">
        <v>62</v>
      </c>
      <c r="F416">
        <v>36</v>
      </c>
      <c r="G416">
        <v>3</v>
      </c>
      <c r="H416">
        <v>0</v>
      </c>
      <c r="I416">
        <v>2</v>
      </c>
      <c r="J416">
        <v>2</v>
      </c>
      <c r="K416">
        <v>0</v>
      </c>
      <c r="L416">
        <v>0</v>
      </c>
      <c r="M416" t="s">
        <v>34</v>
      </c>
      <c r="N416" t="s">
        <v>53</v>
      </c>
      <c r="O416" t="s">
        <v>44</v>
      </c>
      <c r="P416" t="s">
        <v>45</v>
      </c>
      <c r="Q416">
        <v>0</v>
      </c>
      <c r="R416">
        <v>0</v>
      </c>
      <c r="S416">
        <v>0</v>
      </c>
      <c r="T416" t="s">
        <v>46</v>
      </c>
      <c r="U416" t="s">
        <v>46</v>
      </c>
      <c r="V416">
        <v>0</v>
      </c>
      <c r="W416" t="s">
        <v>38</v>
      </c>
      <c r="X416">
        <v>9</v>
      </c>
      <c r="Z416">
        <v>0</v>
      </c>
      <c r="AA416" t="s">
        <v>73</v>
      </c>
      <c r="AB416">
        <v>105</v>
      </c>
      <c r="AC416">
        <v>0</v>
      </c>
      <c r="AD416">
        <v>0</v>
      </c>
      <c r="AE416" t="s">
        <v>40</v>
      </c>
      <c r="AF416" s="1">
        <v>42252</v>
      </c>
    </row>
    <row r="417" spans="1:32" x14ac:dyDescent="0.25">
      <c r="A417" t="s">
        <v>32</v>
      </c>
      <c r="B417">
        <v>0</v>
      </c>
      <c r="C417">
        <v>6</v>
      </c>
      <c r="D417">
        <v>2016</v>
      </c>
      <c r="E417" t="s">
        <v>61</v>
      </c>
      <c r="F417">
        <v>48</v>
      </c>
      <c r="G417">
        <v>25</v>
      </c>
      <c r="H417">
        <v>0</v>
      </c>
      <c r="I417">
        <v>1</v>
      </c>
      <c r="J417">
        <v>2</v>
      </c>
      <c r="K417">
        <v>0</v>
      </c>
      <c r="L417">
        <v>0</v>
      </c>
      <c r="M417" t="s">
        <v>77</v>
      </c>
      <c r="N417" t="s">
        <v>43</v>
      </c>
      <c r="O417" t="s">
        <v>36</v>
      </c>
      <c r="P417" t="s">
        <v>36</v>
      </c>
      <c r="Q417">
        <v>0</v>
      </c>
      <c r="R417">
        <v>0</v>
      </c>
      <c r="S417">
        <v>0</v>
      </c>
      <c r="T417" t="s">
        <v>37</v>
      </c>
      <c r="U417" t="s">
        <v>37</v>
      </c>
      <c r="V417">
        <v>1</v>
      </c>
      <c r="W417" t="s">
        <v>38</v>
      </c>
      <c r="X417">
        <v>250</v>
      </c>
      <c r="Z417">
        <v>0</v>
      </c>
      <c r="AA417" t="s">
        <v>39</v>
      </c>
      <c r="AB417">
        <v>147</v>
      </c>
      <c r="AC417">
        <v>0</v>
      </c>
      <c r="AD417">
        <v>0</v>
      </c>
      <c r="AE417" t="s">
        <v>40</v>
      </c>
      <c r="AF417" s="1">
        <v>42700</v>
      </c>
    </row>
    <row r="418" spans="1:32" x14ac:dyDescent="0.25">
      <c r="A418" t="s">
        <v>32</v>
      </c>
      <c r="B418">
        <v>0</v>
      </c>
      <c r="C418">
        <v>234</v>
      </c>
      <c r="D418">
        <v>2016</v>
      </c>
      <c r="E418" t="s">
        <v>59</v>
      </c>
      <c r="F418">
        <v>44</v>
      </c>
      <c r="G418">
        <v>23</v>
      </c>
      <c r="H418">
        <v>2</v>
      </c>
      <c r="I418">
        <v>5</v>
      </c>
      <c r="J418">
        <v>2</v>
      </c>
      <c r="K418">
        <v>0</v>
      </c>
      <c r="L418">
        <v>0</v>
      </c>
      <c r="M418" t="s">
        <v>60</v>
      </c>
      <c r="N418" t="s">
        <v>35</v>
      </c>
      <c r="O418" t="s">
        <v>49</v>
      </c>
      <c r="P418" t="s">
        <v>45</v>
      </c>
      <c r="Q418">
        <v>0</v>
      </c>
      <c r="R418">
        <v>0</v>
      </c>
      <c r="S418">
        <v>0</v>
      </c>
      <c r="T418" t="s">
        <v>46</v>
      </c>
      <c r="U418" t="s">
        <v>46</v>
      </c>
      <c r="V418">
        <v>0</v>
      </c>
      <c r="W418" t="s">
        <v>38</v>
      </c>
      <c r="X418">
        <v>243</v>
      </c>
      <c r="Z418">
        <v>0</v>
      </c>
      <c r="AA418" t="s">
        <v>73</v>
      </c>
      <c r="AB418">
        <v>37.4</v>
      </c>
      <c r="AC418">
        <v>0</v>
      </c>
      <c r="AD418">
        <v>2</v>
      </c>
      <c r="AE418" t="s">
        <v>40</v>
      </c>
      <c r="AF418" s="1">
        <v>42673</v>
      </c>
    </row>
    <row r="419" spans="1:32" x14ac:dyDescent="0.25">
      <c r="A419" t="s">
        <v>41</v>
      </c>
      <c r="B419">
        <v>1</v>
      </c>
      <c r="C419">
        <v>3</v>
      </c>
      <c r="D419">
        <v>2015</v>
      </c>
      <c r="E419" t="s">
        <v>67</v>
      </c>
      <c r="F419">
        <v>34</v>
      </c>
      <c r="G419">
        <v>17</v>
      </c>
      <c r="H419">
        <v>1</v>
      </c>
      <c r="I419">
        <v>3</v>
      </c>
      <c r="J419">
        <v>2</v>
      </c>
      <c r="K419">
        <v>0</v>
      </c>
      <c r="L419">
        <v>0</v>
      </c>
      <c r="M419" t="s">
        <v>34</v>
      </c>
      <c r="N419" t="s">
        <v>43</v>
      </c>
      <c r="O419" t="s">
        <v>76</v>
      </c>
      <c r="P419" t="s">
        <v>76</v>
      </c>
      <c r="Q419">
        <v>0</v>
      </c>
      <c r="R419">
        <v>0</v>
      </c>
      <c r="S419">
        <v>0</v>
      </c>
      <c r="T419" t="s">
        <v>46</v>
      </c>
      <c r="U419" t="s">
        <v>46</v>
      </c>
      <c r="V419">
        <v>0</v>
      </c>
      <c r="W419" t="s">
        <v>38</v>
      </c>
      <c r="Y419">
        <v>38</v>
      </c>
      <c r="Z419">
        <v>0</v>
      </c>
      <c r="AA419" t="s">
        <v>39</v>
      </c>
      <c r="AB419">
        <v>130</v>
      </c>
      <c r="AC419">
        <v>0</v>
      </c>
      <c r="AD419">
        <v>0</v>
      </c>
      <c r="AE419" t="s">
        <v>47</v>
      </c>
      <c r="AF419" s="1">
        <v>42233</v>
      </c>
    </row>
    <row r="420" spans="1:32" x14ac:dyDescent="0.25">
      <c r="A420" t="s">
        <v>32</v>
      </c>
      <c r="B420">
        <v>0</v>
      </c>
      <c r="C420">
        <v>0</v>
      </c>
      <c r="D420">
        <v>2017</v>
      </c>
      <c r="E420" t="s">
        <v>42</v>
      </c>
      <c r="F420">
        <v>28</v>
      </c>
      <c r="G420">
        <v>15</v>
      </c>
      <c r="H420">
        <v>0</v>
      </c>
      <c r="I420">
        <v>1</v>
      </c>
      <c r="J420">
        <v>2</v>
      </c>
      <c r="K420">
        <v>0</v>
      </c>
      <c r="L420">
        <v>0</v>
      </c>
      <c r="M420" t="s">
        <v>34</v>
      </c>
      <c r="N420" t="s">
        <v>35</v>
      </c>
      <c r="O420" t="s">
        <v>36</v>
      </c>
      <c r="P420" t="s">
        <v>36</v>
      </c>
      <c r="Q420">
        <v>0</v>
      </c>
      <c r="R420">
        <v>0</v>
      </c>
      <c r="S420">
        <v>0</v>
      </c>
      <c r="T420" t="s">
        <v>46</v>
      </c>
      <c r="U420" t="s">
        <v>72</v>
      </c>
      <c r="V420">
        <v>1</v>
      </c>
      <c r="W420" t="s">
        <v>38</v>
      </c>
      <c r="Z420">
        <v>0</v>
      </c>
      <c r="AA420" t="s">
        <v>51</v>
      </c>
      <c r="AB420">
        <v>195</v>
      </c>
      <c r="AC420">
        <v>0</v>
      </c>
      <c r="AD420">
        <v>0</v>
      </c>
      <c r="AE420" t="s">
        <v>40</v>
      </c>
      <c r="AF420" s="1">
        <v>42932</v>
      </c>
    </row>
    <row r="421" spans="1:32" x14ac:dyDescent="0.25">
      <c r="A421" t="s">
        <v>41</v>
      </c>
      <c r="B421">
        <v>0</v>
      </c>
      <c r="C421">
        <v>6</v>
      </c>
      <c r="D421">
        <v>2017</v>
      </c>
      <c r="E421" t="s">
        <v>42</v>
      </c>
      <c r="F421">
        <v>28</v>
      </c>
      <c r="G421">
        <v>14</v>
      </c>
      <c r="H421">
        <v>0</v>
      </c>
      <c r="I421">
        <v>2</v>
      </c>
      <c r="J421">
        <v>2</v>
      </c>
      <c r="K421">
        <v>0</v>
      </c>
      <c r="L421">
        <v>0</v>
      </c>
      <c r="M421" t="s">
        <v>34</v>
      </c>
      <c r="N421" t="s">
        <v>88</v>
      </c>
      <c r="O421" t="s">
        <v>44</v>
      </c>
      <c r="P421" t="s">
        <v>45</v>
      </c>
      <c r="Q421">
        <v>0</v>
      </c>
      <c r="R421">
        <v>0</v>
      </c>
      <c r="S421">
        <v>0</v>
      </c>
      <c r="T421" t="s">
        <v>72</v>
      </c>
      <c r="U421" t="s">
        <v>72</v>
      </c>
      <c r="V421">
        <v>0</v>
      </c>
      <c r="W421" t="s">
        <v>38</v>
      </c>
      <c r="X421">
        <v>9</v>
      </c>
      <c r="Z421">
        <v>0</v>
      </c>
      <c r="AA421" t="s">
        <v>39</v>
      </c>
      <c r="AB421">
        <v>172.5</v>
      </c>
      <c r="AC421">
        <v>0</v>
      </c>
      <c r="AD421">
        <v>2</v>
      </c>
      <c r="AE421" t="s">
        <v>40</v>
      </c>
      <c r="AF421" s="1">
        <v>42932</v>
      </c>
    </row>
    <row r="422" spans="1:32" x14ac:dyDescent="0.25">
      <c r="A422" t="s">
        <v>32</v>
      </c>
      <c r="B422">
        <v>0</v>
      </c>
      <c r="C422">
        <v>5</v>
      </c>
      <c r="D422">
        <v>2017</v>
      </c>
      <c r="E422" t="s">
        <v>69</v>
      </c>
      <c r="F422">
        <v>20</v>
      </c>
      <c r="G422">
        <v>15</v>
      </c>
      <c r="H422">
        <v>1</v>
      </c>
      <c r="I422">
        <v>0</v>
      </c>
      <c r="J422">
        <v>1</v>
      </c>
      <c r="K422">
        <v>0</v>
      </c>
      <c r="L422">
        <v>0</v>
      </c>
      <c r="M422" t="s">
        <v>34</v>
      </c>
      <c r="N422" t="s">
        <v>35</v>
      </c>
      <c r="O422" t="s">
        <v>116</v>
      </c>
      <c r="P422" t="s">
        <v>45</v>
      </c>
      <c r="Q422">
        <v>1</v>
      </c>
      <c r="R422">
        <v>0</v>
      </c>
      <c r="S422">
        <v>3</v>
      </c>
      <c r="T422" t="s">
        <v>72</v>
      </c>
      <c r="U422" t="s">
        <v>72</v>
      </c>
      <c r="V422">
        <v>0</v>
      </c>
      <c r="W422" t="s">
        <v>38</v>
      </c>
      <c r="X422">
        <v>40</v>
      </c>
      <c r="Z422">
        <v>0</v>
      </c>
      <c r="AA422" t="s">
        <v>39</v>
      </c>
      <c r="AB422">
        <v>0</v>
      </c>
      <c r="AC422">
        <v>1</v>
      </c>
      <c r="AD422">
        <v>2</v>
      </c>
      <c r="AE422" t="s">
        <v>40</v>
      </c>
      <c r="AF422" s="1">
        <v>42871</v>
      </c>
    </row>
    <row r="423" spans="1:32" x14ac:dyDescent="0.25">
      <c r="A423" t="s">
        <v>41</v>
      </c>
      <c r="B423">
        <v>1</v>
      </c>
      <c r="C423">
        <v>6</v>
      </c>
      <c r="D423">
        <v>2015</v>
      </c>
      <c r="E423" t="s">
        <v>62</v>
      </c>
      <c r="F423">
        <v>39</v>
      </c>
      <c r="G423">
        <v>20</v>
      </c>
      <c r="H423">
        <v>2</v>
      </c>
      <c r="I423">
        <v>0</v>
      </c>
      <c r="J423">
        <v>2</v>
      </c>
      <c r="K423">
        <v>0</v>
      </c>
      <c r="L423">
        <v>0</v>
      </c>
      <c r="M423" t="s">
        <v>34</v>
      </c>
      <c r="N423" t="s">
        <v>43</v>
      </c>
      <c r="O423" t="s">
        <v>76</v>
      </c>
      <c r="P423" t="s">
        <v>76</v>
      </c>
      <c r="Q423">
        <v>0</v>
      </c>
      <c r="R423">
        <v>1</v>
      </c>
      <c r="S423">
        <v>0</v>
      </c>
      <c r="T423" t="s">
        <v>46</v>
      </c>
      <c r="U423" t="s">
        <v>46</v>
      </c>
      <c r="V423">
        <v>0</v>
      </c>
      <c r="W423" t="s">
        <v>68</v>
      </c>
      <c r="X423">
        <v>78</v>
      </c>
      <c r="Z423">
        <v>0</v>
      </c>
      <c r="AA423" t="s">
        <v>39</v>
      </c>
      <c r="AB423">
        <v>100</v>
      </c>
      <c r="AC423">
        <v>0</v>
      </c>
      <c r="AD423">
        <v>0</v>
      </c>
      <c r="AE423" t="s">
        <v>47</v>
      </c>
      <c r="AF423" s="1">
        <v>42262</v>
      </c>
    </row>
    <row r="424" spans="1:32" x14ac:dyDescent="0.25">
      <c r="A424" t="s">
        <v>32</v>
      </c>
      <c r="B424">
        <v>0</v>
      </c>
      <c r="C424">
        <v>156</v>
      </c>
      <c r="D424">
        <v>2017</v>
      </c>
      <c r="E424" t="s">
        <v>69</v>
      </c>
      <c r="F424">
        <v>19</v>
      </c>
      <c r="G424">
        <v>8</v>
      </c>
      <c r="H424">
        <v>2</v>
      </c>
      <c r="I424">
        <v>5</v>
      </c>
      <c r="J424">
        <v>2</v>
      </c>
      <c r="K424">
        <v>0</v>
      </c>
      <c r="L424">
        <v>0</v>
      </c>
      <c r="M424" t="s">
        <v>60</v>
      </c>
      <c r="N424" t="s">
        <v>95</v>
      </c>
      <c r="O424" t="s">
        <v>64</v>
      </c>
      <c r="P424" t="s">
        <v>45</v>
      </c>
      <c r="Q424">
        <v>0</v>
      </c>
      <c r="R424">
        <v>0</v>
      </c>
      <c r="S424">
        <v>0</v>
      </c>
      <c r="T424" t="s">
        <v>46</v>
      </c>
      <c r="U424" t="s">
        <v>46</v>
      </c>
      <c r="V424">
        <v>2</v>
      </c>
      <c r="W424" t="s">
        <v>38</v>
      </c>
      <c r="X424">
        <v>434</v>
      </c>
      <c r="Z424">
        <v>0</v>
      </c>
      <c r="AA424" t="s">
        <v>51</v>
      </c>
      <c r="AB424">
        <v>80</v>
      </c>
      <c r="AC424">
        <v>0</v>
      </c>
      <c r="AD424">
        <v>1</v>
      </c>
      <c r="AE424" t="s">
        <v>40</v>
      </c>
      <c r="AF424" s="1">
        <v>42870</v>
      </c>
    </row>
    <row r="425" spans="1:32" x14ac:dyDescent="0.25">
      <c r="A425" t="s">
        <v>32</v>
      </c>
      <c r="B425">
        <v>0</v>
      </c>
      <c r="C425">
        <v>229</v>
      </c>
      <c r="D425">
        <v>2017</v>
      </c>
      <c r="E425" t="s">
        <v>52</v>
      </c>
      <c r="F425">
        <v>13</v>
      </c>
      <c r="G425">
        <v>27</v>
      </c>
      <c r="H425">
        <v>2</v>
      </c>
      <c r="I425">
        <v>5</v>
      </c>
      <c r="J425">
        <v>2</v>
      </c>
      <c r="K425">
        <v>0</v>
      </c>
      <c r="L425">
        <v>0</v>
      </c>
      <c r="M425" t="s">
        <v>34</v>
      </c>
      <c r="N425" t="s">
        <v>95</v>
      </c>
      <c r="O425" t="s">
        <v>44</v>
      </c>
      <c r="P425" t="s">
        <v>45</v>
      </c>
      <c r="Q425">
        <v>0</v>
      </c>
      <c r="R425">
        <v>0</v>
      </c>
      <c r="S425">
        <v>0</v>
      </c>
      <c r="T425" t="s">
        <v>46</v>
      </c>
      <c r="U425" t="s">
        <v>57</v>
      </c>
      <c r="V425">
        <v>1</v>
      </c>
      <c r="W425" t="s">
        <v>38</v>
      </c>
      <c r="X425">
        <v>240</v>
      </c>
      <c r="Z425">
        <v>0</v>
      </c>
      <c r="AA425" t="s">
        <v>39</v>
      </c>
      <c r="AB425">
        <v>52.43</v>
      </c>
      <c r="AC425">
        <v>0</v>
      </c>
      <c r="AD425">
        <v>2</v>
      </c>
      <c r="AE425" t="s">
        <v>40</v>
      </c>
      <c r="AF425" s="1">
        <v>42828</v>
      </c>
    </row>
    <row r="426" spans="1:32" x14ac:dyDescent="0.25">
      <c r="A426" t="s">
        <v>32</v>
      </c>
      <c r="B426">
        <v>1</v>
      </c>
      <c r="C426">
        <v>134</v>
      </c>
      <c r="D426">
        <v>2017</v>
      </c>
      <c r="E426" t="s">
        <v>54</v>
      </c>
      <c r="F426">
        <v>15</v>
      </c>
      <c r="G426">
        <v>13</v>
      </c>
      <c r="H426">
        <v>0</v>
      </c>
      <c r="I426">
        <v>3</v>
      </c>
      <c r="J426">
        <v>2</v>
      </c>
      <c r="K426">
        <v>0</v>
      </c>
      <c r="L426">
        <v>0</v>
      </c>
      <c r="M426" t="s">
        <v>60</v>
      </c>
      <c r="N426" t="s">
        <v>43</v>
      </c>
      <c r="O426" t="s">
        <v>49</v>
      </c>
      <c r="P426" t="s">
        <v>45</v>
      </c>
      <c r="Q426">
        <v>0</v>
      </c>
      <c r="R426">
        <v>0</v>
      </c>
      <c r="S426">
        <v>0</v>
      </c>
      <c r="T426" t="s">
        <v>57</v>
      </c>
      <c r="U426" t="s">
        <v>57</v>
      </c>
      <c r="V426">
        <v>1</v>
      </c>
      <c r="W426" t="s">
        <v>38</v>
      </c>
      <c r="X426">
        <v>3</v>
      </c>
      <c r="Z426">
        <v>0</v>
      </c>
      <c r="AA426" t="s">
        <v>51</v>
      </c>
      <c r="AB426">
        <v>95.4</v>
      </c>
      <c r="AC426">
        <v>0</v>
      </c>
      <c r="AD426">
        <v>1</v>
      </c>
      <c r="AE426" t="s">
        <v>47</v>
      </c>
      <c r="AF426" s="1">
        <v>42804</v>
      </c>
    </row>
    <row r="427" spans="1:32" x14ac:dyDescent="0.25">
      <c r="A427" t="s">
        <v>41</v>
      </c>
      <c r="B427">
        <v>0</v>
      </c>
      <c r="C427">
        <v>0</v>
      </c>
      <c r="D427">
        <v>2015</v>
      </c>
      <c r="E427" t="s">
        <v>59</v>
      </c>
      <c r="F427">
        <v>42</v>
      </c>
      <c r="G427">
        <v>12</v>
      </c>
      <c r="H427">
        <v>1</v>
      </c>
      <c r="I427">
        <v>2</v>
      </c>
      <c r="J427">
        <v>1</v>
      </c>
      <c r="K427">
        <v>0</v>
      </c>
      <c r="L427">
        <v>0</v>
      </c>
      <c r="M427" t="s">
        <v>34</v>
      </c>
      <c r="N427" t="s">
        <v>43</v>
      </c>
      <c r="O427" t="s">
        <v>76</v>
      </c>
      <c r="P427" t="s">
        <v>76</v>
      </c>
      <c r="Q427">
        <v>0</v>
      </c>
      <c r="R427">
        <v>0</v>
      </c>
      <c r="S427">
        <v>0</v>
      </c>
      <c r="T427" t="s">
        <v>46</v>
      </c>
      <c r="U427" t="s">
        <v>46</v>
      </c>
      <c r="V427">
        <v>0</v>
      </c>
      <c r="W427" t="s">
        <v>38</v>
      </c>
      <c r="Y427">
        <v>40</v>
      </c>
      <c r="Z427">
        <v>0</v>
      </c>
      <c r="AA427" t="s">
        <v>39</v>
      </c>
      <c r="AB427">
        <v>65</v>
      </c>
      <c r="AC427">
        <v>0</v>
      </c>
      <c r="AD427">
        <v>0</v>
      </c>
      <c r="AE427" t="s">
        <v>40</v>
      </c>
      <c r="AF427" s="1">
        <v>42292</v>
      </c>
    </row>
    <row r="428" spans="1:32" x14ac:dyDescent="0.25">
      <c r="A428" t="s">
        <v>41</v>
      </c>
      <c r="B428">
        <v>0</v>
      </c>
      <c r="C428">
        <v>8</v>
      </c>
      <c r="D428">
        <v>2016</v>
      </c>
      <c r="E428" t="s">
        <v>54</v>
      </c>
      <c r="F428">
        <v>16</v>
      </c>
      <c r="G428">
        <v>16</v>
      </c>
      <c r="H428">
        <v>2</v>
      </c>
      <c r="I428">
        <v>2</v>
      </c>
      <c r="J428">
        <v>3</v>
      </c>
      <c r="K428">
        <v>0</v>
      </c>
      <c r="L428">
        <v>0</v>
      </c>
      <c r="M428" t="s">
        <v>34</v>
      </c>
      <c r="N428" t="s">
        <v>70</v>
      </c>
      <c r="O428" t="s">
        <v>44</v>
      </c>
      <c r="P428" t="s">
        <v>45</v>
      </c>
      <c r="Q428">
        <v>0</v>
      </c>
      <c r="R428">
        <v>0</v>
      </c>
      <c r="S428">
        <v>0</v>
      </c>
      <c r="T428" t="s">
        <v>57</v>
      </c>
      <c r="U428" t="s">
        <v>57</v>
      </c>
      <c r="V428">
        <v>0</v>
      </c>
      <c r="W428" t="s">
        <v>38</v>
      </c>
      <c r="X428">
        <v>9</v>
      </c>
      <c r="Z428">
        <v>0</v>
      </c>
      <c r="AA428" t="s">
        <v>39</v>
      </c>
      <c r="AB428">
        <v>144.5</v>
      </c>
      <c r="AC428">
        <v>0</v>
      </c>
      <c r="AD428">
        <v>1</v>
      </c>
      <c r="AE428" t="s">
        <v>40</v>
      </c>
      <c r="AF428" s="1">
        <v>42480</v>
      </c>
    </row>
    <row r="429" spans="1:32" x14ac:dyDescent="0.25">
      <c r="A429" t="s">
        <v>32</v>
      </c>
      <c r="B429">
        <v>0</v>
      </c>
      <c r="C429">
        <v>33</v>
      </c>
      <c r="D429">
        <v>2017</v>
      </c>
      <c r="E429" t="s">
        <v>83</v>
      </c>
      <c r="F429">
        <v>23</v>
      </c>
      <c r="G429">
        <v>10</v>
      </c>
      <c r="H429">
        <v>0</v>
      </c>
      <c r="I429">
        <v>1</v>
      </c>
      <c r="J429">
        <v>2</v>
      </c>
      <c r="K429">
        <v>0</v>
      </c>
      <c r="L429">
        <v>0</v>
      </c>
      <c r="M429" t="s">
        <v>34</v>
      </c>
      <c r="N429" t="s">
        <v>43</v>
      </c>
      <c r="O429" t="s">
        <v>36</v>
      </c>
      <c r="P429" t="s">
        <v>36</v>
      </c>
      <c r="Q429">
        <v>0</v>
      </c>
      <c r="R429">
        <v>0</v>
      </c>
      <c r="S429">
        <v>0</v>
      </c>
      <c r="T429" t="s">
        <v>46</v>
      </c>
      <c r="U429" t="s">
        <v>46</v>
      </c>
      <c r="V429">
        <v>0</v>
      </c>
      <c r="W429" t="s">
        <v>38</v>
      </c>
      <c r="Z429">
        <v>0</v>
      </c>
      <c r="AA429" t="s">
        <v>39</v>
      </c>
      <c r="AB429">
        <v>118</v>
      </c>
      <c r="AC429">
        <v>1</v>
      </c>
      <c r="AD429">
        <v>2</v>
      </c>
      <c r="AE429" t="s">
        <v>40</v>
      </c>
      <c r="AF429" s="1">
        <v>42897</v>
      </c>
    </row>
    <row r="430" spans="1:32" x14ac:dyDescent="0.25">
      <c r="A430" t="s">
        <v>41</v>
      </c>
      <c r="B430">
        <v>0</v>
      </c>
      <c r="C430">
        <v>13</v>
      </c>
      <c r="D430">
        <v>2016</v>
      </c>
      <c r="E430" t="s">
        <v>52</v>
      </c>
      <c r="F430">
        <v>13</v>
      </c>
      <c r="G430">
        <v>20</v>
      </c>
      <c r="H430">
        <v>1</v>
      </c>
      <c r="I430">
        <v>0</v>
      </c>
      <c r="J430">
        <v>2</v>
      </c>
      <c r="K430">
        <v>0</v>
      </c>
      <c r="L430">
        <v>0</v>
      </c>
      <c r="M430" t="s">
        <v>34</v>
      </c>
      <c r="N430" t="s">
        <v>43</v>
      </c>
      <c r="O430" t="s">
        <v>49</v>
      </c>
      <c r="P430" t="s">
        <v>45</v>
      </c>
      <c r="Q430">
        <v>0</v>
      </c>
      <c r="R430">
        <v>0</v>
      </c>
      <c r="S430">
        <v>0</v>
      </c>
      <c r="T430" t="s">
        <v>46</v>
      </c>
      <c r="U430" t="s">
        <v>46</v>
      </c>
      <c r="V430">
        <v>0</v>
      </c>
      <c r="W430" t="s">
        <v>38</v>
      </c>
      <c r="X430">
        <v>220</v>
      </c>
      <c r="Z430">
        <v>0</v>
      </c>
      <c r="AA430" t="s">
        <v>51</v>
      </c>
      <c r="AB430">
        <v>85</v>
      </c>
      <c r="AC430">
        <v>0</v>
      </c>
      <c r="AD430">
        <v>1</v>
      </c>
      <c r="AE430" t="s">
        <v>40</v>
      </c>
      <c r="AF430" s="1">
        <v>42450</v>
      </c>
    </row>
    <row r="431" spans="1:32" x14ac:dyDescent="0.25">
      <c r="A431" t="s">
        <v>41</v>
      </c>
      <c r="B431">
        <v>1</v>
      </c>
      <c r="C431">
        <v>115</v>
      </c>
      <c r="D431">
        <v>2017</v>
      </c>
      <c r="E431" t="s">
        <v>69</v>
      </c>
      <c r="F431">
        <v>20</v>
      </c>
      <c r="G431">
        <v>18</v>
      </c>
      <c r="H431">
        <v>0</v>
      </c>
      <c r="I431">
        <v>3</v>
      </c>
      <c r="J431">
        <v>2</v>
      </c>
      <c r="K431">
        <v>0</v>
      </c>
      <c r="L431">
        <v>0</v>
      </c>
      <c r="M431" t="s">
        <v>34</v>
      </c>
      <c r="N431" t="s">
        <v>43</v>
      </c>
      <c r="O431" t="s">
        <v>49</v>
      </c>
      <c r="P431" t="s">
        <v>45</v>
      </c>
      <c r="Q431">
        <v>0</v>
      </c>
      <c r="R431">
        <v>0</v>
      </c>
      <c r="S431">
        <v>0</v>
      </c>
      <c r="T431" t="s">
        <v>46</v>
      </c>
      <c r="U431" t="s">
        <v>46</v>
      </c>
      <c r="V431">
        <v>0</v>
      </c>
      <c r="W431" t="s">
        <v>68</v>
      </c>
      <c r="X431">
        <v>170</v>
      </c>
      <c r="Z431">
        <v>0</v>
      </c>
      <c r="AA431" t="s">
        <v>39</v>
      </c>
      <c r="AB431">
        <v>190</v>
      </c>
      <c r="AC431">
        <v>0</v>
      </c>
      <c r="AD431">
        <v>0</v>
      </c>
      <c r="AE431" t="s">
        <v>47</v>
      </c>
      <c r="AF431" s="1">
        <v>42758</v>
      </c>
    </row>
    <row r="432" spans="1:32" x14ac:dyDescent="0.25">
      <c r="A432" t="s">
        <v>32</v>
      </c>
      <c r="B432">
        <v>0</v>
      </c>
      <c r="C432">
        <v>22</v>
      </c>
      <c r="D432">
        <v>2017</v>
      </c>
      <c r="E432" t="s">
        <v>67</v>
      </c>
      <c r="F432">
        <v>34</v>
      </c>
      <c r="G432">
        <v>25</v>
      </c>
      <c r="H432">
        <v>1</v>
      </c>
      <c r="I432">
        <v>2</v>
      </c>
      <c r="J432">
        <v>2</v>
      </c>
      <c r="K432">
        <v>2</v>
      </c>
      <c r="L432">
        <v>0</v>
      </c>
      <c r="M432" t="s">
        <v>60</v>
      </c>
      <c r="N432" t="s">
        <v>63</v>
      </c>
      <c r="O432" t="s">
        <v>44</v>
      </c>
      <c r="P432" t="s">
        <v>45</v>
      </c>
      <c r="Q432">
        <v>0</v>
      </c>
      <c r="R432">
        <v>0</v>
      </c>
      <c r="S432">
        <v>0</v>
      </c>
      <c r="T432" t="s">
        <v>104</v>
      </c>
      <c r="U432" t="s">
        <v>104</v>
      </c>
      <c r="V432">
        <v>1</v>
      </c>
      <c r="W432" t="s">
        <v>38</v>
      </c>
      <c r="X432">
        <v>240</v>
      </c>
      <c r="Z432">
        <v>0</v>
      </c>
      <c r="AA432" t="s">
        <v>51</v>
      </c>
      <c r="AB432">
        <v>314.67</v>
      </c>
      <c r="AC432">
        <v>0</v>
      </c>
      <c r="AD432">
        <v>2</v>
      </c>
      <c r="AE432" t="s">
        <v>40</v>
      </c>
      <c r="AF432" s="1">
        <v>42975</v>
      </c>
    </row>
    <row r="433" spans="1:32" x14ac:dyDescent="0.25">
      <c r="A433" t="s">
        <v>41</v>
      </c>
      <c r="B433">
        <v>0</v>
      </c>
      <c r="C433">
        <v>63</v>
      </c>
      <c r="D433">
        <v>2016</v>
      </c>
      <c r="E433" t="s">
        <v>54</v>
      </c>
      <c r="F433">
        <v>16</v>
      </c>
      <c r="G433">
        <v>13</v>
      </c>
      <c r="H433">
        <v>0</v>
      </c>
      <c r="I433">
        <v>4</v>
      </c>
      <c r="J433">
        <v>2</v>
      </c>
      <c r="K433">
        <v>2</v>
      </c>
      <c r="L433">
        <v>0</v>
      </c>
      <c r="M433" t="s">
        <v>34</v>
      </c>
      <c r="N433" t="s">
        <v>70</v>
      </c>
      <c r="O433" t="s">
        <v>44</v>
      </c>
      <c r="P433" t="s">
        <v>45</v>
      </c>
      <c r="Q433">
        <v>0</v>
      </c>
      <c r="R433">
        <v>0</v>
      </c>
      <c r="S433">
        <v>0</v>
      </c>
      <c r="T433" t="s">
        <v>37</v>
      </c>
      <c r="U433" t="s">
        <v>37</v>
      </c>
      <c r="V433">
        <v>0</v>
      </c>
      <c r="W433" t="s">
        <v>38</v>
      </c>
      <c r="X433">
        <v>9</v>
      </c>
      <c r="Z433">
        <v>0</v>
      </c>
      <c r="AA433" t="s">
        <v>39</v>
      </c>
      <c r="AB433">
        <v>167.45</v>
      </c>
      <c r="AC433">
        <v>0</v>
      </c>
      <c r="AD433">
        <v>1</v>
      </c>
      <c r="AE433" t="s">
        <v>40</v>
      </c>
      <c r="AF433" s="1">
        <v>42477</v>
      </c>
    </row>
    <row r="434" spans="1:32" x14ac:dyDescent="0.25">
      <c r="A434" t="s">
        <v>32</v>
      </c>
      <c r="B434">
        <v>0</v>
      </c>
      <c r="C434">
        <v>9</v>
      </c>
      <c r="D434">
        <v>2015</v>
      </c>
      <c r="E434" t="s">
        <v>59</v>
      </c>
      <c r="F434">
        <v>42</v>
      </c>
      <c r="G434">
        <v>14</v>
      </c>
      <c r="H434">
        <v>1</v>
      </c>
      <c r="I434">
        <v>4</v>
      </c>
      <c r="J434">
        <v>2</v>
      </c>
      <c r="K434">
        <v>0</v>
      </c>
      <c r="L434">
        <v>0</v>
      </c>
      <c r="M434" t="s">
        <v>34</v>
      </c>
      <c r="N434" t="s">
        <v>43</v>
      </c>
      <c r="O434" t="s">
        <v>44</v>
      </c>
      <c r="P434" t="s">
        <v>45</v>
      </c>
      <c r="Q434">
        <v>0</v>
      </c>
      <c r="R434">
        <v>0</v>
      </c>
      <c r="S434">
        <v>0</v>
      </c>
      <c r="T434" t="s">
        <v>46</v>
      </c>
      <c r="U434" t="s">
        <v>46</v>
      </c>
      <c r="V434">
        <v>0</v>
      </c>
      <c r="W434" t="s">
        <v>38</v>
      </c>
      <c r="X434">
        <v>241</v>
      </c>
      <c r="Z434">
        <v>0</v>
      </c>
      <c r="AA434" t="s">
        <v>39</v>
      </c>
      <c r="AB434">
        <v>48.2</v>
      </c>
      <c r="AC434">
        <v>0</v>
      </c>
      <c r="AD434">
        <v>1</v>
      </c>
      <c r="AE434" t="s">
        <v>40</v>
      </c>
      <c r="AF434" s="1">
        <v>42296</v>
      </c>
    </row>
    <row r="435" spans="1:32" x14ac:dyDescent="0.25">
      <c r="A435" t="s">
        <v>41</v>
      </c>
      <c r="B435">
        <v>1</v>
      </c>
      <c r="C435">
        <v>462</v>
      </c>
      <c r="D435">
        <v>2017</v>
      </c>
      <c r="E435" t="s">
        <v>42</v>
      </c>
      <c r="F435">
        <v>26</v>
      </c>
      <c r="G435">
        <v>1</v>
      </c>
      <c r="H435">
        <v>2</v>
      </c>
      <c r="I435">
        <v>1</v>
      </c>
      <c r="J435">
        <v>2</v>
      </c>
      <c r="K435">
        <v>0</v>
      </c>
      <c r="L435">
        <v>0</v>
      </c>
      <c r="M435" t="s">
        <v>34</v>
      </c>
      <c r="N435" t="s">
        <v>43</v>
      </c>
      <c r="O435" t="s">
        <v>64</v>
      </c>
      <c r="P435" t="s">
        <v>45</v>
      </c>
      <c r="Q435">
        <v>0</v>
      </c>
      <c r="R435">
        <v>0</v>
      </c>
      <c r="S435">
        <v>0</v>
      </c>
      <c r="T435" t="s">
        <v>46</v>
      </c>
      <c r="U435" t="s">
        <v>46</v>
      </c>
      <c r="V435">
        <v>0</v>
      </c>
      <c r="W435" t="s">
        <v>38</v>
      </c>
      <c r="X435">
        <v>229</v>
      </c>
      <c r="Z435">
        <v>0</v>
      </c>
      <c r="AA435" t="s">
        <v>51</v>
      </c>
      <c r="AB435">
        <v>112.67</v>
      </c>
      <c r="AC435">
        <v>0</v>
      </c>
      <c r="AD435">
        <v>1</v>
      </c>
      <c r="AE435" t="s">
        <v>47</v>
      </c>
      <c r="AF435" s="1">
        <v>42907</v>
      </c>
    </row>
    <row r="436" spans="1:32" x14ac:dyDescent="0.25">
      <c r="A436" t="s">
        <v>32</v>
      </c>
      <c r="B436">
        <v>0</v>
      </c>
      <c r="C436">
        <v>8</v>
      </c>
      <c r="D436">
        <v>2015</v>
      </c>
      <c r="E436" t="s">
        <v>42</v>
      </c>
      <c r="F436">
        <v>29</v>
      </c>
      <c r="G436">
        <v>14</v>
      </c>
      <c r="H436">
        <v>2</v>
      </c>
      <c r="I436">
        <v>5</v>
      </c>
      <c r="J436">
        <v>2</v>
      </c>
      <c r="K436">
        <v>0</v>
      </c>
      <c r="L436">
        <v>0</v>
      </c>
      <c r="M436" t="s">
        <v>60</v>
      </c>
      <c r="N436" t="s">
        <v>63</v>
      </c>
      <c r="O436" t="s">
        <v>44</v>
      </c>
      <c r="P436" t="s">
        <v>45</v>
      </c>
      <c r="Q436">
        <v>0</v>
      </c>
      <c r="R436">
        <v>0</v>
      </c>
      <c r="S436">
        <v>0</v>
      </c>
      <c r="T436" t="s">
        <v>46</v>
      </c>
      <c r="U436" t="s">
        <v>46</v>
      </c>
      <c r="V436">
        <v>1</v>
      </c>
      <c r="W436" t="s">
        <v>38</v>
      </c>
      <c r="X436">
        <v>240</v>
      </c>
      <c r="Z436">
        <v>0</v>
      </c>
      <c r="AA436" t="s">
        <v>39</v>
      </c>
      <c r="AB436">
        <v>168.57</v>
      </c>
      <c r="AC436">
        <v>0</v>
      </c>
      <c r="AD436">
        <v>1</v>
      </c>
      <c r="AE436" t="s">
        <v>40</v>
      </c>
      <c r="AF436" s="1">
        <v>42206</v>
      </c>
    </row>
    <row r="437" spans="1:32" x14ac:dyDescent="0.25">
      <c r="A437" t="s">
        <v>41</v>
      </c>
      <c r="B437">
        <v>1</v>
      </c>
      <c r="C437">
        <v>330</v>
      </c>
      <c r="D437">
        <v>2015</v>
      </c>
      <c r="E437" t="s">
        <v>62</v>
      </c>
      <c r="F437">
        <v>37</v>
      </c>
      <c r="G437">
        <v>12</v>
      </c>
      <c r="H437">
        <v>2</v>
      </c>
      <c r="I437">
        <v>2</v>
      </c>
      <c r="J437">
        <v>2</v>
      </c>
      <c r="K437">
        <v>0</v>
      </c>
      <c r="L437">
        <v>0</v>
      </c>
      <c r="M437" t="s">
        <v>34</v>
      </c>
      <c r="N437" t="s">
        <v>43</v>
      </c>
      <c r="O437" t="s">
        <v>64</v>
      </c>
      <c r="P437" t="s">
        <v>45</v>
      </c>
      <c r="Q437">
        <v>0</v>
      </c>
      <c r="R437">
        <v>1</v>
      </c>
      <c r="S437">
        <v>0</v>
      </c>
      <c r="T437" t="s">
        <v>46</v>
      </c>
      <c r="U437" t="s">
        <v>46</v>
      </c>
      <c r="V437">
        <v>0</v>
      </c>
      <c r="W437" t="s">
        <v>38</v>
      </c>
      <c r="X437">
        <v>1</v>
      </c>
      <c r="Z437">
        <v>0</v>
      </c>
      <c r="AA437" t="s">
        <v>51</v>
      </c>
      <c r="AB437">
        <v>62</v>
      </c>
      <c r="AC437">
        <v>0</v>
      </c>
      <c r="AD437">
        <v>0</v>
      </c>
      <c r="AE437" t="s">
        <v>47</v>
      </c>
      <c r="AF437" s="1">
        <v>42191</v>
      </c>
    </row>
    <row r="438" spans="1:32" x14ac:dyDescent="0.25">
      <c r="A438" t="s">
        <v>41</v>
      </c>
      <c r="B438">
        <v>0</v>
      </c>
      <c r="C438">
        <v>212</v>
      </c>
      <c r="D438">
        <v>2016</v>
      </c>
      <c r="E438" t="s">
        <v>62</v>
      </c>
      <c r="F438">
        <v>40</v>
      </c>
      <c r="G438">
        <v>26</v>
      </c>
      <c r="H438">
        <v>1</v>
      </c>
      <c r="I438">
        <v>3</v>
      </c>
      <c r="J438">
        <v>2</v>
      </c>
      <c r="K438">
        <v>0</v>
      </c>
      <c r="L438">
        <v>0</v>
      </c>
      <c r="M438" t="s">
        <v>34</v>
      </c>
      <c r="N438" t="s">
        <v>35</v>
      </c>
      <c r="O438" t="s">
        <v>44</v>
      </c>
      <c r="P438" t="s">
        <v>45</v>
      </c>
      <c r="Q438">
        <v>0</v>
      </c>
      <c r="R438">
        <v>0</v>
      </c>
      <c r="S438">
        <v>0</v>
      </c>
      <c r="T438" t="s">
        <v>46</v>
      </c>
      <c r="U438" t="s">
        <v>46</v>
      </c>
      <c r="V438">
        <v>1</v>
      </c>
      <c r="W438" t="s">
        <v>38</v>
      </c>
      <c r="X438">
        <v>9</v>
      </c>
      <c r="Z438">
        <v>0</v>
      </c>
      <c r="AA438" t="s">
        <v>51</v>
      </c>
      <c r="AB438">
        <v>129.65</v>
      </c>
      <c r="AC438">
        <v>0</v>
      </c>
      <c r="AD438">
        <v>1</v>
      </c>
      <c r="AE438" t="s">
        <v>40</v>
      </c>
      <c r="AF438" s="1">
        <v>42643</v>
      </c>
    </row>
    <row r="439" spans="1:32" x14ac:dyDescent="0.25">
      <c r="A439" t="s">
        <v>32</v>
      </c>
      <c r="B439">
        <v>0</v>
      </c>
      <c r="C439">
        <v>109</v>
      </c>
      <c r="D439">
        <v>2016</v>
      </c>
      <c r="E439" t="s">
        <v>52</v>
      </c>
      <c r="F439">
        <v>11</v>
      </c>
      <c r="G439">
        <v>7</v>
      </c>
      <c r="H439">
        <v>1</v>
      </c>
      <c r="I439">
        <v>3</v>
      </c>
      <c r="J439">
        <v>2</v>
      </c>
      <c r="K439">
        <v>0</v>
      </c>
      <c r="L439">
        <v>0</v>
      </c>
      <c r="M439" t="s">
        <v>34</v>
      </c>
      <c r="N439" t="s">
        <v>35</v>
      </c>
      <c r="O439" t="s">
        <v>49</v>
      </c>
      <c r="P439" t="s">
        <v>45</v>
      </c>
      <c r="Q439">
        <v>0</v>
      </c>
      <c r="R439">
        <v>0</v>
      </c>
      <c r="S439">
        <v>0</v>
      </c>
      <c r="T439" t="s">
        <v>46</v>
      </c>
      <c r="U439" t="s">
        <v>57</v>
      </c>
      <c r="V439">
        <v>0</v>
      </c>
      <c r="W439" t="s">
        <v>38</v>
      </c>
      <c r="X439">
        <v>6</v>
      </c>
      <c r="Z439">
        <v>0</v>
      </c>
      <c r="AA439" t="s">
        <v>39</v>
      </c>
      <c r="AB439">
        <v>27.5</v>
      </c>
      <c r="AC439">
        <v>0</v>
      </c>
      <c r="AD439">
        <v>1</v>
      </c>
      <c r="AE439" t="s">
        <v>40</v>
      </c>
      <c r="AF439" s="1">
        <v>42440</v>
      </c>
    </row>
    <row r="440" spans="1:32" x14ac:dyDescent="0.25">
      <c r="A440" t="s">
        <v>41</v>
      </c>
      <c r="B440">
        <v>0</v>
      </c>
      <c r="C440">
        <v>86</v>
      </c>
      <c r="D440">
        <v>2016</v>
      </c>
      <c r="E440" t="s">
        <v>59</v>
      </c>
      <c r="F440">
        <v>43</v>
      </c>
      <c r="G440">
        <v>20</v>
      </c>
      <c r="H440">
        <v>0</v>
      </c>
      <c r="I440">
        <v>3</v>
      </c>
      <c r="J440">
        <v>4</v>
      </c>
      <c r="K440">
        <v>0</v>
      </c>
      <c r="L440">
        <v>0</v>
      </c>
      <c r="M440" t="s">
        <v>34</v>
      </c>
      <c r="N440" t="s">
        <v>103</v>
      </c>
      <c r="O440" t="s">
        <v>44</v>
      </c>
      <c r="P440" t="s">
        <v>45</v>
      </c>
      <c r="Q440">
        <v>0</v>
      </c>
      <c r="R440">
        <v>0</v>
      </c>
      <c r="S440">
        <v>0</v>
      </c>
      <c r="T440" t="s">
        <v>84</v>
      </c>
      <c r="U440" t="s">
        <v>84</v>
      </c>
      <c r="V440">
        <v>1</v>
      </c>
      <c r="W440" t="s">
        <v>38</v>
      </c>
      <c r="X440">
        <v>7</v>
      </c>
      <c r="Z440">
        <v>0</v>
      </c>
      <c r="AA440" t="s">
        <v>39</v>
      </c>
      <c r="AB440">
        <v>192.86</v>
      </c>
      <c r="AC440">
        <v>0</v>
      </c>
      <c r="AD440">
        <v>1</v>
      </c>
      <c r="AE440" t="s">
        <v>40</v>
      </c>
      <c r="AF440" s="1">
        <v>42666</v>
      </c>
    </row>
    <row r="441" spans="1:32" x14ac:dyDescent="0.25">
      <c r="A441" t="s">
        <v>41</v>
      </c>
      <c r="B441">
        <v>0</v>
      </c>
      <c r="C441">
        <v>79</v>
      </c>
      <c r="D441">
        <v>2017</v>
      </c>
      <c r="E441" t="s">
        <v>54</v>
      </c>
      <c r="F441">
        <v>17</v>
      </c>
      <c r="G441">
        <v>24</v>
      </c>
      <c r="H441">
        <v>1</v>
      </c>
      <c r="I441">
        <v>3</v>
      </c>
      <c r="J441">
        <v>2</v>
      </c>
      <c r="K441">
        <v>0</v>
      </c>
      <c r="L441">
        <v>0</v>
      </c>
      <c r="M441" t="s">
        <v>34</v>
      </c>
      <c r="N441" t="s">
        <v>70</v>
      </c>
      <c r="O441" t="s">
        <v>44</v>
      </c>
      <c r="P441" t="s">
        <v>45</v>
      </c>
      <c r="Q441">
        <v>0</v>
      </c>
      <c r="R441">
        <v>0</v>
      </c>
      <c r="S441">
        <v>0</v>
      </c>
      <c r="T441" t="s">
        <v>57</v>
      </c>
      <c r="U441" t="s">
        <v>57</v>
      </c>
      <c r="V441">
        <v>0</v>
      </c>
      <c r="W441" t="s">
        <v>38</v>
      </c>
      <c r="X441">
        <v>9</v>
      </c>
      <c r="Z441">
        <v>0</v>
      </c>
      <c r="AA441" t="s">
        <v>39</v>
      </c>
      <c r="AB441">
        <v>132.75</v>
      </c>
      <c r="AC441">
        <v>0</v>
      </c>
      <c r="AD441">
        <v>1</v>
      </c>
      <c r="AE441" t="s">
        <v>40</v>
      </c>
      <c r="AF441" s="1">
        <v>42853</v>
      </c>
    </row>
    <row r="442" spans="1:32" x14ac:dyDescent="0.25">
      <c r="A442" t="s">
        <v>41</v>
      </c>
      <c r="B442">
        <v>1</v>
      </c>
      <c r="C442">
        <v>221</v>
      </c>
      <c r="D442">
        <v>2016</v>
      </c>
      <c r="E442" t="s">
        <v>83</v>
      </c>
      <c r="F442">
        <v>24</v>
      </c>
      <c r="G442">
        <v>10</v>
      </c>
      <c r="H442">
        <v>1</v>
      </c>
      <c r="I442">
        <v>2</v>
      </c>
      <c r="J442">
        <v>2</v>
      </c>
      <c r="K442">
        <v>0</v>
      </c>
      <c r="L442">
        <v>0</v>
      </c>
      <c r="M442" t="s">
        <v>34</v>
      </c>
      <c r="N442" t="s">
        <v>43</v>
      </c>
      <c r="O442" t="s">
        <v>49</v>
      </c>
      <c r="P442" t="s">
        <v>45</v>
      </c>
      <c r="Q442">
        <v>0</v>
      </c>
      <c r="R442">
        <v>1</v>
      </c>
      <c r="S442">
        <v>0</v>
      </c>
      <c r="T442" t="s">
        <v>46</v>
      </c>
      <c r="U442" t="s">
        <v>46</v>
      </c>
      <c r="V442">
        <v>0</v>
      </c>
      <c r="W442" t="s">
        <v>68</v>
      </c>
      <c r="X442">
        <v>3</v>
      </c>
      <c r="Z442">
        <v>15</v>
      </c>
      <c r="AA442" t="s">
        <v>39</v>
      </c>
      <c r="AB442">
        <v>80</v>
      </c>
      <c r="AC442">
        <v>0</v>
      </c>
      <c r="AD442">
        <v>0</v>
      </c>
      <c r="AE442" t="s">
        <v>47</v>
      </c>
      <c r="AF442" s="1">
        <v>42325</v>
      </c>
    </row>
    <row r="443" spans="1:32" x14ac:dyDescent="0.25">
      <c r="A443" t="s">
        <v>32</v>
      </c>
      <c r="B443">
        <v>1</v>
      </c>
      <c r="C443">
        <v>256</v>
      </c>
      <c r="D443">
        <v>2016</v>
      </c>
      <c r="E443" t="s">
        <v>83</v>
      </c>
      <c r="F443">
        <v>25</v>
      </c>
      <c r="G443">
        <v>17</v>
      </c>
      <c r="H443">
        <v>2</v>
      </c>
      <c r="I443">
        <v>7</v>
      </c>
      <c r="J443">
        <v>2</v>
      </c>
      <c r="K443">
        <v>0</v>
      </c>
      <c r="L443">
        <v>0</v>
      </c>
      <c r="M443" t="s">
        <v>34</v>
      </c>
      <c r="N443" t="s">
        <v>43</v>
      </c>
      <c r="O443" t="s">
        <v>44</v>
      </c>
      <c r="P443" t="s">
        <v>45</v>
      </c>
      <c r="Q443">
        <v>0</v>
      </c>
      <c r="R443">
        <v>0</v>
      </c>
      <c r="S443">
        <v>0</v>
      </c>
      <c r="T443" t="s">
        <v>46</v>
      </c>
      <c r="U443" t="s">
        <v>46</v>
      </c>
      <c r="V443">
        <v>0</v>
      </c>
      <c r="W443" t="s">
        <v>38</v>
      </c>
      <c r="X443">
        <v>240</v>
      </c>
      <c r="Z443">
        <v>0</v>
      </c>
      <c r="AA443" t="s">
        <v>39</v>
      </c>
      <c r="AB443">
        <v>72</v>
      </c>
      <c r="AC443">
        <v>0</v>
      </c>
      <c r="AD443">
        <v>1</v>
      </c>
      <c r="AE443" t="s">
        <v>47</v>
      </c>
      <c r="AF443" s="1">
        <v>42368</v>
      </c>
    </row>
    <row r="444" spans="1:32" x14ac:dyDescent="0.25">
      <c r="A444" t="s">
        <v>41</v>
      </c>
      <c r="B444">
        <v>0</v>
      </c>
      <c r="C444">
        <v>9</v>
      </c>
      <c r="D444">
        <v>2015</v>
      </c>
      <c r="E444" t="s">
        <v>67</v>
      </c>
      <c r="F444">
        <v>35</v>
      </c>
      <c r="G444">
        <v>23</v>
      </c>
      <c r="H444">
        <v>2</v>
      </c>
      <c r="I444">
        <v>0</v>
      </c>
      <c r="J444">
        <v>2</v>
      </c>
      <c r="K444">
        <v>0</v>
      </c>
      <c r="L444">
        <v>0</v>
      </c>
      <c r="M444" t="s">
        <v>34</v>
      </c>
      <c r="N444" t="s">
        <v>63</v>
      </c>
      <c r="O444" t="s">
        <v>36</v>
      </c>
      <c r="P444" t="s">
        <v>36</v>
      </c>
      <c r="Q444">
        <v>0</v>
      </c>
      <c r="R444">
        <v>0</v>
      </c>
      <c r="S444">
        <v>0</v>
      </c>
      <c r="T444" t="s">
        <v>46</v>
      </c>
      <c r="U444" t="s">
        <v>46</v>
      </c>
      <c r="V444">
        <v>0</v>
      </c>
      <c r="W444" t="s">
        <v>38</v>
      </c>
      <c r="X444">
        <v>14</v>
      </c>
      <c r="Z444">
        <v>0</v>
      </c>
      <c r="AA444" t="s">
        <v>39</v>
      </c>
      <c r="AB444">
        <v>75</v>
      </c>
      <c r="AC444">
        <v>0</v>
      </c>
      <c r="AD444">
        <v>0</v>
      </c>
      <c r="AE444" t="s">
        <v>40</v>
      </c>
      <c r="AF444" s="1">
        <v>42241</v>
      </c>
    </row>
    <row r="445" spans="1:32" x14ac:dyDescent="0.25">
      <c r="A445" t="s">
        <v>32</v>
      </c>
      <c r="B445">
        <v>0</v>
      </c>
      <c r="C445">
        <v>207</v>
      </c>
      <c r="D445">
        <v>2016</v>
      </c>
      <c r="E445" t="s">
        <v>67</v>
      </c>
      <c r="F445">
        <v>33</v>
      </c>
      <c r="G445">
        <v>12</v>
      </c>
      <c r="H445">
        <v>1</v>
      </c>
      <c r="I445">
        <v>2</v>
      </c>
      <c r="J445">
        <v>2</v>
      </c>
      <c r="K445">
        <v>0</v>
      </c>
      <c r="L445">
        <v>0</v>
      </c>
      <c r="M445" t="s">
        <v>34</v>
      </c>
      <c r="N445" t="s">
        <v>43</v>
      </c>
      <c r="O445" t="s">
        <v>44</v>
      </c>
      <c r="P445" t="s">
        <v>45</v>
      </c>
      <c r="Q445">
        <v>0</v>
      </c>
      <c r="R445">
        <v>0</v>
      </c>
      <c r="S445">
        <v>0</v>
      </c>
      <c r="T445" t="s">
        <v>46</v>
      </c>
      <c r="U445" t="s">
        <v>57</v>
      </c>
      <c r="V445">
        <v>0</v>
      </c>
      <c r="W445" t="s">
        <v>38</v>
      </c>
      <c r="X445">
        <v>240</v>
      </c>
      <c r="Z445">
        <v>0</v>
      </c>
      <c r="AA445" t="s">
        <v>39</v>
      </c>
      <c r="AB445">
        <v>152</v>
      </c>
      <c r="AC445">
        <v>1</v>
      </c>
      <c r="AD445">
        <v>0</v>
      </c>
      <c r="AE445" t="s">
        <v>40</v>
      </c>
      <c r="AF445" s="1">
        <v>42597</v>
      </c>
    </row>
    <row r="446" spans="1:32" x14ac:dyDescent="0.25">
      <c r="A446" t="s">
        <v>32</v>
      </c>
      <c r="B446">
        <v>1</v>
      </c>
      <c r="C446">
        <v>147</v>
      </c>
      <c r="D446">
        <v>2016</v>
      </c>
      <c r="E446" t="s">
        <v>52</v>
      </c>
      <c r="F446">
        <v>14</v>
      </c>
      <c r="G446">
        <v>28</v>
      </c>
      <c r="H446">
        <v>2</v>
      </c>
      <c r="I446">
        <v>5</v>
      </c>
      <c r="J446">
        <v>2</v>
      </c>
      <c r="K446">
        <v>0</v>
      </c>
      <c r="L446">
        <v>0</v>
      </c>
      <c r="M446" t="s">
        <v>60</v>
      </c>
      <c r="N446" t="s">
        <v>43</v>
      </c>
      <c r="O446" t="s">
        <v>49</v>
      </c>
      <c r="P446" t="s">
        <v>45</v>
      </c>
      <c r="Q446">
        <v>0</v>
      </c>
      <c r="R446">
        <v>0</v>
      </c>
      <c r="S446">
        <v>0</v>
      </c>
      <c r="T446" t="s">
        <v>72</v>
      </c>
      <c r="U446" t="s">
        <v>72</v>
      </c>
      <c r="V446">
        <v>0</v>
      </c>
      <c r="W446" t="s">
        <v>38</v>
      </c>
      <c r="Z446">
        <v>0</v>
      </c>
      <c r="AA446" t="s">
        <v>51</v>
      </c>
      <c r="AB446">
        <v>73</v>
      </c>
      <c r="AC446">
        <v>0</v>
      </c>
      <c r="AD446">
        <v>0</v>
      </c>
      <c r="AE446" t="s">
        <v>47</v>
      </c>
      <c r="AF446" s="1">
        <v>42433</v>
      </c>
    </row>
    <row r="447" spans="1:32" x14ac:dyDescent="0.25">
      <c r="A447" t="s">
        <v>32</v>
      </c>
      <c r="B447">
        <v>0</v>
      </c>
      <c r="C447">
        <v>10</v>
      </c>
      <c r="D447">
        <v>2016</v>
      </c>
      <c r="E447" t="s">
        <v>59</v>
      </c>
      <c r="F447">
        <v>42</v>
      </c>
      <c r="G447">
        <v>9</v>
      </c>
      <c r="H447">
        <v>2</v>
      </c>
      <c r="I447">
        <v>0</v>
      </c>
      <c r="J447">
        <v>2</v>
      </c>
      <c r="K447">
        <v>0</v>
      </c>
      <c r="L447">
        <v>0</v>
      </c>
      <c r="M447" t="s">
        <v>34</v>
      </c>
      <c r="N447" t="s">
        <v>35</v>
      </c>
      <c r="O447" t="s">
        <v>64</v>
      </c>
      <c r="P447" t="s">
        <v>76</v>
      </c>
      <c r="Q447">
        <v>0</v>
      </c>
      <c r="R447">
        <v>0</v>
      </c>
      <c r="S447">
        <v>0</v>
      </c>
      <c r="T447" t="s">
        <v>46</v>
      </c>
      <c r="U447" t="s">
        <v>46</v>
      </c>
      <c r="V447">
        <v>0</v>
      </c>
      <c r="W447" t="s">
        <v>38</v>
      </c>
      <c r="Z447">
        <v>0</v>
      </c>
      <c r="AA447" t="s">
        <v>51</v>
      </c>
      <c r="AB447">
        <v>55</v>
      </c>
      <c r="AC447">
        <v>0</v>
      </c>
      <c r="AD447">
        <v>0</v>
      </c>
      <c r="AE447" t="s">
        <v>40</v>
      </c>
      <c r="AF447" s="1">
        <v>42654</v>
      </c>
    </row>
    <row r="448" spans="1:32" x14ac:dyDescent="0.25">
      <c r="A448" t="s">
        <v>32</v>
      </c>
      <c r="B448">
        <v>1</v>
      </c>
      <c r="C448">
        <v>32</v>
      </c>
      <c r="D448">
        <v>2016</v>
      </c>
      <c r="E448" t="s">
        <v>54</v>
      </c>
      <c r="F448">
        <v>17</v>
      </c>
      <c r="G448">
        <v>19</v>
      </c>
      <c r="H448">
        <v>2</v>
      </c>
      <c r="I448">
        <v>5</v>
      </c>
      <c r="J448">
        <v>2</v>
      </c>
      <c r="K448">
        <v>0</v>
      </c>
      <c r="L448">
        <v>0</v>
      </c>
      <c r="M448" t="s">
        <v>60</v>
      </c>
      <c r="N448" t="s">
        <v>43</v>
      </c>
      <c r="O448" t="s">
        <v>64</v>
      </c>
      <c r="P448" t="s">
        <v>36</v>
      </c>
      <c r="Q448">
        <v>0</v>
      </c>
      <c r="R448">
        <v>0</v>
      </c>
      <c r="S448">
        <v>0</v>
      </c>
      <c r="T448" t="s">
        <v>57</v>
      </c>
      <c r="U448" t="s">
        <v>57</v>
      </c>
      <c r="V448">
        <v>0</v>
      </c>
      <c r="W448" t="s">
        <v>38</v>
      </c>
      <c r="X448">
        <v>273</v>
      </c>
      <c r="Z448">
        <v>0</v>
      </c>
      <c r="AA448" t="s">
        <v>51</v>
      </c>
      <c r="AB448">
        <v>69.36</v>
      </c>
      <c r="AC448">
        <v>0</v>
      </c>
      <c r="AD448">
        <v>0</v>
      </c>
      <c r="AE448" t="s">
        <v>47</v>
      </c>
      <c r="AF448" s="1">
        <v>42447</v>
      </c>
    </row>
    <row r="449" spans="1:32" x14ac:dyDescent="0.25">
      <c r="A449" t="s">
        <v>32</v>
      </c>
      <c r="B449">
        <v>0</v>
      </c>
      <c r="C449">
        <v>88</v>
      </c>
      <c r="D449">
        <v>2016</v>
      </c>
      <c r="E449" t="s">
        <v>54</v>
      </c>
      <c r="F449">
        <v>16</v>
      </c>
      <c r="G449">
        <v>15</v>
      </c>
      <c r="H449">
        <v>2</v>
      </c>
      <c r="I449">
        <v>5</v>
      </c>
      <c r="J449">
        <v>2</v>
      </c>
      <c r="K449">
        <v>0</v>
      </c>
      <c r="L449">
        <v>0</v>
      </c>
      <c r="M449" t="s">
        <v>34</v>
      </c>
      <c r="N449" t="s">
        <v>109</v>
      </c>
      <c r="O449" t="s">
        <v>49</v>
      </c>
      <c r="P449" t="s">
        <v>45</v>
      </c>
      <c r="Q449">
        <v>0</v>
      </c>
      <c r="R449">
        <v>0</v>
      </c>
      <c r="S449">
        <v>0</v>
      </c>
      <c r="T449" t="s">
        <v>57</v>
      </c>
      <c r="U449" t="s">
        <v>37</v>
      </c>
      <c r="V449">
        <v>0</v>
      </c>
      <c r="W449" t="s">
        <v>38</v>
      </c>
      <c r="X449">
        <v>314</v>
      </c>
      <c r="Z449">
        <v>0</v>
      </c>
      <c r="AA449" t="s">
        <v>39</v>
      </c>
      <c r="AB449">
        <v>69.7</v>
      </c>
      <c r="AC449">
        <v>1</v>
      </c>
      <c r="AD449">
        <v>1</v>
      </c>
      <c r="AE449" t="s">
        <v>40</v>
      </c>
      <c r="AF449" s="1">
        <v>42482</v>
      </c>
    </row>
    <row r="450" spans="1:32" x14ac:dyDescent="0.25">
      <c r="A450" t="s">
        <v>32</v>
      </c>
      <c r="B450">
        <v>1</v>
      </c>
      <c r="C450">
        <v>11</v>
      </c>
      <c r="D450">
        <v>2015</v>
      </c>
      <c r="E450" t="s">
        <v>33</v>
      </c>
      <c r="F450">
        <v>49</v>
      </c>
      <c r="G450">
        <v>5</v>
      </c>
      <c r="H450">
        <v>2</v>
      </c>
      <c r="I450">
        <v>1</v>
      </c>
      <c r="J450">
        <v>2</v>
      </c>
      <c r="K450">
        <v>0</v>
      </c>
      <c r="L450">
        <v>0</v>
      </c>
      <c r="M450" t="s">
        <v>90</v>
      </c>
      <c r="N450" t="s">
        <v>43</v>
      </c>
      <c r="O450" t="s">
        <v>49</v>
      </c>
      <c r="P450" t="s">
        <v>45</v>
      </c>
      <c r="Q450">
        <v>0</v>
      </c>
      <c r="R450">
        <v>1</v>
      </c>
      <c r="S450">
        <v>0</v>
      </c>
      <c r="T450" t="s">
        <v>46</v>
      </c>
      <c r="U450" t="s">
        <v>46</v>
      </c>
      <c r="V450">
        <v>0</v>
      </c>
      <c r="W450" t="s">
        <v>38</v>
      </c>
      <c r="Z450">
        <v>0</v>
      </c>
      <c r="AA450" t="s">
        <v>51</v>
      </c>
      <c r="AB450">
        <v>64</v>
      </c>
      <c r="AC450">
        <v>0</v>
      </c>
      <c r="AD450">
        <v>0</v>
      </c>
      <c r="AE450" t="s">
        <v>47</v>
      </c>
      <c r="AF450" s="1">
        <v>42335</v>
      </c>
    </row>
    <row r="451" spans="1:32" x14ac:dyDescent="0.25">
      <c r="A451" t="s">
        <v>41</v>
      </c>
      <c r="B451">
        <v>0</v>
      </c>
      <c r="C451">
        <v>320</v>
      </c>
      <c r="D451">
        <v>2016</v>
      </c>
      <c r="E451" t="s">
        <v>67</v>
      </c>
      <c r="F451">
        <v>34</v>
      </c>
      <c r="G451">
        <v>18</v>
      </c>
      <c r="H451">
        <v>0</v>
      </c>
      <c r="I451">
        <v>2</v>
      </c>
      <c r="J451">
        <v>2</v>
      </c>
      <c r="K451">
        <v>0</v>
      </c>
      <c r="L451">
        <v>0</v>
      </c>
      <c r="M451" t="s">
        <v>60</v>
      </c>
      <c r="N451" t="s">
        <v>56</v>
      </c>
      <c r="O451" t="s">
        <v>49</v>
      </c>
      <c r="P451" t="s">
        <v>45</v>
      </c>
      <c r="Q451">
        <v>0</v>
      </c>
      <c r="R451">
        <v>0</v>
      </c>
      <c r="S451">
        <v>0</v>
      </c>
      <c r="T451" t="s">
        <v>46</v>
      </c>
      <c r="U451" t="s">
        <v>46</v>
      </c>
      <c r="V451">
        <v>0</v>
      </c>
      <c r="W451" t="s">
        <v>38</v>
      </c>
      <c r="X451">
        <v>6</v>
      </c>
      <c r="Z451">
        <v>0</v>
      </c>
      <c r="AA451" t="s">
        <v>51</v>
      </c>
      <c r="AB451">
        <v>115</v>
      </c>
      <c r="AC451">
        <v>0</v>
      </c>
      <c r="AD451">
        <v>1</v>
      </c>
      <c r="AE451" t="s">
        <v>40</v>
      </c>
      <c r="AF451" s="1">
        <v>42602</v>
      </c>
    </row>
    <row r="452" spans="1:32" x14ac:dyDescent="0.25">
      <c r="A452" t="s">
        <v>41</v>
      </c>
      <c r="B452">
        <v>1</v>
      </c>
      <c r="C452">
        <v>153</v>
      </c>
      <c r="D452">
        <v>2015</v>
      </c>
      <c r="E452" t="s">
        <v>67</v>
      </c>
      <c r="F452">
        <v>32</v>
      </c>
      <c r="G452">
        <v>3</v>
      </c>
      <c r="H452">
        <v>1</v>
      </c>
      <c r="I452">
        <v>2</v>
      </c>
      <c r="J452">
        <v>2</v>
      </c>
      <c r="K452">
        <v>0</v>
      </c>
      <c r="L452">
        <v>0</v>
      </c>
      <c r="M452" t="s">
        <v>34</v>
      </c>
      <c r="N452" t="s">
        <v>43</v>
      </c>
      <c r="O452" t="s">
        <v>64</v>
      </c>
      <c r="P452" t="s">
        <v>45</v>
      </c>
      <c r="Q452">
        <v>0</v>
      </c>
      <c r="R452">
        <v>1</v>
      </c>
      <c r="S452">
        <v>0</v>
      </c>
      <c r="T452" t="s">
        <v>46</v>
      </c>
      <c r="U452" t="s">
        <v>46</v>
      </c>
      <c r="V452">
        <v>0</v>
      </c>
      <c r="W452" t="s">
        <v>68</v>
      </c>
      <c r="X452">
        <v>1</v>
      </c>
      <c r="Z452">
        <v>0</v>
      </c>
      <c r="AA452" t="s">
        <v>39</v>
      </c>
      <c r="AB452">
        <v>60</v>
      </c>
      <c r="AC452">
        <v>0</v>
      </c>
      <c r="AD452">
        <v>0</v>
      </c>
      <c r="AE452" t="s">
        <v>47</v>
      </c>
      <c r="AF452" s="1">
        <v>42143</v>
      </c>
    </row>
    <row r="453" spans="1:32" x14ac:dyDescent="0.25">
      <c r="A453" t="s">
        <v>32</v>
      </c>
      <c r="B453">
        <v>0</v>
      </c>
      <c r="C453">
        <v>107</v>
      </c>
      <c r="D453">
        <v>2015</v>
      </c>
      <c r="E453" t="s">
        <v>42</v>
      </c>
      <c r="F453">
        <v>27</v>
      </c>
      <c r="G453">
        <v>2</v>
      </c>
      <c r="H453">
        <v>2</v>
      </c>
      <c r="I453">
        <v>5</v>
      </c>
      <c r="J453">
        <v>2</v>
      </c>
      <c r="K453">
        <v>0</v>
      </c>
      <c r="L453">
        <v>0</v>
      </c>
      <c r="M453" t="s">
        <v>34</v>
      </c>
      <c r="N453" t="s">
        <v>43</v>
      </c>
      <c r="O453" t="s">
        <v>44</v>
      </c>
      <c r="P453" t="s">
        <v>45</v>
      </c>
      <c r="Q453">
        <v>0</v>
      </c>
      <c r="R453">
        <v>0</v>
      </c>
      <c r="S453">
        <v>0</v>
      </c>
      <c r="T453" t="s">
        <v>46</v>
      </c>
      <c r="U453" t="s">
        <v>46</v>
      </c>
      <c r="V453">
        <v>0</v>
      </c>
      <c r="W453" t="s">
        <v>38</v>
      </c>
      <c r="X453">
        <v>240</v>
      </c>
      <c r="Z453">
        <v>0</v>
      </c>
      <c r="AA453" t="s">
        <v>39</v>
      </c>
      <c r="AB453">
        <v>110.7</v>
      </c>
      <c r="AC453">
        <v>0</v>
      </c>
      <c r="AD453">
        <v>2</v>
      </c>
      <c r="AE453" t="s">
        <v>40</v>
      </c>
      <c r="AF453" s="1">
        <v>42194</v>
      </c>
    </row>
    <row r="454" spans="1:32" x14ac:dyDescent="0.25">
      <c r="A454" t="s">
        <v>41</v>
      </c>
      <c r="B454">
        <v>1</v>
      </c>
      <c r="C454">
        <v>177</v>
      </c>
      <c r="D454">
        <v>2017</v>
      </c>
      <c r="E454" t="s">
        <v>42</v>
      </c>
      <c r="F454">
        <v>27</v>
      </c>
      <c r="G454">
        <v>3</v>
      </c>
      <c r="H454">
        <v>1</v>
      </c>
      <c r="I454">
        <v>1</v>
      </c>
      <c r="J454">
        <v>2</v>
      </c>
      <c r="K454">
        <v>0</v>
      </c>
      <c r="L454">
        <v>0</v>
      </c>
      <c r="M454" t="s">
        <v>55</v>
      </c>
      <c r="N454" t="s">
        <v>95</v>
      </c>
      <c r="O454" t="s">
        <v>44</v>
      </c>
      <c r="P454" t="s">
        <v>45</v>
      </c>
      <c r="Q454">
        <v>0</v>
      </c>
      <c r="R454">
        <v>0</v>
      </c>
      <c r="S454">
        <v>0</v>
      </c>
      <c r="T454" t="s">
        <v>46</v>
      </c>
      <c r="U454" t="s">
        <v>46</v>
      </c>
      <c r="V454">
        <v>0</v>
      </c>
      <c r="W454" t="s">
        <v>38</v>
      </c>
      <c r="X454">
        <v>9</v>
      </c>
      <c r="Z454">
        <v>0</v>
      </c>
      <c r="AA454" t="s">
        <v>39</v>
      </c>
      <c r="AB454">
        <v>89.1</v>
      </c>
      <c r="AC454">
        <v>0</v>
      </c>
      <c r="AD454">
        <v>0</v>
      </c>
      <c r="AE454" t="s">
        <v>47</v>
      </c>
      <c r="AF454" s="1">
        <v>42816</v>
      </c>
    </row>
    <row r="455" spans="1:32" x14ac:dyDescent="0.25">
      <c r="A455" t="s">
        <v>41</v>
      </c>
      <c r="B455">
        <v>0</v>
      </c>
      <c r="C455">
        <v>20</v>
      </c>
      <c r="D455">
        <v>2017</v>
      </c>
      <c r="E455" t="s">
        <v>69</v>
      </c>
      <c r="F455">
        <v>21</v>
      </c>
      <c r="G455">
        <v>24</v>
      </c>
      <c r="H455">
        <v>0</v>
      </c>
      <c r="I455">
        <v>1</v>
      </c>
      <c r="J455">
        <v>2</v>
      </c>
      <c r="K455">
        <v>0</v>
      </c>
      <c r="L455">
        <v>0</v>
      </c>
      <c r="M455" t="s">
        <v>34</v>
      </c>
      <c r="N455" t="s">
        <v>63</v>
      </c>
      <c r="O455" t="s">
        <v>64</v>
      </c>
      <c r="P455" t="s">
        <v>45</v>
      </c>
      <c r="Q455">
        <v>0</v>
      </c>
      <c r="R455">
        <v>0</v>
      </c>
      <c r="S455">
        <v>0</v>
      </c>
      <c r="T455" t="s">
        <v>46</v>
      </c>
      <c r="U455" t="s">
        <v>46</v>
      </c>
      <c r="V455">
        <v>0</v>
      </c>
      <c r="W455" t="s">
        <v>38</v>
      </c>
      <c r="X455">
        <v>87</v>
      </c>
      <c r="Z455">
        <v>0</v>
      </c>
      <c r="AA455" t="s">
        <v>51</v>
      </c>
      <c r="AB455">
        <v>120</v>
      </c>
      <c r="AC455">
        <v>0</v>
      </c>
      <c r="AD455">
        <v>0</v>
      </c>
      <c r="AE455" t="s">
        <v>40</v>
      </c>
      <c r="AF455" s="1">
        <v>42880</v>
      </c>
    </row>
    <row r="456" spans="1:32" x14ac:dyDescent="0.25">
      <c r="A456" t="s">
        <v>32</v>
      </c>
      <c r="B456">
        <v>0</v>
      </c>
      <c r="C456">
        <v>12</v>
      </c>
      <c r="D456">
        <v>2016</v>
      </c>
      <c r="E456" t="s">
        <v>74</v>
      </c>
      <c r="F456">
        <v>5</v>
      </c>
      <c r="G456">
        <v>30</v>
      </c>
      <c r="H456">
        <v>0</v>
      </c>
      <c r="I456">
        <v>1</v>
      </c>
      <c r="J456">
        <v>1</v>
      </c>
      <c r="K456">
        <v>0</v>
      </c>
      <c r="L456">
        <v>0</v>
      </c>
      <c r="M456" t="s">
        <v>34</v>
      </c>
      <c r="N456" t="s">
        <v>117</v>
      </c>
      <c r="O456" t="s">
        <v>49</v>
      </c>
      <c r="P456" t="s">
        <v>45</v>
      </c>
      <c r="Q456">
        <v>0</v>
      </c>
      <c r="R456">
        <v>0</v>
      </c>
      <c r="S456">
        <v>0</v>
      </c>
      <c r="T456" t="s">
        <v>46</v>
      </c>
      <c r="U456" t="s">
        <v>57</v>
      </c>
      <c r="V456">
        <v>0</v>
      </c>
      <c r="W456" t="s">
        <v>38</v>
      </c>
      <c r="X456">
        <v>95</v>
      </c>
      <c r="Z456">
        <v>0</v>
      </c>
      <c r="AA456" t="s">
        <v>39</v>
      </c>
      <c r="AB456">
        <v>25</v>
      </c>
      <c r="AC456">
        <v>0</v>
      </c>
      <c r="AD456">
        <v>0</v>
      </c>
      <c r="AE456" t="s">
        <v>40</v>
      </c>
      <c r="AF456" s="1">
        <v>42400</v>
      </c>
    </row>
    <row r="457" spans="1:32" x14ac:dyDescent="0.25">
      <c r="A457" t="s">
        <v>32</v>
      </c>
      <c r="B457">
        <v>1</v>
      </c>
      <c r="C457">
        <v>19</v>
      </c>
      <c r="D457">
        <v>2017</v>
      </c>
      <c r="E457" t="s">
        <v>74</v>
      </c>
      <c r="F457">
        <v>3</v>
      </c>
      <c r="G457">
        <v>15</v>
      </c>
      <c r="H457">
        <v>2</v>
      </c>
      <c r="I457">
        <v>2</v>
      </c>
      <c r="J457">
        <v>3</v>
      </c>
      <c r="K457">
        <v>1</v>
      </c>
      <c r="L457">
        <v>0</v>
      </c>
      <c r="M457" t="s">
        <v>34</v>
      </c>
      <c r="N457" t="s">
        <v>95</v>
      </c>
      <c r="O457" t="s">
        <v>44</v>
      </c>
      <c r="P457" t="s">
        <v>45</v>
      </c>
      <c r="Q457">
        <v>0</v>
      </c>
      <c r="R457">
        <v>0</v>
      </c>
      <c r="S457">
        <v>0</v>
      </c>
      <c r="T457" t="s">
        <v>92</v>
      </c>
      <c r="U457" t="s">
        <v>92</v>
      </c>
      <c r="V457">
        <v>0</v>
      </c>
      <c r="W457" t="s">
        <v>38</v>
      </c>
      <c r="X457">
        <v>240</v>
      </c>
      <c r="Z457">
        <v>0</v>
      </c>
      <c r="AA457" t="s">
        <v>39</v>
      </c>
      <c r="AB457">
        <v>93</v>
      </c>
      <c r="AC457">
        <v>0</v>
      </c>
      <c r="AD457">
        <v>1</v>
      </c>
      <c r="AE457" t="s">
        <v>47</v>
      </c>
      <c r="AF457" s="1">
        <v>42731</v>
      </c>
    </row>
    <row r="458" spans="1:32" x14ac:dyDescent="0.25">
      <c r="A458" t="s">
        <v>32</v>
      </c>
      <c r="B458">
        <v>0</v>
      </c>
      <c r="C458">
        <v>44</v>
      </c>
      <c r="D458">
        <v>2016</v>
      </c>
      <c r="E458" t="s">
        <v>54</v>
      </c>
      <c r="F458">
        <v>15</v>
      </c>
      <c r="G458">
        <v>6</v>
      </c>
      <c r="H458">
        <v>0</v>
      </c>
      <c r="I458">
        <v>4</v>
      </c>
      <c r="J458">
        <v>2</v>
      </c>
      <c r="K458">
        <v>0</v>
      </c>
      <c r="L458">
        <v>0</v>
      </c>
      <c r="M458" t="s">
        <v>60</v>
      </c>
      <c r="N458" t="s">
        <v>43</v>
      </c>
      <c r="O458" t="s">
        <v>36</v>
      </c>
      <c r="P458" t="s">
        <v>36</v>
      </c>
      <c r="Q458">
        <v>0</v>
      </c>
      <c r="R458">
        <v>0</v>
      </c>
      <c r="S458">
        <v>0</v>
      </c>
      <c r="T458" t="s">
        <v>46</v>
      </c>
      <c r="U458" t="s">
        <v>57</v>
      </c>
      <c r="V458">
        <v>0</v>
      </c>
      <c r="W458" t="s">
        <v>38</v>
      </c>
      <c r="X458">
        <v>250</v>
      </c>
      <c r="Z458">
        <v>0</v>
      </c>
      <c r="AA458" t="s">
        <v>51</v>
      </c>
      <c r="AB458">
        <v>83</v>
      </c>
      <c r="AC458">
        <v>0</v>
      </c>
      <c r="AD458">
        <v>2</v>
      </c>
      <c r="AE458" t="s">
        <v>40</v>
      </c>
      <c r="AF458" s="1">
        <v>42470</v>
      </c>
    </row>
    <row r="459" spans="1:32" x14ac:dyDescent="0.25">
      <c r="A459" t="s">
        <v>41</v>
      </c>
      <c r="B459">
        <v>0</v>
      </c>
      <c r="C459">
        <v>80</v>
      </c>
      <c r="D459">
        <v>2015</v>
      </c>
      <c r="E459" t="s">
        <v>59</v>
      </c>
      <c r="F459">
        <v>41</v>
      </c>
      <c r="G459">
        <v>9</v>
      </c>
      <c r="H459">
        <v>0</v>
      </c>
      <c r="I459">
        <v>2</v>
      </c>
      <c r="J459">
        <v>1</v>
      </c>
      <c r="K459">
        <v>0</v>
      </c>
      <c r="L459">
        <v>0</v>
      </c>
      <c r="M459" t="s">
        <v>60</v>
      </c>
      <c r="N459" t="s">
        <v>43</v>
      </c>
      <c r="O459" t="s">
        <v>49</v>
      </c>
      <c r="P459" t="s">
        <v>45</v>
      </c>
      <c r="Q459">
        <v>0</v>
      </c>
      <c r="R459">
        <v>0</v>
      </c>
      <c r="S459">
        <v>0</v>
      </c>
      <c r="T459" t="s">
        <v>57</v>
      </c>
      <c r="U459" t="s">
        <v>57</v>
      </c>
      <c r="V459">
        <v>0</v>
      </c>
      <c r="W459" t="s">
        <v>38</v>
      </c>
      <c r="X459">
        <v>12</v>
      </c>
      <c r="Z459">
        <v>50</v>
      </c>
      <c r="AA459" t="s">
        <v>51</v>
      </c>
      <c r="AB459">
        <v>108</v>
      </c>
      <c r="AC459">
        <v>0</v>
      </c>
      <c r="AD459">
        <v>0</v>
      </c>
      <c r="AE459" t="s">
        <v>40</v>
      </c>
      <c r="AF459" s="1">
        <v>42288</v>
      </c>
    </row>
    <row r="460" spans="1:32" x14ac:dyDescent="0.25">
      <c r="A460" t="s">
        <v>41</v>
      </c>
      <c r="B460">
        <v>1</v>
      </c>
      <c r="C460">
        <v>285</v>
      </c>
      <c r="D460">
        <v>2016</v>
      </c>
      <c r="E460" t="s">
        <v>59</v>
      </c>
      <c r="F460">
        <v>41</v>
      </c>
      <c r="G460">
        <v>3</v>
      </c>
      <c r="H460">
        <v>1</v>
      </c>
      <c r="I460">
        <v>3</v>
      </c>
      <c r="J460">
        <v>2</v>
      </c>
      <c r="K460">
        <v>0</v>
      </c>
      <c r="L460">
        <v>0</v>
      </c>
      <c r="M460" t="s">
        <v>34</v>
      </c>
      <c r="N460" t="s">
        <v>43</v>
      </c>
      <c r="O460" t="s">
        <v>49</v>
      </c>
      <c r="P460" t="s">
        <v>45</v>
      </c>
      <c r="Q460">
        <v>0</v>
      </c>
      <c r="R460">
        <v>0</v>
      </c>
      <c r="S460">
        <v>0</v>
      </c>
      <c r="T460" t="s">
        <v>46</v>
      </c>
      <c r="U460" t="s">
        <v>46</v>
      </c>
      <c r="V460">
        <v>0</v>
      </c>
      <c r="W460" t="s">
        <v>68</v>
      </c>
      <c r="X460">
        <v>31</v>
      </c>
      <c r="Z460">
        <v>24</v>
      </c>
      <c r="AA460" t="s">
        <v>39</v>
      </c>
      <c r="AB460">
        <v>100</v>
      </c>
      <c r="AC460">
        <v>0</v>
      </c>
      <c r="AD460">
        <v>0</v>
      </c>
      <c r="AE460" t="s">
        <v>47</v>
      </c>
      <c r="AF460" s="1">
        <v>42385</v>
      </c>
    </row>
    <row r="461" spans="1:32" x14ac:dyDescent="0.25">
      <c r="A461" t="s">
        <v>32</v>
      </c>
      <c r="B461">
        <v>0</v>
      </c>
      <c r="C461">
        <v>2</v>
      </c>
      <c r="D461">
        <v>2017</v>
      </c>
      <c r="E461" t="s">
        <v>66</v>
      </c>
      <c r="F461">
        <v>6</v>
      </c>
      <c r="G461">
        <v>10</v>
      </c>
      <c r="H461">
        <v>0</v>
      </c>
      <c r="I461">
        <v>2</v>
      </c>
      <c r="J461">
        <v>2</v>
      </c>
      <c r="K461">
        <v>0</v>
      </c>
      <c r="L461">
        <v>0</v>
      </c>
      <c r="M461" t="s">
        <v>34</v>
      </c>
      <c r="N461" t="s">
        <v>63</v>
      </c>
      <c r="O461" t="s">
        <v>44</v>
      </c>
      <c r="P461" t="s">
        <v>45</v>
      </c>
      <c r="Q461">
        <v>0</v>
      </c>
      <c r="R461">
        <v>0</v>
      </c>
      <c r="S461">
        <v>0</v>
      </c>
      <c r="T461" t="s">
        <v>46</v>
      </c>
      <c r="U461" t="s">
        <v>46</v>
      </c>
      <c r="V461">
        <v>0</v>
      </c>
      <c r="W461" t="s">
        <v>38</v>
      </c>
      <c r="X461">
        <v>240</v>
      </c>
      <c r="Z461">
        <v>0</v>
      </c>
      <c r="AA461" t="s">
        <v>39</v>
      </c>
      <c r="AB461">
        <v>48</v>
      </c>
      <c r="AC461">
        <v>0</v>
      </c>
      <c r="AD461">
        <v>2</v>
      </c>
      <c r="AE461" t="s">
        <v>40</v>
      </c>
      <c r="AF461" s="1">
        <v>42778</v>
      </c>
    </row>
    <row r="462" spans="1:32" x14ac:dyDescent="0.25">
      <c r="A462" t="s">
        <v>32</v>
      </c>
      <c r="B462">
        <v>0</v>
      </c>
      <c r="C462">
        <v>40</v>
      </c>
      <c r="D462">
        <v>2017</v>
      </c>
      <c r="E462" t="s">
        <v>74</v>
      </c>
      <c r="F462">
        <v>3</v>
      </c>
      <c r="G462">
        <v>16</v>
      </c>
      <c r="H462">
        <v>1</v>
      </c>
      <c r="I462">
        <v>2</v>
      </c>
      <c r="J462">
        <v>1</v>
      </c>
      <c r="K462">
        <v>0</v>
      </c>
      <c r="L462">
        <v>0</v>
      </c>
      <c r="M462" t="s">
        <v>77</v>
      </c>
      <c r="N462" t="s">
        <v>43</v>
      </c>
      <c r="O462" t="s">
        <v>64</v>
      </c>
      <c r="P462" t="s">
        <v>36</v>
      </c>
      <c r="Q462">
        <v>0</v>
      </c>
      <c r="R462">
        <v>0</v>
      </c>
      <c r="S462">
        <v>0</v>
      </c>
      <c r="T462" t="s">
        <v>46</v>
      </c>
      <c r="U462" t="s">
        <v>46</v>
      </c>
      <c r="V462">
        <v>0</v>
      </c>
      <c r="W462" t="s">
        <v>38</v>
      </c>
      <c r="Z462">
        <v>0</v>
      </c>
      <c r="AA462" t="s">
        <v>51</v>
      </c>
      <c r="AB462">
        <v>55</v>
      </c>
      <c r="AC462">
        <v>0</v>
      </c>
      <c r="AD462">
        <v>0</v>
      </c>
      <c r="AE462" t="s">
        <v>40</v>
      </c>
      <c r="AF462" s="1">
        <v>42754</v>
      </c>
    </row>
    <row r="463" spans="1:32" x14ac:dyDescent="0.25">
      <c r="A463" t="s">
        <v>41</v>
      </c>
      <c r="B463">
        <v>1</v>
      </c>
      <c r="C463">
        <v>18</v>
      </c>
      <c r="D463">
        <v>2016</v>
      </c>
      <c r="E463" t="s">
        <v>33</v>
      </c>
      <c r="F463">
        <v>53</v>
      </c>
      <c r="G463">
        <v>30</v>
      </c>
      <c r="H463">
        <v>0</v>
      </c>
      <c r="I463">
        <v>2</v>
      </c>
      <c r="J463">
        <v>2</v>
      </c>
      <c r="K463">
        <v>2</v>
      </c>
      <c r="L463">
        <v>0</v>
      </c>
      <c r="M463" t="s">
        <v>34</v>
      </c>
      <c r="N463" t="s">
        <v>43</v>
      </c>
      <c r="O463" t="s">
        <v>36</v>
      </c>
      <c r="P463" t="s">
        <v>36</v>
      </c>
      <c r="Q463">
        <v>0</v>
      </c>
      <c r="R463">
        <v>0</v>
      </c>
      <c r="S463">
        <v>0</v>
      </c>
      <c r="T463" t="s">
        <v>84</v>
      </c>
      <c r="U463" t="s">
        <v>84</v>
      </c>
      <c r="V463">
        <v>0</v>
      </c>
      <c r="W463" t="s">
        <v>38</v>
      </c>
      <c r="Z463">
        <v>0</v>
      </c>
      <c r="AA463" t="s">
        <v>39</v>
      </c>
      <c r="AB463">
        <v>200</v>
      </c>
      <c r="AC463">
        <v>0</v>
      </c>
      <c r="AD463">
        <v>0</v>
      </c>
      <c r="AE463" t="s">
        <v>47</v>
      </c>
      <c r="AF463" s="1">
        <v>42718</v>
      </c>
    </row>
    <row r="464" spans="1:32" x14ac:dyDescent="0.25">
      <c r="A464" t="s">
        <v>32</v>
      </c>
      <c r="B464">
        <v>0</v>
      </c>
      <c r="C464">
        <v>5</v>
      </c>
      <c r="D464">
        <v>2016</v>
      </c>
      <c r="E464" t="s">
        <v>52</v>
      </c>
      <c r="F464">
        <v>13</v>
      </c>
      <c r="G464">
        <v>20</v>
      </c>
      <c r="H464">
        <v>2</v>
      </c>
      <c r="I464">
        <v>2</v>
      </c>
      <c r="J464">
        <v>2</v>
      </c>
      <c r="K464">
        <v>0</v>
      </c>
      <c r="L464">
        <v>1</v>
      </c>
      <c r="M464" t="s">
        <v>34</v>
      </c>
      <c r="N464" t="s">
        <v>35</v>
      </c>
      <c r="O464" t="s">
        <v>49</v>
      </c>
      <c r="P464" t="s">
        <v>45</v>
      </c>
      <c r="Q464">
        <v>0</v>
      </c>
      <c r="R464">
        <v>0</v>
      </c>
      <c r="S464">
        <v>0</v>
      </c>
      <c r="T464" t="s">
        <v>46</v>
      </c>
      <c r="U464" t="s">
        <v>104</v>
      </c>
      <c r="V464">
        <v>1</v>
      </c>
      <c r="W464" t="s">
        <v>38</v>
      </c>
      <c r="X464">
        <v>171</v>
      </c>
      <c r="Z464">
        <v>0</v>
      </c>
      <c r="AA464" t="s">
        <v>39</v>
      </c>
      <c r="AB464">
        <v>41.4</v>
      </c>
      <c r="AC464">
        <v>0</v>
      </c>
      <c r="AD464">
        <v>0</v>
      </c>
      <c r="AE464" t="s">
        <v>40</v>
      </c>
      <c r="AF464" s="1">
        <v>42453</v>
      </c>
    </row>
    <row r="465" spans="1:32" x14ac:dyDescent="0.25">
      <c r="A465" t="s">
        <v>32</v>
      </c>
      <c r="B465">
        <v>0</v>
      </c>
      <c r="C465">
        <v>100</v>
      </c>
      <c r="D465">
        <v>2016</v>
      </c>
      <c r="E465" t="s">
        <v>67</v>
      </c>
      <c r="F465">
        <v>32</v>
      </c>
      <c r="G465">
        <v>6</v>
      </c>
      <c r="H465">
        <v>1</v>
      </c>
      <c r="I465">
        <v>1</v>
      </c>
      <c r="J465">
        <v>2</v>
      </c>
      <c r="K465">
        <v>0</v>
      </c>
      <c r="L465">
        <v>0</v>
      </c>
      <c r="M465" t="s">
        <v>34</v>
      </c>
      <c r="N465" t="s">
        <v>63</v>
      </c>
      <c r="O465" t="s">
        <v>44</v>
      </c>
      <c r="P465" t="s">
        <v>45</v>
      </c>
      <c r="Q465">
        <v>0</v>
      </c>
      <c r="R465">
        <v>0</v>
      </c>
      <c r="S465">
        <v>0</v>
      </c>
      <c r="T465" t="s">
        <v>46</v>
      </c>
      <c r="U465" t="s">
        <v>46</v>
      </c>
      <c r="V465">
        <v>0</v>
      </c>
      <c r="W465" t="s">
        <v>38</v>
      </c>
      <c r="X465">
        <v>240</v>
      </c>
      <c r="Z465">
        <v>0</v>
      </c>
      <c r="AA465" t="s">
        <v>39</v>
      </c>
      <c r="AB465">
        <v>201</v>
      </c>
      <c r="AC465">
        <v>1</v>
      </c>
      <c r="AD465">
        <v>0</v>
      </c>
      <c r="AE465" t="s">
        <v>40</v>
      </c>
      <c r="AF465" s="1">
        <v>42590</v>
      </c>
    </row>
    <row r="466" spans="1:32" x14ac:dyDescent="0.25">
      <c r="A466" t="s">
        <v>41</v>
      </c>
      <c r="B466">
        <v>1</v>
      </c>
      <c r="C466">
        <v>37</v>
      </c>
      <c r="D466">
        <v>2017</v>
      </c>
      <c r="E466" t="s">
        <v>52</v>
      </c>
      <c r="F466">
        <v>11</v>
      </c>
      <c r="G466">
        <v>15</v>
      </c>
      <c r="H466">
        <v>0</v>
      </c>
      <c r="I466">
        <v>2</v>
      </c>
      <c r="J466">
        <v>2</v>
      </c>
      <c r="K466">
        <v>0</v>
      </c>
      <c r="L466">
        <v>0</v>
      </c>
      <c r="M466" t="s">
        <v>34</v>
      </c>
      <c r="N466" t="s">
        <v>43</v>
      </c>
      <c r="O466" t="s">
        <v>64</v>
      </c>
      <c r="P466" t="s">
        <v>45</v>
      </c>
      <c r="Q466">
        <v>0</v>
      </c>
      <c r="R466">
        <v>0</v>
      </c>
      <c r="S466">
        <v>0</v>
      </c>
      <c r="T466" t="s">
        <v>46</v>
      </c>
      <c r="U466" t="s">
        <v>46</v>
      </c>
      <c r="V466">
        <v>0</v>
      </c>
      <c r="W466" t="s">
        <v>68</v>
      </c>
      <c r="X466">
        <v>378</v>
      </c>
      <c r="Z466">
        <v>0</v>
      </c>
      <c r="AA466" t="s">
        <v>39</v>
      </c>
      <c r="AB466">
        <v>110</v>
      </c>
      <c r="AC466">
        <v>0</v>
      </c>
      <c r="AD466">
        <v>0</v>
      </c>
      <c r="AE466" t="s">
        <v>47</v>
      </c>
      <c r="AF466" s="1">
        <v>42772</v>
      </c>
    </row>
    <row r="467" spans="1:32" x14ac:dyDescent="0.25">
      <c r="A467" t="s">
        <v>41</v>
      </c>
      <c r="B467">
        <v>1</v>
      </c>
      <c r="C467">
        <v>20</v>
      </c>
      <c r="D467">
        <v>2016</v>
      </c>
      <c r="E467" t="s">
        <v>52</v>
      </c>
      <c r="F467">
        <v>14</v>
      </c>
      <c r="G467">
        <v>31</v>
      </c>
      <c r="H467">
        <v>0</v>
      </c>
      <c r="I467">
        <v>2</v>
      </c>
      <c r="J467">
        <v>1</v>
      </c>
      <c r="K467">
        <v>0</v>
      </c>
      <c r="L467">
        <v>0</v>
      </c>
      <c r="M467" t="s">
        <v>34</v>
      </c>
      <c r="N467" t="s">
        <v>43</v>
      </c>
      <c r="O467" t="s">
        <v>76</v>
      </c>
      <c r="P467" t="s">
        <v>76</v>
      </c>
      <c r="Q467">
        <v>0</v>
      </c>
      <c r="R467">
        <v>0</v>
      </c>
      <c r="S467">
        <v>0</v>
      </c>
      <c r="T467" t="s">
        <v>46</v>
      </c>
      <c r="U467" t="s">
        <v>46</v>
      </c>
      <c r="V467">
        <v>2</v>
      </c>
      <c r="W467" t="s">
        <v>38</v>
      </c>
      <c r="Y467">
        <v>179</v>
      </c>
      <c r="Z467">
        <v>0</v>
      </c>
      <c r="AA467" t="s">
        <v>39</v>
      </c>
      <c r="AB467">
        <v>79</v>
      </c>
      <c r="AC467">
        <v>0</v>
      </c>
      <c r="AD467">
        <v>0</v>
      </c>
      <c r="AE467" t="s">
        <v>47</v>
      </c>
      <c r="AF467" s="1">
        <v>42452</v>
      </c>
    </row>
    <row r="468" spans="1:32" x14ac:dyDescent="0.25">
      <c r="A468" t="s">
        <v>41</v>
      </c>
      <c r="B468">
        <v>1</v>
      </c>
      <c r="C468">
        <v>262</v>
      </c>
      <c r="D468">
        <v>2017</v>
      </c>
      <c r="E468" t="s">
        <v>69</v>
      </c>
      <c r="F468">
        <v>21</v>
      </c>
      <c r="G468">
        <v>24</v>
      </c>
      <c r="H468">
        <v>0</v>
      </c>
      <c r="I468">
        <v>4</v>
      </c>
      <c r="J468">
        <v>3</v>
      </c>
      <c r="K468">
        <v>0</v>
      </c>
      <c r="L468">
        <v>0</v>
      </c>
      <c r="M468" t="s">
        <v>34</v>
      </c>
      <c r="N468" t="s">
        <v>103</v>
      </c>
      <c r="O468" t="s">
        <v>44</v>
      </c>
      <c r="P468" t="s">
        <v>45</v>
      </c>
      <c r="Q468">
        <v>0</v>
      </c>
      <c r="R468">
        <v>0</v>
      </c>
      <c r="S468">
        <v>0</v>
      </c>
      <c r="T468" t="s">
        <v>57</v>
      </c>
      <c r="U468" t="s">
        <v>57</v>
      </c>
      <c r="V468">
        <v>0</v>
      </c>
      <c r="W468" t="s">
        <v>38</v>
      </c>
      <c r="X468">
        <v>9</v>
      </c>
      <c r="Z468">
        <v>0</v>
      </c>
      <c r="AA468" t="s">
        <v>39</v>
      </c>
      <c r="AB468">
        <v>157.5</v>
      </c>
      <c r="AC468">
        <v>0</v>
      </c>
      <c r="AD468">
        <v>2</v>
      </c>
      <c r="AE468" t="s">
        <v>47</v>
      </c>
      <c r="AF468" s="1">
        <v>42635</v>
      </c>
    </row>
    <row r="469" spans="1:32" x14ac:dyDescent="0.25">
      <c r="A469" t="s">
        <v>41</v>
      </c>
      <c r="B469">
        <v>1</v>
      </c>
      <c r="C469">
        <v>78</v>
      </c>
      <c r="D469">
        <v>2016</v>
      </c>
      <c r="E469" t="s">
        <v>54</v>
      </c>
      <c r="F469">
        <v>15</v>
      </c>
      <c r="G469">
        <v>5</v>
      </c>
      <c r="H469">
        <v>0</v>
      </c>
      <c r="I469">
        <v>4</v>
      </c>
      <c r="J469">
        <v>2</v>
      </c>
      <c r="K469">
        <v>0</v>
      </c>
      <c r="L469">
        <v>0</v>
      </c>
      <c r="M469" t="s">
        <v>34</v>
      </c>
      <c r="N469" t="s">
        <v>118</v>
      </c>
      <c r="O469" t="s">
        <v>44</v>
      </c>
      <c r="P469" t="s">
        <v>45</v>
      </c>
      <c r="Q469">
        <v>0</v>
      </c>
      <c r="R469">
        <v>0</v>
      </c>
      <c r="S469">
        <v>0</v>
      </c>
      <c r="T469" t="s">
        <v>57</v>
      </c>
      <c r="U469" t="s">
        <v>57</v>
      </c>
      <c r="V469">
        <v>0</v>
      </c>
      <c r="W469" t="s">
        <v>38</v>
      </c>
      <c r="X469">
        <v>9</v>
      </c>
      <c r="Z469">
        <v>0</v>
      </c>
      <c r="AA469" t="s">
        <v>39</v>
      </c>
      <c r="AB469">
        <v>97.33</v>
      </c>
      <c r="AC469">
        <v>0</v>
      </c>
      <c r="AD469">
        <v>0</v>
      </c>
      <c r="AE469" t="s">
        <v>47</v>
      </c>
      <c r="AF469" s="1">
        <v>42447</v>
      </c>
    </row>
    <row r="470" spans="1:32" x14ac:dyDescent="0.25">
      <c r="A470" t="s">
        <v>32</v>
      </c>
      <c r="B470">
        <v>0</v>
      </c>
      <c r="C470">
        <v>342</v>
      </c>
      <c r="D470">
        <v>2016</v>
      </c>
      <c r="E470" t="s">
        <v>62</v>
      </c>
      <c r="F470">
        <v>40</v>
      </c>
      <c r="G470">
        <v>29</v>
      </c>
      <c r="H470">
        <v>2</v>
      </c>
      <c r="I470">
        <v>4</v>
      </c>
      <c r="J470">
        <v>1</v>
      </c>
      <c r="K470">
        <v>0</v>
      </c>
      <c r="L470">
        <v>0</v>
      </c>
      <c r="M470" t="s">
        <v>34</v>
      </c>
      <c r="N470" t="s">
        <v>95</v>
      </c>
      <c r="O470" t="s">
        <v>64</v>
      </c>
      <c r="P470" t="s">
        <v>45</v>
      </c>
      <c r="Q470">
        <v>0</v>
      </c>
      <c r="R470">
        <v>0</v>
      </c>
      <c r="S470">
        <v>0</v>
      </c>
      <c r="T470" t="s">
        <v>46</v>
      </c>
      <c r="U470" t="s">
        <v>46</v>
      </c>
      <c r="V470">
        <v>0</v>
      </c>
      <c r="W470" t="s">
        <v>38</v>
      </c>
      <c r="X470">
        <v>201</v>
      </c>
      <c r="Z470">
        <v>0</v>
      </c>
      <c r="AA470" t="s">
        <v>51</v>
      </c>
      <c r="AB470">
        <v>36</v>
      </c>
      <c r="AC470">
        <v>0</v>
      </c>
      <c r="AD470">
        <v>0</v>
      </c>
      <c r="AE470" t="s">
        <v>40</v>
      </c>
      <c r="AF470" s="1">
        <v>42648</v>
      </c>
    </row>
    <row r="471" spans="1:32" x14ac:dyDescent="0.25">
      <c r="A471" t="s">
        <v>32</v>
      </c>
      <c r="B471">
        <v>0</v>
      </c>
      <c r="C471">
        <v>32</v>
      </c>
      <c r="D471">
        <v>2015</v>
      </c>
      <c r="E471" t="s">
        <v>67</v>
      </c>
      <c r="F471">
        <v>34</v>
      </c>
      <c r="G471">
        <v>21</v>
      </c>
      <c r="H471">
        <v>2</v>
      </c>
      <c r="I471">
        <v>4</v>
      </c>
      <c r="J471">
        <v>2</v>
      </c>
      <c r="K471">
        <v>0</v>
      </c>
      <c r="L471">
        <v>0</v>
      </c>
      <c r="M471" t="s">
        <v>34</v>
      </c>
      <c r="N471" t="s">
        <v>103</v>
      </c>
      <c r="O471" t="s">
        <v>44</v>
      </c>
      <c r="P471" t="s">
        <v>45</v>
      </c>
      <c r="Q471">
        <v>0</v>
      </c>
      <c r="R471">
        <v>0</v>
      </c>
      <c r="S471">
        <v>0</v>
      </c>
      <c r="T471" t="s">
        <v>46</v>
      </c>
      <c r="U471" t="s">
        <v>46</v>
      </c>
      <c r="V471">
        <v>0</v>
      </c>
      <c r="W471" t="s">
        <v>38</v>
      </c>
      <c r="X471">
        <v>240</v>
      </c>
      <c r="Z471">
        <v>0</v>
      </c>
      <c r="AA471" t="s">
        <v>39</v>
      </c>
      <c r="AB471">
        <v>178.33</v>
      </c>
      <c r="AC471">
        <v>0</v>
      </c>
      <c r="AD471">
        <v>2</v>
      </c>
      <c r="AE471" t="s">
        <v>40</v>
      </c>
      <c r="AF471" s="1">
        <v>42243</v>
      </c>
    </row>
    <row r="472" spans="1:32" x14ac:dyDescent="0.25">
      <c r="A472" t="s">
        <v>32</v>
      </c>
      <c r="B472">
        <v>0</v>
      </c>
      <c r="C472">
        <v>53</v>
      </c>
      <c r="D472">
        <v>2016</v>
      </c>
      <c r="E472" t="s">
        <v>62</v>
      </c>
      <c r="F472">
        <v>39</v>
      </c>
      <c r="G472">
        <v>23</v>
      </c>
      <c r="H472">
        <v>1</v>
      </c>
      <c r="I472">
        <v>2</v>
      </c>
      <c r="J472">
        <v>2</v>
      </c>
      <c r="K472">
        <v>0</v>
      </c>
      <c r="L472">
        <v>0</v>
      </c>
      <c r="M472" t="s">
        <v>34</v>
      </c>
      <c r="N472" t="s">
        <v>95</v>
      </c>
      <c r="O472" t="s">
        <v>44</v>
      </c>
      <c r="P472" t="s">
        <v>45</v>
      </c>
      <c r="Q472">
        <v>0</v>
      </c>
      <c r="R472">
        <v>0</v>
      </c>
      <c r="S472">
        <v>0</v>
      </c>
      <c r="T472" t="s">
        <v>72</v>
      </c>
      <c r="U472" t="s">
        <v>72</v>
      </c>
      <c r="V472">
        <v>0</v>
      </c>
      <c r="W472" t="s">
        <v>38</v>
      </c>
      <c r="X472">
        <v>240</v>
      </c>
      <c r="Z472">
        <v>0</v>
      </c>
      <c r="AA472" t="s">
        <v>39</v>
      </c>
      <c r="AB472">
        <v>129.33000000000001</v>
      </c>
      <c r="AC472">
        <v>0</v>
      </c>
      <c r="AD472">
        <v>3</v>
      </c>
      <c r="AE472" t="s">
        <v>40</v>
      </c>
      <c r="AF472" s="1">
        <v>42639</v>
      </c>
    </row>
    <row r="473" spans="1:32" x14ac:dyDescent="0.25">
      <c r="A473" t="s">
        <v>41</v>
      </c>
      <c r="B473">
        <v>0</v>
      </c>
      <c r="C473">
        <v>55</v>
      </c>
      <c r="D473">
        <v>2015</v>
      </c>
      <c r="E473" t="s">
        <v>62</v>
      </c>
      <c r="F473">
        <v>37</v>
      </c>
      <c r="G473">
        <v>6</v>
      </c>
      <c r="H473">
        <v>2</v>
      </c>
      <c r="I473">
        <v>0</v>
      </c>
      <c r="J473">
        <v>2</v>
      </c>
      <c r="K473">
        <v>0</v>
      </c>
      <c r="L473">
        <v>0</v>
      </c>
      <c r="M473" t="s">
        <v>34</v>
      </c>
      <c r="N473" t="s">
        <v>63</v>
      </c>
      <c r="O473" t="s">
        <v>64</v>
      </c>
      <c r="P473" t="s">
        <v>45</v>
      </c>
      <c r="Q473">
        <v>0</v>
      </c>
      <c r="R473">
        <v>0</v>
      </c>
      <c r="S473">
        <v>0</v>
      </c>
      <c r="T473" t="s">
        <v>46</v>
      </c>
      <c r="U473" t="s">
        <v>46</v>
      </c>
      <c r="V473">
        <v>0</v>
      </c>
      <c r="W473" t="s">
        <v>38</v>
      </c>
      <c r="X473">
        <v>1</v>
      </c>
      <c r="Z473">
        <v>0</v>
      </c>
      <c r="AA473" t="s">
        <v>51</v>
      </c>
      <c r="AB473">
        <v>75</v>
      </c>
      <c r="AC473">
        <v>0</v>
      </c>
      <c r="AD473">
        <v>0</v>
      </c>
      <c r="AE473" t="s">
        <v>40</v>
      </c>
      <c r="AF473" s="1">
        <v>42255</v>
      </c>
    </row>
    <row r="474" spans="1:32" x14ac:dyDescent="0.25">
      <c r="A474" t="s">
        <v>41</v>
      </c>
      <c r="B474">
        <v>0</v>
      </c>
      <c r="C474">
        <v>5</v>
      </c>
      <c r="D474">
        <v>2015</v>
      </c>
      <c r="E474" t="s">
        <v>33</v>
      </c>
      <c r="F474">
        <v>52</v>
      </c>
      <c r="G474">
        <v>22</v>
      </c>
      <c r="H474">
        <v>0</v>
      </c>
      <c r="I474">
        <v>5</v>
      </c>
      <c r="J474">
        <v>0</v>
      </c>
      <c r="K474">
        <v>2</v>
      </c>
      <c r="L474">
        <v>0</v>
      </c>
      <c r="M474" t="s">
        <v>34</v>
      </c>
      <c r="N474" t="s">
        <v>43</v>
      </c>
      <c r="O474" t="s">
        <v>116</v>
      </c>
      <c r="P474" t="s">
        <v>36</v>
      </c>
      <c r="Q474">
        <v>0</v>
      </c>
      <c r="R474">
        <v>0</v>
      </c>
      <c r="S474">
        <v>0</v>
      </c>
      <c r="T474" t="s">
        <v>86</v>
      </c>
      <c r="U474" t="s">
        <v>86</v>
      </c>
      <c r="V474">
        <v>1</v>
      </c>
      <c r="W474" t="s">
        <v>38</v>
      </c>
      <c r="Z474">
        <v>0</v>
      </c>
      <c r="AA474" t="s">
        <v>39</v>
      </c>
      <c r="AB474">
        <v>0</v>
      </c>
      <c r="AC474">
        <v>0</v>
      </c>
      <c r="AD474">
        <v>0</v>
      </c>
      <c r="AE474" t="s">
        <v>40</v>
      </c>
      <c r="AF474" s="1">
        <v>42365</v>
      </c>
    </row>
    <row r="475" spans="1:32" x14ac:dyDescent="0.25">
      <c r="A475" t="s">
        <v>41</v>
      </c>
      <c r="B475">
        <v>1</v>
      </c>
      <c r="C475">
        <v>342</v>
      </c>
      <c r="D475">
        <v>2015</v>
      </c>
      <c r="E475" t="s">
        <v>62</v>
      </c>
      <c r="F475">
        <v>39</v>
      </c>
      <c r="G475">
        <v>24</v>
      </c>
      <c r="H475">
        <v>0</v>
      </c>
      <c r="I475">
        <v>2</v>
      </c>
      <c r="J475">
        <v>2</v>
      </c>
      <c r="K475">
        <v>0</v>
      </c>
      <c r="L475">
        <v>0</v>
      </c>
      <c r="M475" t="s">
        <v>34</v>
      </c>
      <c r="N475" t="s">
        <v>43</v>
      </c>
      <c r="O475" t="s">
        <v>64</v>
      </c>
      <c r="P475" t="s">
        <v>45</v>
      </c>
      <c r="Q475">
        <v>0</v>
      </c>
      <c r="R475">
        <v>1</v>
      </c>
      <c r="S475">
        <v>0</v>
      </c>
      <c r="T475" t="s">
        <v>46</v>
      </c>
      <c r="U475" t="s">
        <v>46</v>
      </c>
      <c r="V475">
        <v>0</v>
      </c>
      <c r="W475" t="s">
        <v>68</v>
      </c>
      <c r="X475">
        <v>1</v>
      </c>
      <c r="Z475">
        <v>0</v>
      </c>
      <c r="AA475" t="s">
        <v>73</v>
      </c>
      <c r="AB475">
        <v>62</v>
      </c>
      <c r="AC475">
        <v>0</v>
      </c>
      <c r="AD475">
        <v>0</v>
      </c>
      <c r="AE475" t="s">
        <v>47</v>
      </c>
      <c r="AF475" s="1">
        <v>42005</v>
      </c>
    </row>
    <row r="476" spans="1:32" x14ac:dyDescent="0.25">
      <c r="A476" t="s">
        <v>41</v>
      </c>
      <c r="B476">
        <v>1</v>
      </c>
      <c r="C476">
        <v>77</v>
      </c>
      <c r="D476">
        <v>2016</v>
      </c>
      <c r="E476" t="s">
        <v>52</v>
      </c>
      <c r="F476">
        <v>13</v>
      </c>
      <c r="G476">
        <v>26</v>
      </c>
      <c r="H476">
        <v>2</v>
      </c>
      <c r="I476">
        <v>5</v>
      </c>
      <c r="J476">
        <v>2</v>
      </c>
      <c r="K476">
        <v>0</v>
      </c>
      <c r="L476">
        <v>0</v>
      </c>
      <c r="M476" t="s">
        <v>34</v>
      </c>
      <c r="N476" t="s">
        <v>70</v>
      </c>
      <c r="O476" t="s">
        <v>44</v>
      </c>
      <c r="P476" t="s">
        <v>45</v>
      </c>
      <c r="Q476">
        <v>0</v>
      </c>
      <c r="R476">
        <v>0</v>
      </c>
      <c r="S476">
        <v>0</v>
      </c>
      <c r="T476" t="s">
        <v>57</v>
      </c>
      <c r="U476" t="s">
        <v>57</v>
      </c>
      <c r="V476">
        <v>0</v>
      </c>
      <c r="W476" t="s">
        <v>38</v>
      </c>
      <c r="X476">
        <v>9</v>
      </c>
      <c r="Z476">
        <v>0</v>
      </c>
      <c r="AA476" t="s">
        <v>39</v>
      </c>
      <c r="AB476">
        <v>97.02</v>
      </c>
      <c r="AC476">
        <v>0</v>
      </c>
      <c r="AD476">
        <v>0</v>
      </c>
      <c r="AE476" t="s">
        <v>47</v>
      </c>
      <c r="AF476" s="1">
        <v>42378</v>
      </c>
    </row>
    <row r="477" spans="1:32" x14ac:dyDescent="0.25">
      <c r="A477" t="s">
        <v>41</v>
      </c>
      <c r="B477">
        <v>1</v>
      </c>
      <c r="C477">
        <v>41</v>
      </c>
      <c r="D477">
        <v>2016</v>
      </c>
      <c r="E477" t="s">
        <v>62</v>
      </c>
      <c r="F477">
        <v>39</v>
      </c>
      <c r="G477">
        <v>18</v>
      </c>
      <c r="H477">
        <v>2</v>
      </c>
      <c r="I477">
        <v>1</v>
      </c>
      <c r="J477">
        <v>2</v>
      </c>
      <c r="K477">
        <v>0</v>
      </c>
      <c r="L477">
        <v>0</v>
      </c>
      <c r="M477" t="s">
        <v>34</v>
      </c>
      <c r="N477" t="s">
        <v>35</v>
      </c>
      <c r="O477" t="s">
        <v>44</v>
      </c>
      <c r="P477" t="s">
        <v>45</v>
      </c>
      <c r="Q477">
        <v>0</v>
      </c>
      <c r="R477">
        <v>0</v>
      </c>
      <c r="S477">
        <v>0</v>
      </c>
      <c r="T477" t="s">
        <v>57</v>
      </c>
      <c r="U477" t="s">
        <v>57</v>
      </c>
      <c r="V477">
        <v>0</v>
      </c>
      <c r="W477" t="s">
        <v>38</v>
      </c>
      <c r="X477">
        <v>9</v>
      </c>
      <c r="Z477">
        <v>0</v>
      </c>
      <c r="AA477" t="s">
        <v>39</v>
      </c>
      <c r="AB477">
        <v>149.4</v>
      </c>
      <c r="AC477">
        <v>0</v>
      </c>
      <c r="AD477">
        <v>1</v>
      </c>
      <c r="AE477" t="s">
        <v>47</v>
      </c>
      <c r="AF477" s="1">
        <v>42597</v>
      </c>
    </row>
    <row r="478" spans="1:32" x14ac:dyDescent="0.25">
      <c r="A478" t="s">
        <v>41</v>
      </c>
      <c r="B478">
        <v>0</v>
      </c>
      <c r="C478">
        <v>68</v>
      </c>
      <c r="D478">
        <v>2017</v>
      </c>
      <c r="E478" t="s">
        <v>42</v>
      </c>
      <c r="F478">
        <v>28</v>
      </c>
      <c r="G478">
        <v>10</v>
      </c>
      <c r="H478">
        <v>1</v>
      </c>
      <c r="I478">
        <v>0</v>
      </c>
      <c r="J478">
        <v>2</v>
      </c>
      <c r="K478">
        <v>0</v>
      </c>
      <c r="L478">
        <v>0</v>
      </c>
      <c r="M478" t="s">
        <v>55</v>
      </c>
      <c r="N478" t="s">
        <v>35</v>
      </c>
      <c r="O478" t="s">
        <v>44</v>
      </c>
      <c r="P478" t="s">
        <v>45</v>
      </c>
      <c r="Q478">
        <v>0</v>
      </c>
      <c r="R478">
        <v>0</v>
      </c>
      <c r="S478">
        <v>0</v>
      </c>
      <c r="T478" t="s">
        <v>46</v>
      </c>
      <c r="U478" t="s">
        <v>57</v>
      </c>
      <c r="V478">
        <v>0</v>
      </c>
      <c r="W478" t="s">
        <v>38</v>
      </c>
      <c r="X478">
        <v>9</v>
      </c>
      <c r="Z478">
        <v>0</v>
      </c>
      <c r="AA478" t="s">
        <v>39</v>
      </c>
      <c r="AB478">
        <v>100</v>
      </c>
      <c r="AC478">
        <v>0</v>
      </c>
      <c r="AD478">
        <v>1</v>
      </c>
      <c r="AE478" t="s">
        <v>40</v>
      </c>
      <c r="AF478" s="1">
        <v>42927</v>
      </c>
    </row>
    <row r="479" spans="1:32" x14ac:dyDescent="0.25">
      <c r="A479" t="s">
        <v>41</v>
      </c>
      <c r="B479">
        <v>0</v>
      </c>
      <c r="C479">
        <v>50</v>
      </c>
      <c r="D479">
        <v>2017</v>
      </c>
      <c r="E479" t="s">
        <v>52</v>
      </c>
      <c r="F479">
        <v>12</v>
      </c>
      <c r="G479">
        <v>21</v>
      </c>
      <c r="H479">
        <v>0</v>
      </c>
      <c r="I479">
        <v>4</v>
      </c>
      <c r="J479">
        <v>2</v>
      </c>
      <c r="K479">
        <v>0</v>
      </c>
      <c r="L479">
        <v>0</v>
      </c>
      <c r="M479" t="s">
        <v>55</v>
      </c>
      <c r="N479" t="s">
        <v>70</v>
      </c>
      <c r="O479" t="s">
        <v>44</v>
      </c>
      <c r="P479" t="s">
        <v>45</v>
      </c>
      <c r="Q479">
        <v>0</v>
      </c>
      <c r="R479">
        <v>0</v>
      </c>
      <c r="S479">
        <v>0</v>
      </c>
      <c r="T479" t="s">
        <v>46</v>
      </c>
      <c r="U479" t="s">
        <v>46</v>
      </c>
      <c r="V479">
        <v>0</v>
      </c>
      <c r="W479" t="s">
        <v>38</v>
      </c>
      <c r="X479">
        <v>7</v>
      </c>
      <c r="Z479">
        <v>0</v>
      </c>
      <c r="AA479" t="s">
        <v>39</v>
      </c>
      <c r="AB479">
        <v>57.6</v>
      </c>
      <c r="AC479">
        <v>0</v>
      </c>
      <c r="AD479">
        <v>0</v>
      </c>
      <c r="AE479" t="s">
        <v>40</v>
      </c>
      <c r="AF479" s="1">
        <v>42819</v>
      </c>
    </row>
    <row r="480" spans="1:32" x14ac:dyDescent="0.25">
      <c r="A480" t="s">
        <v>32</v>
      </c>
      <c r="B480">
        <v>1</v>
      </c>
      <c r="C480">
        <v>22</v>
      </c>
      <c r="D480">
        <v>2017</v>
      </c>
      <c r="E480" t="s">
        <v>83</v>
      </c>
      <c r="F480">
        <v>26</v>
      </c>
      <c r="G480">
        <v>29</v>
      </c>
      <c r="H480">
        <v>0</v>
      </c>
      <c r="I480">
        <v>1</v>
      </c>
      <c r="J480">
        <v>1</v>
      </c>
      <c r="K480">
        <v>0</v>
      </c>
      <c r="L480">
        <v>0</v>
      </c>
      <c r="M480" t="s">
        <v>34</v>
      </c>
      <c r="N480" t="s">
        <v>43</v>
      </c>
      <c r="O480" t="s">
        <v>36</v>
      </c>
      <c r="P480" t="s">
        <v>36</v>
      </c>
      <c r="Q480">
        <v>0</v>
      </c>
      <c r="R480">
        <v>0</v>
      </c>
      <c r="S480">
        <v>0</v>
      </c>
      <c r="T480" t="s">
        <v>46</v>
      </c>
      <c r="U480" t="s">
        <v>46</v>
      </c>
      <c r="V480">
        <v>0</v>
      </c>
      <c r="W480" t="s">
        <v>38</v>
      </c>
      <c r="Z480">
        <v>0</v>
      </c>
      <c r="AA480" t="s">
        <v>39</v>
      </c>
      <c r="AB480">
        <v>60</v>
      </c>
      <c r="AC480">
        <v>0</v>
      </c>
      <c r="AD480">
        <v>0</v>
      </c>
      <c r="AE480" t="s">
        <v>47</v>
      </c>
      <c r="AF480" s="1">
        <v>42914</v>
      </c>
    </row>
    <row r="481" spans="1:32" x14ac:dyDescent="0.25">
      <c r="A481" t="s">
        <v>32</v>
      </c>
      <c r="B481">
        <v>0</v>
      </c>
      <c r="C481">
        <v>91</v>
      </c>
      <c r="D481">
        <v>2015</v>
      </c>
      <c r="E481" t="s">
        <v>42</v>
      </c>
      <c r="F481">
        <v>29</v>
      </c>
      <c r="G481">
        <v>17</v>
      </c>
      <c r="H481">
        <v>1</v>
      </c>
      <c r="I481">
        <v>2</v>
      </c>
      <c r="J481">
        <v>2</v>
      </c>
      <c r="K481">
        <v>1</v>
      </c>
      <c r="L481">
        <v>0</v>
      </c>
      <c r="M481" t="s">
        <v>34</v>
      </c>
      <c r="N481" t="s">
        <v>119</v>
      </c>
      <c r="O481" t="s">
        <v>44</v>
      </c>
      <c r="P481" t="s">
        <v>45</v>
      </c>
      <c r="Q481">
        <v>0</v>
      </c>
      <c r="R481">
        <v>0</v>
      </c>
      <c r="S481">
        <v>0</v>
      </c>
      <c r="T481" t="s">
        <v>46</v>
      </c>
      <c r="U481" t="s">
        <v>46</v>
      </c>
      <c r="V481">
        <v>4</v>
      </c>
      <c r="W481" t="s">
        <v>38</v>
      </c>
      <c r="X481">
        <v>240</v>
      </c>
      <c r="Z481">
        <v>0</v>
      </c>
      <c r="AA481" t="s">
        <v>39</v>
      </c>
      <c r="AB481">
        <v>118.5</v>
      </c>
      <c r="AC481">
        <v>0</v>
      </c>
      <c r="AD481">
        <v>3</v>
      </c>
      <c r="AE481" t="s">
        <v>40</v>
      </c>
      <c r="AF481" s="1">
        <v>42205</v>
      </c>
    </row>
    <row r="482" spans="1:32" x14ac:dyDescent="0.25">
      <c r="A482" t="s">
        <v>41</v>
      </c>
      <c r="B482">
        <v>1</v>
      </c>
      <c r="C482">
        <v>42</v>
      </c>
      <c r="D482">
        <v>2017</v>
      </c>
      <c r="E482" t="s">
        <v>54</v>
      </c>
      <c r="F482">
        <v>16</v>
      </c>
      <c r="G482">
        <v>16</v>
      </c>
      <c r="H482">
        <v>2</v>
      </c>
      <c r="I482">
        <v>2</v>
      </c>
      <c r="J482">
        <v>2</v>
      </c>
      <c r="K482">
        <v>0</v>
      </c>
      <c r="L482">
        <v>0</v>
      </c>
      <c r="M482" t="s">
        <v>34</v>
      </c>
      <c r="N482" t="s">
        <v>35</v>
      </c>
      <c r="O482" t="s">
        <v>44</v>
      </c>
      <c r="P482" t="s">
        <v>45</v>
      </c>
      <c r="Q482">
        <v>0</v>
      </c>
      <c r="R482">
        <v>0</v>
      </c>
      <c r="S482">
        <v>0</v>
      </c>
      <c r="T482" t="s">
        <v>57</v>
      </c>
      <c r="U482" t="s">
        <v>57</v>
      </c>
      <c r="V482">
        <v>0</v>
      </c>
      <c r="W482" t="s">
        <v>38</v>
      </c>
      <c r="X482">
        <v>9</v>
      </c>
      <c r="Z482">
        <v>0</v>
      </c>
      <c r="AA482" t="s">
        <v>39</v>
      </c>
      <c r="AB482">
        <v>146.25</v>
      </c>
      <c r="AC482">
        <v>0</v>
      </c>
      <c r="AD482">
        <v>0</v>
      </c>
      <c r="AE482" t="s">
        <v>47</v>
      </c>
      <c r="AF482" s="1">
        <v>42799</v>
      </c>
    </row>
    <row r="483" spans="1:32" x14ac:dyDescent="0.25">
      <c r="A483" t="s">
        <v>32</v>
      </c>
      <c r="B483">
        <v>0</v>
      </c>
      <c r="C483">
        <v>5</v>
      </c>
      <c r="D483">
        <v>2017</v>
      </c>
      <c r="E483" t="s">
        <v>74</v>
      </c>
      <c r="F483">
        <v>3</v>
      </c>
      <c r="G483">
        <v>19</v>
      </c>
      <c r="H483">
        <v>0</v>
      </c>
      <c r="I483">
        <v>3</v>
      </c>
      <c r="J483">
        <v>1</v>
      </c>
      <c r="K483">
        <v>0</v>
      </c>
      <c r="L483">
        <v>0</v>
      </c>
      <c r="M483" t="s">
        <v>34</v>
      </c>
      <c r="N483" t="s">
        <v>35</v>
      </c>
      <c r="O483" t="s">
        <v>44</v>
      </c>
      <c r="P483" t="s">
        <v>45</v>
      </c>
      <c r="Q483">
        <v>0</v>
      </c>
      <c r="R483">
        <v>0</v>
      </c>
      <c r="S483">
        <v>0</v>
      </c>
      <c r="T483" t="s">
        <v>46</v>
      </c>
      <c r="U483" t="s">
        <v>46</v>
      </c>
      <c r="V483">
        <v>0</v>
      </c>
      <c r="W483" t="s">
        <v>38</v>
      </c>
      <c r="X483">
        <v>240</v>
      </c>
      <c r="Z483">
        <v>0</v>
      </c>
      <c r="AA483" t="s">
        <v>39</v>
      </c>
      <c r="AB483">
        <v>43</v>
      </c>
      <c r="AC483">
        <v>0</v>
      </c>
      <c r="AD483">
        <v>3</v>
      </c>
      <c r="AE483" t="s">
        <v>40</v>
      </c>
      <c r="AF483" s="1">
        <v>42757</v>
      </c>
    </row>
    <row r="484" spans="1:32" x14ac:dyDescent="0.25">
      <c r="A484" t="s">
        <v>41</v>
      </c>
      <c r="B484">
        <v>0</v>
      </c>
      <c r="C484">
        <v>6</v>
      </c>
      <c r="D484">
        <v>2016</v>
      </c>
      <c r="E484" t="s">
        <v>69</v>
      </c>
      <c r="F484">
        <v>20</v>
      </c>
      <c r="G484">
        <v>9</v>
      </c>
      <c r="H484">
        <v>1</v>
      </c>
      <c r="I484">
        <v>1</v>
      </c>
      <c r="J484">
        <v>2</v>
      </c>
      <c r="K484">
        <v>0</v>
      </c>
      <c r="L484">
        <v>0</v>
      </c>
      <c r="M484" t="s">
        <v>34</v>
      </c>
      <c r="N484" t="s">
        <v>78</v>
      </c>
      <c r="O484" t="s">
        <v>44</v>
      </c>
      <c r="P484" t="s">
        <v>45</v>
      </c>
      <c r="Q484">
        <v>0</v>
      </c>
      <c r="R484">
        <v>0</v>
      </c>
      <c r="S484">
        <v>0</v>
      </c>
      <c r="T484" t="s">
        <v>57</v>
      </c>
      <c r="U484" t="s">
        <v>57</v>
      </c>
      <c r="V484">
        <v>0</v>
      </c>
      <c r="W484" t="s">
        <v>38</v>
      </c>
      <c r="X484">
        <v>9</v>
      </c>
      <c r="Z484">
        <v>0</v>
      </c>
      <c r="AA484" t="s">
        <v>39</v>
      </c>
      <c r="AB484">
        <v>126</v>
      </c>
      <c r="AC484">
        <v>0</v>
      </c>
      <c r="AD484">
        <v>1</v>
      </c>
      <c r="AE484" t="s">
        <v>40</v>
      </c>
      <c r="AF484" s="1">
        <v>42501</v>
      </c>
    </row>
    <row r="485" spans="1:32" x14ac:dyDescent="0.25">
      <c r="A485" t="s">
        <v>41</v>
      </c>
      <c r="B485">
        <v>1</v>
      </c>
      <c r="C485">
        <v>50</v>
      </c>
      <c r="D485">
        <v>2016</v>
      </c>
      <c r="E485" t="s">
        <v>74</v>
      </c>
      <c r="F485">
        <v>5</v>
      </c>
      <c r="G485">
        <v>29</v>
      </c>
      <c r="H485">
        <v>1</v>
      </c>
      <c r="I485">
        <v>2</v>
      </c>
      <c r="J485">
        <v>1</v>
      </c>
      <c r="K485">
        <v>0</v>
      </c>
      <c r="L485">
        <v>0</v>
      </c>
      <c r="M485" t="s">
        <v>34</v>
      </c>
      <c r="N485" t="s">
        <v>81</v>
      </c>
      <c r="O485" t="s">
        <v>44</v>
      </c>
      <c r="P485" t="s">
        <v>45</v>
      </c>
      <c r="Q485">
        <v>0</v>
      </c>
      <c r="R485">
        <v>0</v>
      </c>
      <c r="S485">
        <v>0</v>
      </c>
      <c r="T485" t="s">
        <v>46</v>
      </c>
      <c r="U485" t="s">
        <v>46</v>
      </c>
      <c r="V485">
        <v>0</v>
      </c>
      <c r="W485" t="s">
        <v>38</v>
      </c>
      <c r="X485">
        <v>9</v>
      </c>
      <c r="Z485">
        <v>0</v>
      </c>
      <c r="AA485" t="s">
        <v>39</v>
      </c>
      <c r="AB485">
        <v>72.900000000000006</v>
      </c>
      <c r="AC485">
        <v>0</v>
      </c>
      <c r="AD485">
        <v>0</v>
      </c>
      <c r="AE485" t="s">
        <v>47</v>
      </c>
      <c r="AF485" s="1">
        <v>42361</v>
      </c>
    </row>
    <row r="486" spans="1:32" x14ac:dyDescent="0.25">
      <c r="A486" t="s">
        <v>41</v>
      </c>
      <c r="B486">
        <v>0</v>
      </c>
      <c r="C486">
        <v>177</v>
      </c>
      <c r="D486">
        <v>2017</v>
      </c>
      <c r="E486" t="s">
        <v>67</v>
      </c>
      <c r="F486">
        <v>33</v>
      </c>
      <c r="G486">
        <v>16</v>
      </c>
      <c r="H486">
        <v>0</v>
      </c>
      <c r="I486">
        <v>4</v>
      </c>
      <c r="J486">
        <v>2</v>
      </c>
      <c r="K486">
        <v>0</v>
      </c>
      <c r="L486">
        <v>0</v>
      </c>
      <c r="M486" t="s">
        <v>34</v>
      </c>
      <c r="N486" t="s">
        <v>70</v>
      </c>
      <c r="O486" t="s">
        <v>44</v>
      </c>
      <c r="P486" t="s">
        <v>45</v>
      </c>
      <c r="Q486">
        <v>0</v>
      </c>
      <c r="R486">
        <v>0</v>
      </c>
      <c r="S486">
        <v>0</v>
      </c>
      <c r="T486" t="s">
        <v>57</v>
      </c>
      <c r="U486" t="s">
        <v>57</v>
      </c>
      <c r="V486">
        <v>0</v>
      </c>
      <c r="W486" t="s">
        <v>38</v>
      </c>
      <c r="X486">
        <v>354</v>
      </c>
      <c r="Z486">
        <v>0</v>
      </c>
      <c r="AA486" t="s">
        <v>39</v>
      </c>
      <c r="AB486">
        <v>121.77</v>
      </c>
      <c r="AC486">
        <v>0</v>
      </c>
      <c r="AD486">
        <v>0</v>
      </c>
      <c r="AE486" t="s">
        <v>40</v>
      </c>
      <c r="AF486" s="1">
        <v>42967</v>
      </c>
    </row>
    <row r="487" spans="1:32" x14ac:dyDescent="0.25">
      <c r="A487" t="s">
        <v>41</v>
      </c>
      <c r="B487">
        <v>1</v>
      </c>
      <c r="C487">
        <v>24</v>
      </c>
      <c r="D487">
        <v>2016</v>
      </c>
      <c r="E487" t="s">
        <v>66</v>
      </c>
      <c r="F487">
        <v>9</v>
      </c>
      <c r="G487">
        <v>22</v>
      </c>
      <c r="H487">
        <v>1</v>
      </c>
      <c r="I487">
        <v>2</v>
      </c>
      <c r="J487">
        <v>2</v>
      </c>
      <c r="K487">
        <v>0</v>
      </c>
      <c r="L487">
        <v>0</v>
      </c>
      <c r="M487" t="s">
        <v>34</v>
      </c>
      <c r="N487" t="s">
        <v>43</v>
      </c>
      <c r="O487" t="s">
        <v>49</v>
      </c>
      <c r="P487" t="s">
        <v>45</v>
      </c>
      <c r="Q487">
        <v>0</v>
      </c>
      <c r="R487">
        <v>0</v>
      </c>
      <c r="S487">
        <v>0</v>
      </c>
      <c r="T487" t="s">
        <v>46</v>
      </c>
      <c r="U487" t="s">
        <v>46</v>
      </c>
      <c r="V487">
        <v>0</v>
      </c>
      <c r="W487" t="s">
        <v>38</v>
      </c>
      <c r="X487">
        <v>86</v>
      </c>
      <c r="Z487">
        <v>0</v>
      </c>
      <c r="AA487" t="s">
        <v>39</v>
      </c>
      <c r="AB487">
        <v>72.8</v>
      </c>
      <c r="AC487">
        <v>0</v>
      </c>
      <c r="AD487">
        <v>0</v>
      </c>
      <c r="AE487" t="s">
        <v>47</v>
      </c>
      <c r="AF487" s="1">
        <v>42401</v>
      </c>
    </row>
    <row r="488" spans="1:32" x14ac:dyDescent="0.25">
      <c r="A488" t="s">
        <v>32</v>
      </c>
      <c r="B488">
        <v>0</v>
      </c>
      <c r="C488">
        <v>31</v>
      </c>
      <c r="D488">
        <v>2016</v>
      </c>
      <c r="E488" t="s">
        <v>54</v>
      </c>
      <c r="F488">
        <v>16</v>
      </c>
      <c r="G488">
        <v>16</v>
      </c>
      <c r="H488">
        <v>2</v>
      </c>
      <c r="I488">
        <v>5</v>
      </c>
      <c r="J488">
        <v>2</v>
      </c>
      <c r="K488">
        <v>0</v>
      </c>
      <c r="L488">
        <v>0</v>
      </c>
      <c r="M488" t="s">
        <v>34</v>
      </c>
      <c r="N488" t="s">
        <v>35</v>
      </c>
      <c r="O488" t="s">
        <v>49</v>
      </c>
      <c r="P488" t="s">
        <v>45</v>
      </c>
      <c r="Q488">
        <v>0</v>
      </c>
      <c r="R488">
        <v>0</v>
      </c>
      <c r="S488">
        <v>0</v>
      </c>
      <c r="T488" t="s">
        <v>46</v>
      </c>
      <c r="U488" t="s">
        <v>46</v>
      </c>
      <c r="V488">
        <v>0</v>
      </c>
      <c r="W488" t="s">
        <v>38</v>
      </c>
      <c r="X488">
        <v>6</v>
      </c>
      <c r="Z488">
        <v>0</v>
      </c>
      <c r="AA488" t="s">
        <v>39</v>
      </c>
      <c r="AB488">
        <v>41.4</v>
      </c>
      <c r="AC488">
        <v>0</v>
      </c>
      <c r="AD488">
        <v>0</v>
      </c>
      <c r="AE488" t="s">
        <v>40</v>
      </c>
      <c r="AF488" s="1">
        <v>42483</v>
      </c>
    </row>
    <row r="489" spans="1:32" x14ac:dyDescent="0.25">
      <c r="A489" t="s">
        <v>41</v>
      </c>
      <c r="B489">
        <v>0</v>
      </c>
      <c r="C489">
        <v>30</v>
      </c>
      <c r="D489">
        <v>2017</v>
      </c>
      <c r="E489" t="s">
        <v>83</v>
      </c>
      <c r="F489">
        <v>23</v>
      </c>
      <c r="G489">
        <v>4</v>
      </c>
      <c r="H489">
        <v>2</v>
      </c>
      <c r="I489">
        <v>1</v>
      </c>
      <c r="J489">
        <v>2</v>
      </c>
      <c r="K489">
        <v>0</v>
      </c>
      <c r="L489">
        <v>0</v>
      </c>
      <c r="M489" t="s">
        <v>55</v>
      </c>
      <c r="N489" t="s">
        <v>35</v>
      </c>
      <c r="O489" t="s">
        <v>44</v>
      </c>
      <c r="P489" t="s">
        <v>45</v>
      </c>
      <c r="Q489">
        <v>0</v>
      </c>
      <c r="R489">
        <v>0</v>
      </c>
      <c r="S489">
        <v>0</v>
      </c>
      <c r="T489" t="s">
        <v>46</v>
      </c>
      <c r="U489" t="s">
        <v>46</v>
      </c>
      <c r="V489">
        <v>0</v>
      </c>
      <c r="W489" t="s">
        <v>38</v>
      </c>
      <c r="X489">
        <v>9</v>
      </c>
      <c r="Z489">
        <v>0</v>
      </c>
      <c r="AA489" t="s">
        <v>39</v>
      </c>
      <c r="AB489">
        <v>133.33000000000001</v>
      </c>
      <c r="AC489">
        <v>0</v>
      </c>
      <c r="AD489">
        <v>1</v>
      </c>
      <c r="AE489" t="s">
        <v>40</v>
      </c>
      <c r="AF489" s="1">
        <v>42893</v>
      </c>
    </row>
    <row r="490" spans="1:32" x14ac:dyDescent="0.25">
      <c r="A490" t="s">
        <v>32</v>
      </c>
      <c r="B490">
        <v>0</v>
      </c>
      <c r="C490">
        <v>3</v>
      </c>
      <c r="D490">
        <v>2016</v>
      </c>
      <c r="E490" t="s">
        <v>52</v>
      </c>
      <c r="F490">
        <v>10</v>
      </c>
      <c r="G490">
        <v>4</v>
      </c>
      <c r="H490">
        <v>2</v>
      </c>
      <c r="I490">
        <v>3</v>
      </c>
      <c r="J490">
        <v>2</v>
      </c>
      <c r="K490">
        <v>0</v>
      </c>
      <c r="L490">
        <v>0</v>
      </c>
      <c r="M490" t="s">
        <v>34</v>
      </c>
      <c r="N490" t="s">
        <v>63</v>
      </c>
      <c r="O490" t="s">
        <v>44</v>
      </c>
      <c r="P490" t="s">
        <v>45</v>
      </c>
      <c r="Q490">
        <v>0</v>
      </c>
      <c r="R490">
        <v>0</v>
      </c>
      <c r="S490">
        <v>0</v>
      </c>
      <c r="T490" t="s">
        <v>57</v>
      </c>
      <c r="U490" t="s">
        <v>57</v>
      </c>
      <c r="V490">
        <v>2</v>
      </c>
      <c r="W490" t="s">
        <v>38</v>
      </c>
      <c r="X490">
        <v>240</v>
      </c>
      <c r="Z490">
        <v>0</v>
      </c>
      <c r="AA490" t="s">
        <v>39</v>
      </c>
      <c r="AB490">
        <v>58</v>
      </c>
      <c r="AC490">
        <v>0</v>
      </c>
      <c r="AD490">
        <v>1</v>
      </c>
      <c r="AE490" t="s">
        <v>40</v>
      </c>
      <c r="AF490" s="1">
        <v>42438</v>
      </c>
    </row>
    <row r="491" spans="1:32" x14ac:dyDescent="0.25">
      <c r="A491" t="s">
        <v>41</v>
      </c>
      <c r="B491">
        <v>1</v>
      </c>
      <c r="C491">
        <v>150</v>
      </c>
      <c r="D491">
        <v>2016</v>
      </c>
      <c r="E491" t="s">
        <v>59</v>
      </c>
      <c r="F491">
        <v>41</v>
      </c>
      <c r="G491">
        <v>3</v>
      </c>
      <c r="H491">
        <v>1</v>
      </c>
      <c r="I491">
        <v>2</v>
      </c>
      <c r="J491">
        <v>2</v>
      </c>
      <c r="K491">
        <v>1</v>
      </c>
      <c r="L491">
        <v>0</v>
      </c>
      <c r="M491" t="s">
        <v>34</v>
      </c>
      <c r="N491" t="s">
        <v>48</v>
      </c>
      <c r="O491" t="s">
        <v>44</v>
      </c>
      <c r="P491" t="s">
        <v>45</v>
      </c>
      <c r="Q491">
        <v>0</v>
      </c>
      <c r="R491">
        <v>0</v>
      </c>
      <c r="S491">
        <v>0</v>
      </c>
      <c r="T491" t="s">
        <v>46</v>
      </c>
      <c r="U491" t="s">
        <v>46</v>
      </c>
      <c r="V491">
        <v>0</v>
      </c>
      <c r="W491" t="s">
        <v>38</v>
      </c>
      <c r="X491">
        <v>9</v>
      </c>
      <c r="Z491">
        <v>0</v>
      </c>
      <c r="AA491" t="s">
        <v>39</v>
      </c>
      <c r="AB491">
        <v>135</v>
      </c>
      <c r="AC491">
        <v>0</v>
      </c>
      <c r="AD491">
        <v>0</v>
      </c>
      <c r="AE491" t="s">
        <v>47</v>
      </c>
      <c r="AF491" s="1">
        <v>42514</v>
      </c>
    </row>
    <row r="492" spans="1:32" x14ac:dyDescent="0.25">
      <c r="A492" t="s">
        <v>41</v>
      </c>
      <c r="B492">
        <v>0</v>
      </c>
      <c r="C492">
        <v>159</v>
      </c>
      <c r="D492">
        <v>2016</v>
      </c>
      <c r="E492" t="s">
        <v>69</v>
      </c>
      <c r="F492">
        <v>22</v>
      </c>
      <c r="G492">
        <v>26</v>
      </c>
      <c r="H492">
        <v>0</v>
      </c>
      <c r="I492">
        <v>3</v>
      </c>
      <c r="J492">
        <v>2</v>
      </c>
      <c r="K492">
        <v>1</v>
      </c>
      <c r="L492">
        <v>0</v>
      </c>
      <c r="M492" t="s">
        <v>34</v>
      </c>
      <c r="N492" t="s">
        <v>43</v>
      </c>
      <c r="O492" t="s">
        <v>44</v>
      </c>
      <c r="P492" t="s">
        <v>45</v>
      </c>
      <c r="Q492">
        <v>0</v>
      </c>
      <c r="R492">
        <v>0</v>
      </c>
      <c r="S492">
        <v>0</v>
      </c>
      <c r="T492" t="s">
        <v>46</v>
      </c>
      <c r="U492" t="s">
        <v>57</v>
      </c>
      <c r="V492">
        <v>7</v>
      </c>
      <c r="W492" t="s">
        <v>38</v>
      </c>
      <c r="X492">
        <v>9</v>
      </c>
      <c r="Z492">
        <v>0</v>
      </c>
      <c r="AA492" t="s">
        <v>39</v>
      </c>
      <c r="AB492">
        <v>119.85</v>
      </c>
      <c r="AC492">
        <v>0</v>
      </c>
      <c r="AD492">
        <v>1</v>
      </c>
      <c r="AE492" t="s">
        <v>40</v>
      </c>
      <c r="AF492" s="1">
        <v>42519</v>
      </c>
    </row>
    <row r="493" spans="1:32" x14ac:dyDescent="0.25">
      <c r="A493" t="s">
        <v>32</v>
      </c>
      <c r="B493">
        <v>0</v>
      </c>
      <c r="C493">
        <v>287</v>
      </c>
      <c r="D493">
        <v>2015</v>
      </c>
      <c r="E493" t="s">
        <v>59</v>
      </c>
      <c r="F493">
        <v>42</v>
      </c>
      <c r="G493">
        <v>15</v>
      </c>
      <c r="H493">
        <v>1</v>
      </c>
      <c r="I493">
        <v>3</v>
      </c>
      <c r="J493">
        <v>1</v>
      </c>
      <c r="K493">
        <v>0</v>
      </c>
      <c r="L493">
        <v>0</v>
      </c>
      <c r="M493" t="s">
        <v>34</v>
      </c>
      <c r="N493" t="s">
        <v>35</v>
      </c>
      <c r="O493" t="s">
        <v>64</v>
      </c>
      <c r="P493" t="s">
        <v>76</v>
      </c>
      <c r="Q493">
        <v>0</v>
      </c>
      <c r="R493">
        <v>0</v>
      </c>
      <c r="S493">
        <v>0</v>
      </c>
      <c r="T493" t="s">
        <v>46</v>
      </c>
      <c r="U493" t="s">
        <v>46</v>
      </c>
      <c r="V493">
        <v>1</v>
      </c>
      <c r="W493" t="s">
        <v>38</v>
      </c>
      <c r="Y493">
        <v>223</v>
      </c>
      <c r="Z493">
        <v>0</v>
      </c>
      <c r="AA493" t="s">
        <v>51</v>
      </c>
      <c r="AB493">
        <v>37</v>
      </c>
      <c r="AC493">
        <v>0</v>
      </c>
      <c r="AD493">
        <v>0</v>
      </c>
      <c r="AE493" t="s">
        <v>40</v>
      </c>
      <c r="AF493" s="1">
        <v>42296</v>
      </c>
    </row>
    <row r="494" spans="1:32" x14ac:dyDescent="0.25">
      <c r="A494" t="s">
        <v>41</v>
      </c>
      <c r="B494">
        <v>0</v>
      </c>
      <c r="C494">
        <v>0</v>
      </c>
      <c r="D494">
        <v>2017</v>
      </c>
      <c r="E494" t="s">
        <v>74</v>
      </c>
      <c r="F494">
        <v>4</v>
      </c>
      <c r="G494">
        <v>25</v>
      </c>
      <c r="H494">
        <v>0</v>
      </c>
      <c r="I494">
        <v>2</v>
      </c>
      <c r="J494">
        <v>1</v>
      </c>
      <c r="K494">
        <v>0</v>
      </c>
      <c r="L494">
        <v>0</v>
      </c>
      <c r="M494" t="s">
        <v>34</v>
      </c>
      <c r="N494" t="s">
        <v>43</v>
      </c>
      <c r="O494" t="s">
        <v>64</v>
      </c>
      <c r="P494" t="s">
        <v>45</v>
      </c>
      <c r="Q494">
        <v>0</v>
      </c>
      <c r="R494">
        <v>0</v>
      </c>
      <c r="S494">
        <v>0</v>
      </c>
      <c r="T494" t="s">
        <v>46</v>
      </c>
      <c r="U494" t="s">
        <v>46</v>
      </c>
      <c r="V494">
        <v>0</v>
      </c>
      <c r="W494" t="s">
        <v>38</v>
      </c>
      <c r="Y494">
        <v>365</v>
      </c>
      <c r="Z494">
        <v>0</v>
      </c>
      <c r="AA494" t="s">
        <v>51</v>
      </c>
      <c r="AB494">
        <v>85</v>
      </c>
      <c r="AC494">
        <v>0</v>
      </c>
      <c r="AD494">
        <v>0</v>
      </c>
      <c r="AE494" t="s">
        <v>40</v>
      </c>
      <c r="AF494" s="1">
        <v>42762</v>
      </c>
    </row>
    <row r="495" spans="1:32" x14ac:dyDescent="0.25">
      <c r="A495" t="s">
        <v>32</v>
      </c>
      <c r="B495">
        <v>0</v>
      </c>
      <c r="C495">
        <v>73</v>
      </c>
      <c r="D495">
        <v>2016</v>
      </c>
      <c r="E495" t="s">
        <v>61</v>
      </c>
      <c r="F495">
        <v>46</v>
      </c>
      <c r="G495">
        <v>12</v>
      </c>
      <c r="H495">
        <v>0</v>
      </c>
      <c r="I495">
        <v>1</v>
      </c>
      <c r="J495">
        <v>2</v>
      </c>
      <c r="K495">
        <v>0</v>
      </c>
      <c r="L495">
        <v>0</v>
      </c>
      <c r="M495" t="s">
        <v>34</v>
      </c>
      <c r="N495" t="s">
        <v>43</v>
      </c>
      <c r="O495" t="s">
        <v>44</v>
      </c>
      <c r="P495" t="s">
        <v>45</v>
      </c>
      <c r="Q495">
        <v>0</v>
      </c>
      <c r="R495">
        <v>0</v>
      </c>
      <c r="S495">
        <v>0</v>
      </c>
      <c r="T495" t="s">
        <v>46</v>
      </c>
      <c r="U495" t="s">
        <v>57</v>
      </c>
      <c r="V495">
        <v>0</v>
      </c>
      <c r="W495" t="s">
        <v>38</v>
      </c>
      <c r="X495">
        <v>240</v>
      </c>
      <c r="Z495">
        <v>0</v>
      </c>
      <c r="AA495" t="s">
        <v>39</v>
      </c>
      <c r="AB495">
        <v>37.799999999999997</v>
      </c>
      <c r="AC495">
        <v>0</v>
      </c>
      <c r="AD495">
        <v>1</v>
      </c>
      <c r="AE495" t="s">
        <v>40</v>
      </c>
      <c r="AF495" s="1">
        <v>42687</v>
      </c>
    </row>
    <row r="496" spans="1:32" x14ac:dyDescent="0.25">
      <c r="A496" t="s">
        <v>41</v>
      </c>
      <c r="B496">
        <v>1</v>
      </c>
      <c r="C496">
        <v>39</v>
      </c>
      <c r="D496">
        <v>2016</v>
      </c>
      <c r="E496" t="s">
        <v>52</v>
      </c>
      <c r="F496">
        <v>11</v>
      </c>
      <c r="G496">
        <v>6</v>
      </c>
      <c r="H496">
        <v>2</v>
      </c>
      <c r="I496">
        <v>3</v>
      </c>
      <c r="J496">
        <v>2</v>
      </c>
      <c r="K496">
        <v>0</v>
      </c>
      <c r="L496">
        <v>0</v>
      </c>
      <c r="M496" t="s">
        <v>34</v>
      </c>
      <c r="N496" t="s">
        <v>106</v>
      </c>
      <c r="O496" t="s">
        <v>44</v>
      </c>
      <c r="P496" t="s">
        <v>45</v>
      </c>
      <c r="Q496">
        <v>0</v>
      </c>
      <c r="R496">
        <v>0</v>
      </c>
      <c r="S496">
        <v>0</v>
      </c>
      <c r="T496" t="s">
        <v>46</v>
      </c>
      <c r="U496" t="s">
        <v>46</v>
      </c>
      <c r="V496">
        <v>0</v>
      </c>
      <c r="W496" t="s">
        <v>38</v>
      </c>
      <c r="X496">
        <v>9</v>
      </c>
      <c r="Z496">
        <v>0</v>
      </c>
      <c r="AA496" t="s">
        <v>39</v>
      </c>
      <c r="AB496">
        <v>116.1</v>
      </c>
      <c r="AC496">
        <v>0</v>
      </c>
      <c r="AD496">
        <v>1</v>
      </c>
      <c r="AE496" t="s">
        <v>47</v>
      </c>
      <c r="AF496" s="1">
        <v>42398</v>
      </c>
    </row>
    <row r="497" spans="1:32" x14ac:dyDescent="0.25">
      <c r="A497" t="s">
        <v>41</v>
      </c>
      <c r="B497">
        <v>0</v>
      </c>
      <c r="C497">
        <v>32</v>
      </c>
      <c r="D497">
        <v>2015</v>
      </c>
      <c r="E497" t="s">
        <v>61</v>
      </c>
      <c r="F497">
        <v>47</v>
      </c>
      <c r="G497">
        <v>20</v>
      </c>
      <c r="H497">
        <v>0</v>
      </c>
      <c r="I497">
        <v>2</v>
      </c>
      <c r="J497">
        <v>1</v>
      </c>
      <c r="K497">
        <v>0</v>
      </c>
      <c r="L497">
        <v>0</v>
      </c>
      <c r="M497" t="s">
        <v>34</v>
      </c>
      <c r="N497" t="s">
        <v>43</v>
      </c>
      <c r="O497" t="s">
        <v>49</v>
      </c>
      <c r="P497" t="s">
        <v>45</v>
      </c>
      <c r="Q497">
        <v>0</v>
      </c>
      <c r="R497">
        <v>0</v>
      </c>
      <c r="S497">
        <v>0</v>
      </c>
      <c r="T497" t="s">
        <v>46</v>
      </c>
      <c r="U497" t="s">
        <v>46</v>
      </c>
      <c r="V497">
        <v>2</v>
      </c>
      <c r="W497" t="s">
        <v>38</v>
      </c>
      <c r="X497">
        <v>119</v>
      </c>
      <c r="Z497">
        <v>0</v>
      </c>
      <c r="AA497" t="s">
        <v>51</v>
      </c>
      <c r="AB497">
        <v>73</v>
      </c>
      <c r="AC497">
        <v>0</v>
      </c>
      <c r="AD497">
        <v>0</v>
      </c>
      <c r="AE497" t="s">
        <v>40</v>
      </c>
      <c r="AF497" s="1">
        <v>42330</v>
      </c>
    </row>
    <row r="498" spans="1:32" x14ac:dyDescent="0.25">
      <c r="A498" t="s">
        <v>32</v>
      </c>
      <c r="B498">
        <v>1</v>
      </c>
      <c r="C498">
        <v>121</v>
      </c>
      <c r="D498">
        <v>2015</v>
      </c>
      <c r="E498" t="s">
        <v>33</v>
      </c>
      <c r="F498">
        <v>49</v>
      </c>
      <c r="G498">
        <v>4</v>
      </c>
      <c r="H498">
        <v>0</v>
      </c>
      <c r="I498">
        <v>1</v>
      </c>
      <c r="J498">
        <v>2</v>
      </c>
      <c r="K498">
        <v>0</v>
      </c>
      <c r="L498">
        <v>0</v>
      </c>
      <c r="M498" t="s">
        <v>34</v>
      </c>
      <c r="N498" t="s">
        <v>43</v>
      </c>
      <c r="O498" t="s">
        <v>44</v>
      </c>
      <c r="P498" t="s">
        <v>45</v>
      </c>
      <c r="Q498">
        <v>0</v>
      </c>
      <c r="R498">
        <v>0</v>
      </c>
      <c r="S498">
        <v>0</v>
      </c>
      <c r="T498" t="s">
        <v>72</v>
      </c>
      <c r="U498" t="s">
        <v>72</v>
      </c>
      <c r="V498">
        <v>0</v>
      </c>
      <c r="W498" t="s">
        <v>38</v>
      </c>
      <c r="X498">
        <v>240</v>
      </c>
      <c r="Z498">
        <v>0</v>
      </c>
      <c r="AA498" t="s">
        <v>39</v>
      </c>
      <c r="AB498">
        <v>50.4</v>
      </c>
      <c r="AC498">
        <v>0</v>
      </c>
      <c r="AD498">
        <v>2</v>
      </c>
      <c r="AE498" t="s">
        <v>47</v>
      </c>
      <c r="AF498" s="1">
        <v>42233</v>
      </c>
    </row>
    <row r="499" spans="1:32" x14ac:dyDescent="0.25">
      <c r="A499" t="s">
        <v>41</v>
      </c>
      <c r="B499">
        <v>0</v>
      </c>
      <c r="C499">
        <v>147</v>
      </c>
      <c r="D499">
        <v>2016</v>
      </c>
      <c r="E499" t="s">
        <v>42</v>
      </c>
      <c r="F499">
        <v>30</v>
      </c>
      <c r="G499">
        <v>22</v>
      </c>
      <c r="H499">
        <v>1</v>
      </c>
      <c r="I499">
        <v>2</v>
      </c>
      <c r="J499">
        <v>2</v>
      </c>
      <c r="K499">
        <v>1</v>
      </c>
      <c r="L499">
        <v>0</v>
      </c>
      <c r="M499" t="s">
        <v>34</v>
      </c>
      <c r="N499" t="s">
        <v>35</v>
      </c>
      <c r="O499" t="s">
        <v>49</v>
      </c>
      <c r="P499" t="s">
        <v>45</v>
      </c>
      <c r="Q499">
        <v>0</v>
      </c>
      <c r="R499">
        <v>0</v>
      </c>
      <c r="S499">
        <v>0</v>
      </c>
      <c r="T499" t="s">
        <v>46</v>
      </c>
      <c r="U499" t="s">
        <v>57</v>
      </c>
      <c r="V499">
        <v>0</v>
      </c>
      <c r="W499" t="s">
        <v>38</v>
      </c>
      <c r="X499">
        <v>22</v>
      </c>
      <c r="Z499">
        <v>0</v>
      </c>
      <c r="AA499" t="s">
        <v>39</v>
      </c>
      <c r="AB499">
        <v>84.58</v>
      </c>
      <c r="AC499">
        <v>0</v>
      </c>
      <c r="AD499">
        <v>1</v>
      </c>
      <c r="AE499" t="s">
        <v>40</v>
      </c>
      <c r="AF499" s="1">
        <v>42576</v>
      </c>
    </row>
    <row r="500" spans="1:32" x14ac:dyDescent="0.25">
      <c r="A500" t="s">
        <v>41</v>
      </c>
      <c r="B500">
        <v>0</v>
      </c>
      <c r="C500">
        <v>152</v>
      </c>
      <c r="D500">
        <v>2015</v>
      </c>
      <c r="E500" t="s">
        <v>59</v>
      </c>
      <c r="F500">
        <v>44</v>
      </c>
      <c r="G500">
        <v>29</v>
      </c>
      <c r="H500">
        <v>1</v>
      </c>
      <c r="I500">
        <v>3</v>
      </c>
      <c r="J500">
        <v>2</v>
      </c>
      <c r="K500">
        <v>0</v>
      </c>
      <c r="L500">
        <v>0</v>
      </c>
      <c r="M500" t="s">
        <v>34</v>
      </c>
      <c r="N500" t="s">
        <v>56</v>
      </c>
      <c r="O500" t="s">
        <v>49</v>
      </c>
      <c r="P500" t="s">
        <v>45</v>
      </c>
      <c r="Q500">
        <v>0</v>
      </c>
      <c r="R500">
        <v>0</v>
      </c>
      <c r="S500">
        <v>0</v>
      </c>
      <c r="T500" t="s">
        <v>46</v>
      </c>
      <c r="U500" t="s">
        <v>46</v>
      </c>
      <c r="V500">
        <v>0</v>
      </c>
      <c r="W500" t="s">
        <v>38</v>
      </c>
      <c r="X500">
        <v>16</v>
      </c>
      <c r="Z500">
        <v>0</v>
      </c>
      <c r="AA500" t="s">
        <v>39</v>
      </c>
      <c r="AB500">
        <v>56.52</v>
      </c>
      <c r="AC500">
        <v>0</v>
      </c>
      <c r="AD500">
        <v>0</v>
      </c>
      <c r="AE500" t="s">
        <v>40</v>
      </c>
      <c r="AF500" s="1">
        <v>42310</v>
      </c>
    </row>
    <row r="501" spans="1:32" x14ac:dyDescent="0.25">
      <c r="A501" t="s">
        <v>41</v>
      </c>
      <c r="B501">
        <v>0</v>
      </c>
      <c r="C501">
        <v>111</v>
      </c>
      <c r="D501">
        <v>2017</v>
      </c>
      <c r="E501" t="s">
        <v>67</v>
      </c>
      <c r="F501">
        <v>33</v>
      </c>
      <c r="G501">
        <v>14</v>
      </c>
      <c r="H501">
        <v>1</v>
      </c>
      <c r="I501">
        <v>2</v>
      </c>
      <c r="J501">
        <v>3</v>
      </c>
      <c r="K501">
        <v>0</v>
      </c>
      <c r="L501">
        <v>0</v>
      </c>
      <c r="M501" t="s">
        <v>34</v>
      </c>
      <c r="N501" t="s">
        <v>106</v>
      </c>
      <c r="O501" t="s">
        <v>44</v>
      </c>
      <c r="P501" t="s">
        <v>45</v>
      </c>
      <c r="Q501">
        <v>0</v>
      </c>
      <c r="R501">
        <v>0</v>
      </c>
      <c r="S501">
        <v>0</v>
      </c>
      <c r="T501" t="s">
        <v>72</v>
      </c>
      <c r="U501" t="s">
        <v>72</v>
      </c>
      <c r="V501">
        <v>0</v>
      </c>
      <c r="W501" t="s">
        <v>38</v>
      </c>
      <c r="X501">
        <v>9</v>
      </c>
      <c r="Z501">
        <v>0</v>
      </c>
      <c r="AA501" t="s">
        <v>39</v>
      </c>
      <c r="AB501">
        <v>225</v>
      </c>
      <c r="AC501">
        <v>0</v>
      </c>
      <c r="AD501">
        <v>2</v>
      </c>
      <c r="AE501" t="s">
        <v>40</v>
      </c>
      <c r="AF501" s="1">
        <v>42964</v>
      </c>
    </row>
    <row r="502" spans="1:32" x14ac:dyDescent="0.25">
      <c r="A502" t="s">
        <v>32</v>
      </c>
      <c r="B502">
        <v>0</v>
      </c>
      <c r="C502">
        <v>152</v>
      </c>
      <c r="D502">
        <v>2017</v>
      </c>
      <c r="E502" t="s">
        <v>83</v>
      </c>
      <c r="F502">
        <v>26</v>
      </c>
      <c r="G502">
        <v>28</v>
      </c>
      <c r="H502">
        <v>1</v>
      </c>
      <c r="I502">
        <v>4</v>
      </c>
      <c r="J502">
        <v>2</v>
      </c>
      <c r="K502">
        <v>0</v>
      </c>
      <c r="L502">
        <v>0</v>
      </c>
      <c r="M502" t="s">
        <v>60</v>
      </c>
      <c r="N502" t="s">
        <v>43</v>
      </c>
      <c r="O502" t="s">
        <v>44</v>
      </c>
      <c r="P502" t="s">
        <v>45</v>
      </c>
      <c r="Q502">
        <v>0</v>
      </c>
      <c r="R502">
        <v>0</v>
      </c>
      <c r="S502">
        <v>0</v>
      </c>
      <c r="T502" t="s">
        <v>46</v>
      </c>
      <c r="U502" t="s">
        <v>46</v>
      </c>
      <c r="V502">
        <v>0</v>
      </c>
      <c r="W502" t="s">
        <v>38</v>
      </c>
      <c r="X502">
        <v>196</v>
      </c>
      <c r="Z502">
        <v>0</v>
      </c>
      <c r="AA502" t="s">
        <v>39</v>
      </c>
      <c r="AB502">
        <v>106.5</v>
      </c>
      <c r="AC502">
        <v>0</v>
      </c>
      <c r="AD502">
        <v>0</v>
      </c>
      <c r="AE502" t="s">
        <v>40</v>
      </c>
      <c r="AF502" s="1">
        <v>42919</v>
      </c>
    </row>
    <row r="503" spans="1:32" x14ac:dyDescent="0.25">
      <c r="A503" t="s">
        <v>32</v>
      </c>
      <c r="B503">
        <v>0</v>
      </c>
      <c r="C503">
        <v>13</v>
      </c>
      <c r="D503">
        <v>2015</v>
      </c>
      <c r="E503" t="s">
        <v>67</v>
      </c>
      <c r="F503">
        <v>34</v>
      </c>
      <c r="G503">
        <v>18</v>
      </c>
      <c r="H503">
        <v>0</v>
      </c>
      <c r="I503">
        <v>1</v>
      </c>
      <c r="J503">
        <v>2</v>
      </c>
      <c r="K503">
        <v>0</v>
      </c>
      <c r="L503">
        <v>0</v>
      </c>
      <c r="M503" t="s">
        <v>34</v>
      </c>
      <c r="N503" t="s">
        <v>43</v>
      </c>
      <c r="O503" t="s">
        <v>36</v>
      </c>
      <c r="P503" t="s">
        <v>36</v>
      </c>
      <c r="Q503">
        <v>0</v>
      </c>
      <c r="R503">
        <v>0</v>
      </c>
      <c r="S503">
        <v>0</v>
      </c>
      <c r="T503" t="s">
        <v>46</v>
      </c>
      <c r="U503" t="s">
        <v>46</v>
      </c>
      <c r="V503">
        <v>0</v>
      </c>
      <c r="W503" t="s">
        <v>38</v>
      </c>
      <c r="X503">
        <v>250</v>
      </c>
      <c r="Z503">
        <v>0</v>
      </c>
      <c r="AA503" t="s">
        <v>39</v>
      </c>
      <c r="AB503">
        <v>172</v>
      </c>
      <c r="AC503">
        <v>0</v>
      </c>
      <c r="AD503">
        <v>0</v>
      </c>
      <c r="AE503" t="s">
        <v>40</v>
      </c>
      <c r="AF503" s="1">
        <v>42235</v>
      </c>
    </row>
    <row r="504" spans="1:32" x14ac:dyDescent="0.25">
      <c r="A504" t="s">
        <v>41</v>
      </c>
      <c r="B504">
        <v>0</v>
      </c>
      <c r="C504">
        <v>42</v>
      </c>
      <c r="D504">
        <v>2017</v>
      </c>
      <c r="E504" t="s">
        <v>83</v>
      </c>
      <c r="F504">
        <v>26</v>
      </c>
      <c r="G504">
        <v>30</v>
      </c>
      <c r="H504">
        <v>2</v>
      </c>
      <c r="I504">
        <v>2</v>
      </c>
      <c r="J504">
        <v>2</v>
      </c>
      <c r="K504">
        <v>2</v>
      </c>
      <c r="L504">
        <v>0</v>
      </c>
      <c r="M504" t="s">
        <v>34</v>
      </c>
      <c r="N504" t="s">
        <v>53</v>
      </c>
      <c r="O504" t="s">
        <v>36</v>
      </c>
      <c r="P504" t="s">
        <v>36</v>
      </c>
      <c r="Q504">
        <v>0</v>
      </c>
      <c r="R504">
        <v>0</v>
      </c>
      <c r="S504">
        <v>0</v>
      </c>
      <c r="T504" t="s">
        <v>72</v>
      </c>
      <c r="U504" t="s">
        <v>72</v>
      </c>
      <c r="V504">
        <v>0</v>
      </c>
      <c r="W504" t="s">
        <v>38</v>
      </c>
      <c r="X504">
        <v>14</v>
      </c>
      <c r="Z504">
        <v>0</v>
      </c>
      <c r="AA504" t="s">
        <v>39</v>
      </c>
      <c r="AB504">
        <v>151.58000000000001</v>
      </c>
      <c r="AC504">
        <v>0</v>
      </c>
      <c r="AD504">
        <v>0</v>
      </c>
      <c r="AE504" t="s">
        <v>40</v>
      </c>
      <c r="AF504" s="1">
        <v>42920</v>
      </c>
    </row>
    <row r="505" spans="1:32" x14ac:dyDescent="0.25">
      <c r="A505" t="s">
        <v>32</v>
      </c>
      <c r="B505">
        <v>0</v>
      </c>
      <c r="C505">
        <v>94</v>
      </c>
      <c r="D505">
        <v>2016</v>
      </c>
      <c r="E505" t="s">
        <v>83</v>
      </c>
      <c r="F505">
        <v>24</v>
      </c>
      <c r="G505">
        <v>10</v>
      </c>
      <c r="H505">
        <v>0</v>
      </c>
      <c r="I505">
        <v>2</v>
      </c>
      <c r="J505">
        <v>3</v>
      </c>
      <c r="K505">
        <v>0</v>
      </c>
      <c r="L505">
        <v>0</v>
      </c>
      <c r="M505" t="s">
        <v>34</v>
      </c>
      <c r="N505" t="s">
        <v>43</v>
      </c>
      <c r="O505" t="s">
        <v>44</v>
      </c>
      <c r="P505" t="s">
        <v>45</v>
      </c>
      <c r="Q505">
        <v>0</v>
      </c>
      <c r="R505">
        <v>0</v>
      </c>
      <c r="S505">
        <v>0</v>
      </c>
      <c r="T505" t="s">
        <v>46</v>
      </c>
      <c r="U505" t="s">
        <v>46</v>
      </c>
      <c r="V505">
        <v>6</v>
      </c>
      <c r="W505" t="s">
        <v>38</v>
      </c>
      <c r="X505">
        <v>240</v>
      </c>
      <c r="Z505">
        <v>0</v>
      </c>
      <c r="AA505" t="s">
        <v>51</v>
      </c>
      <c r="AB505">
        <v>163</v>
      </c>
      <c r="AC505">
        <v>1</v>
      </c>
      <c r="AD505">
        <v>0</v>
      </c>
      <c r="AE505" t="s">
        <v>40</v>
      </c>
      <c r="AF505" s="1">
        <v>42533</v>
      </c>
    </row>
    <row r="506" spans="1:32" x14ac:dyDescent="0.25">
      <c r="A506" t="s">
        <v>41</v>
      </c>
      <c r="B506">
        <v>0</v>
      </c>
      <c r="C506">
        <v>9</v>
      </c>
      <c r="D506">
        <v>2017</v>
      </c>
      <c r="E506" t="s">
        <v>66</v>
      </c>
      <c r="F506">
        <v>7</v>
      </c>
      <c r="G506">
        <v>12</v>
      </c>
      <c r="H506">
        <v>2</v>
      </c>
      <c r="I506">
        <v>1</v>
      </c>
      <c r="J506">
        <v>2</v>
      </c>
      <c r="K506">
        <v>0</v>
      </c>
      <c r="L506">
        <v>0</v>
      </c>
      <c r="M506" t="s">
        <v>34</v>
      </c>
      <c r="N506" t="s">
        <v>48</v>
      </c>
      <c r="O506" t="s">
        <v>44</v>
      </c>
      <c r="P506" t="s">
        <v>45</v>
      </c>
      <c r="Q506">
        <v>0</v>
      </c>
      <c r="R506">
        <v>0</v>
      </c>
      <c r="S506">
        <v>0</v>
      </c>
      <c r="T506" t="s">
        <v>46</v>
      </c>
      <c r="U506" t="s">
        <v>50</v>
      </c>
      <c r="V506">
        <v>0</v>
      </c>
      <c r="W506" t="s">
        <v>38</v>
      </c>
      <c r="X506">
        <v>7</v>
      </c>
      <c r="Z506">
        <v>0</v>
      </c>
      <c r="AA506" t="s">
        <v>39</v>
      </c>
      <c r="AB506">
        <v>83.16</v>
      </c>
      <c r="AC506">
        <v>0</v>
      </c>
      <c r="AD506">
        <v>0</v>
      </c>
      <c r="AE506" t="s">
        <v>40</v>
      </c>
      <c r="AF506" s="1">
        <v>42781</v>
      </c>
    </row>
    <row r="507" spans="1:32" x14ac:dyDescent="0.25">
      <c r="A507" t="s">
        <v>32</v>
      </c>
      <c r="B507">
        <v>0</v>
      </c>
      <c r="C507">
        <v>237</v>
      </c>
      <c r="D507">
        <v>2016</v>
      </c>
      <c r="E507" t="s">
        <v>33</v>
      </c>
      <c r="F507">
        <v>53</v>
      </c>
      <c r="G507">
        <v>29</v>
      </c>
      <c r="H507">
        <v>2</v>
      </c>
      <c r="I507">
        <v>6</v>
      </c>
      <c r="J507">
        <v>2</v>
      </c>
      <c r="K507">
        <v>0</v>
      </c>
      <c r="L507">
        <v>0</v>
      </c>
      <c r="M507" t="s">
        <v>34</v>
      </c>
      <c r="N507" t="s">
        <v>106</v>
      </c>
      <c r="O507" t="s">
        <v>44</v>
      </c>
      <c r="P507" t="s">
        <v>45</v>
      </c>
      <c r="Q507">
        <v>0</v>
      </c>
      <c r="R507">
        <v>0</v>
      </c>
      <c r="S507">
        <v>0</v>
      </c>
      <c r="T507" t="s">
        <v>57</v>
      </c>
      <c r="U507" t="s">
        <v>57</v>
      </c>
      <c r="V507">
        <v>1</v>
      </c>
      <c r="W507" t="s">
        <v>38</v>
      </c>
      <c r="X507">
        <v>240</v>
      </c>
      <c r="Z507">
        <v>0</v>
      </c>
      <c r="AA507" t="s">
        <v>39</v>
      </c>
      <c r="AB507">
        <v>68.25</v>
      </c>
      <c r="AC507">
        <v>0</v>
      </c>
      <c r="AD507">
        <v>2</v>
      </c>
      <c r="AE507" t="s">
        <v>40</v>
      </c>
      <c r="AF507" s="1">
        <v>42741</v>
      </c>
    </row>
    <row r="508" spans="1:32" x14ac:dyDescent="0.25">
      <c r="A508" t="s">
        <v>41</v>
      </c>
      <c r="B508">
        <v>1</v>
      </c>
      <c r="C508">
        <v>165</v>
      </c>
      <c r="D508">
        <v>2017</v>
      </c>
      <c r="E508" t="s">
        <v>69</v>
      </c>
      <c r="F508">
        <v>20</v>
      </c>
      <c r="G508">
        <v>19</v>
      </c>
      <c r="H508">
        <v>2</v>
      </c>
      <c r="I508">
        <v>2</v>
      </c>
      <c r="J508">
        <v>2</v>
      </c>
      <c r="K508">
        <v>0</v>
      </c>
      <c r="L508">
        <v>0</v>
      </c>
      <c r="M508" t="s">
        <v>34</v>
      </c>
      <c r="N508" t="s">
        <v>43</v>
      </c>
      <c r="O508" t="s">
        <v>64</v>
      </c>
      <c r="P508" t="s">
        <v>45</v>
      </c>
      <c r="Q508">
        <v>0</v>
      </c>
      <c r="R508">
        <v>0</v>
      </c>
      <c r="S508">
        <v>0</v>
      </c>
      <c r="T508" t="s">
        <v>46</v>
      </c>
      <c r="U508" t="s">
        <v>46</v>
      </c>
      <c r="V508">
        <v>0</v>
      </c>
      <c r="W508" t="s">
        <v>68</v>
      </c>
      <c r="Z508">
        <v>0</v>
      </c>
      <c r="AA508" t="s">
        <v>39</v>
      </c>
      <c r="AB508">
        <v>225</v>
      </c>
      <c r="AC508">
        <v>0</v>
      </c>
      <c r="AD508">
        <v>0</v>
      </c>
      <c r="AE508" t="s">
        <v>47</v>
      </c>
      <c r="AF508" s="1">
        <v>42747</v>
      </c>
    </row>
    <row r="509" spans="1:32" x14ac:dyDescent="0.25">
      <c r="A509" t="s">
        <v>41</v>
      </c>
      <c r="B509">
        <v>1</v>
      </c>
      <c r="C509">
        <v>31</v>
      </c>
      <c r="D509">
        <v>2016</v>
      </c>
      <c r="E509" t="s">
        <v>54</v>
      </c>
      <c r="F509">
        <v>14</v>
      </c>
      <c r="G509">
        <v>2</v>
      </c>
      <c r="H509">
        <v>0</v>
      </c>
      <c r="I509">
        <v>1</v>
      </c>
      <c r="J509">
        <v>2</v>
      </c>
      <c r="K509">
        <v>0</v>
      </c>
      <c r="L509">
        <v>0</v>
      </c>
      <c r="M509" t="s">
        <v>34</v>
      </c>
      <c r="N509" t="s">
        <v>43</v>
      </c>
      <c r="O509" t="s">
        <v>44</v>
      </c>
      <c r="P509" t="s">
        <v>45</v>
      </c>
      <c r="Q509">
        <v>0</v>
      </c>
      <c r="R509">
        <v>0</v>
      </c>
      <c r="S509">
        <v>0</v>
      </c>
      <c r="T509" t="s">
        <v>46</v>
      </c>
      <c r="U509" t="s">
        <v>46</v>
      </c>
      <c r="V509">
        <v>0</v>
      </c>
      <c r="W509" t="s">
        <v>38</v>
      </c>
      <c r="X509">
        <v>9</v>
      </c>
      <c r="Z509">
        <v>0</v>
      </c>
      <c r="AA509" t="s">
        <v>39</v>
      </c>
      <c r="AB509">
        <v>117.9</v>
      </c>
      <c r="AC509">
        <v>0</v>
      </c>
      <c r="AD509">
        <v>0</v>
      </c>
      <c r="AE509" t="s">
        <v>47</v>
      </c>
      <c r="AF509" s="1">
        <v>42435</v>
      </c>
    </row>
    <row r="510" spans="1:32" x14ac:dyDescent="0.25">
      <c r="A510" t="s">
        <v>32</v>
      </c>
      <c r="B510">
        <v>0</v>
      </c>
      <c r="C510">
        <v>287</v>
      </c>
      <c r="D510">
        <v>2016</v>
      </c>
      <c r="E510" t="s">
        <v>62</v>
      </c>
      <c r="F510">
        <v>37</v>
      </c>
      <c r="G510">
        <v>5</v>
      </c>
      <c r="H510">
        <v>2</v>
      </c>
      <c r="I510">
        <v>5</v>
      </c>
      <c r="J510">
        <v>2</v>
      </c>
      <c r="K510">
        <v>0</v>
      </c>
      <c r="L510">
        <v>0</v>
      </c>
      <c r="M510" t="s">
        <v>34</v>
      </c>
      <c r="N510" t="s">
        <v>35</v>
      </c>
      <c r="O510" t="s">
        <v>64</v>
      </c>
      <c r="P510" t="s">
        <v>45</v>
      </c>
      <c r="Q510">
        <v>0</v>
      </c>
      <c r="R510">
        <v>0</v>
      </c>
      <c r="S510">
        <v>0</v>
      </c>
      <c r="T510" t="s">
        <v>46</v>
      </c>
      <c r="U510" t="s">
        <v>46</v>
      </c>
      <c r="V510">
        <v>0</v>
      </c>
      <c r="W510" t="s">
        <v>120</v>
      </c>
      <c r="X510">
        <v>418</v>
      </c>
      <c r="Z510">
        <v>0</v>
      </c>
      <c r="AA510" t="s">
        <v>51</v>
      </c>
      <c r="AB510">
        <v>69</v>
      </c>
      <c r="AC510">
        <v>0</v>
      </c>
      <c r="AD510">
        <v>0</v>
      </c>
      <c r="AE510" t="s">
        <v>40</v>
      </c>
      <c r="AF510" s="1">
        <v>42625</v>
      </c>
    </row>
    <row r="511" spans="1:32" x14ac:dyDescent="0.25">
      <c r="A511" t="s">
        <v>32</v>
      </c>
      <c r="B511">
        <v>0</v>
      </c>
      <c r="C511">
        <v>2</v>
      </c>
      <c r="D511">
        <v>2016</v>
      </c>
      <c r="E511" t="s">
        <v>66</v>
      </c>
      <c r="F511">
        <v>6</v>
      </c>
      <c r="G511">
        <v>6</v>
      </c>
      <c r="H511">
        <v>0</v>
      </c>
      <c r="I511">
        <v>1</v>
      </c>
      <c r="J511">
        <v>2</v>
      </c>
      <c r="K511">
        <v>0</v>
      </c>
      <c r="L511">
        <v>0</v>
      </c>
      <c r="M511" t="s">
        <v>34</v>
      </c>
      <c r="N511" t="s">
        <v>43</v>
      </c>
      <c r="O511" t="s">
        <v>36</v>
      </c>
      <c r="P511" t="s">
        <v>36</v>
      </c>
      <c r="Q511">
        <v>0</v>
      </c>
      <c r="R511">
        <v>0</v>
      </c>
      <c r="S511">
        <v>0</v>
      </c>
      <c r="T511" t="s">
        <v>72</v>
      </c>
      <c r="U511" t="s">
        <v>37</v>
      </c>
      <c r="V511">
        <v>0</v>
      </c>
      <c r="W511" t="s">
        <v>38</v>
      </c>
      <c r="Z511">
        <v>0</v>
      </c>
      <c r="AA511" t="s">
        <v>51</v>
      </c>
      <c r="AB511">
        <v>58</v>
      </c>
      <c r="AC511">
        <v>0</v>
      </c>
      <c r="AD511">
        <v>0</v>
      </c>
      <c r="AE511" t="s">
        <v>40</v>
      </c>
      <c r="AF511" s="1">
        <v>42407</v>
      </c>
    </row>
    <row r="512" spans="1:32" x14ac:dyDescent="0.25">
      <c r="A512" t="s">
        <v>41</v>
      </c>
      <c r="B512">
        <v>1</v>
      </c>
      <c r="C512">
        <v>54</v>
      </c>
      <c r="D512">
        <v>2016</v>
      </c>
      <c r="E512" t="s">
        <v>52</v>
      </c>
      <c r="F512">
        <v>12</v>
      </c>
      <c r="G512">
        <v>18</v>
      </c>
      <c r="H512">
        <v>1</v>
      </c>
      <c r="I512">
        <v>2</v>
      </c>
      <c r="J512">
        <v>2</v>
      </c>
      <c r="K512">
        <v>0</v>
      </c>
      <c r="L512">
        <v>0</v>
      </c>
      <c r="M512" t="s">
        <v>55</v>
      </c>
      <c r="N512" t="s">
        <v>115</v>
      </c>
      <c r="O512" t="s">
        <v>44</v>
      </c>
      <c r="P512" t="s">
        <v>45</v>
      </c>
      <c r="Q512">
        <v>0</v>
      </c>
      <c r="R512">
        <v>0</v>
      </c>
      <c r="S512">
        <v>0</v>
      </c>
      <c r="T512" t="s">
        <v>46</v>
      </c>
      <c r="U512" t="s">
        <v>46</v>
      </c>
      <c r="V512">
        <v>0</v>
      </c>
      <c r="W512" t="s">
        <v>38</v>
      </c>
      <c r="X512">
        <v>9</v>
      </c>
      <c r="Z512">
        <v>0</v>
      </c>
      <c r="AA512" t="s">
        <v>39</v>
      </c>
      <c r="AB512">
        <v>88.2</v>
      </c>
      <c r="AC512">
        <v>0</v>
      </c>
      <c r="AD512">
        <v>0</v>
      </c>
      <c r="AE512" t="s">
        <v>47</v>
      </c>
      <c r="AF512" s="1">
        <v>42413</v>
      </c>
    </row>
    <row r="513" spans="1:32" x14ac:dyDescent="0.25">
      <c r="A513" t="s">
        <v>32</v>
      </c>
      <c r="B513">
        <v>0</v>
      </c>
      <c r="C513">
        <v>0</v>
      </c>
      <c r="D513">
        <v>2016</v>
      </c>
      <c r="E513" t="s">
        <v>59</v>
      </c>
      <c r="F513">
        <v>43</v>
      </c>
      <c r="G513">
        <v>19</v>
      </c>
      <c r="H513">
        <v>0</v>
      </c>
      <c r="I513">
        <v>1</v>
      </c>
      <c r="J513">
        <v>2</v>
      </c>
      <c r="K513">
        <v>1</v>
      </c>
      <c r="L513">
        <v>0</v>
      </c>
      <c r="M513" t="s">
        <v>34</v>
      </c>
      <c r="N513" t="s">
        <v>43</v>
      </c>
      <c r="O513" t="s">
        <v>36</v>
      </c>
      <c r="P513" t="s">
        <v>36</v>
      </c>
      <c r="Q513">
        <v>0</v>
      </c>
      <c r="R513">
        <v>0</v>
      </c>
      <c r="S513">
        <v>0</v>
      </c>
      <c r="T513" t="s">
        <v>46</v>
      </c>
      <c r="U513" t="s">
        <v>46</v>
      </c>
      <c r="V513">
        <v>0</v>
      </c>
      <c r="W513" t="s">
        <v>38</v>
      </c>
      <c r="Z513">
        <v>0</v>
      </c>
      <c r="AA513" t="s">
        <v>39</v>
      </c>
      <c r="AB513">
        <v>85</v>
      </c>
      <c r="AC513">
        <v>1</v>
      </c>
      <c r="AD513">
        <v>1</v>
      </c>
      <c r="AE513" t="s">
        <v>40</v>
      </c>
      <c r="AF513" s="1">
        <v>42663</v>
      </c>
    </row>
    <row r="514" spans="1:32" x14ac:dyDescent="0.25">
      <c r="A514" t="s">
        <v>41</v>
      </c>
      <c r="B514">
        <v>0</v>
      </c>
      <c r="C514">
        <v>14</v>
      </c>
      <c r="D514">
        <v>2016</v>
      </c>
      <c r="E514" t="s">
        <v>61</v>
      </c>
      <c r="F514">
        <v>49</v>
      </c>
      <c r="G514">
        <v>28</v>
      </c>
      <c r="H514">
        <v>1</v>
      </c>
      <c r="I514">
        <v>2</v>
      </c>
      <c r="J514">
        <v>2</v>
      </c>
      <c r="K514">
        <v>0</v>
      </c>
      <c r="L514">
        <v>0</v>
      </c>
      <c r="M514" t="s">
        <v>34</v>
      </c>
      <c r="N514" t="s">
        <v>70</v>
      </c>
      <c r="O514" t="s">
        <v>49</v>
      </c>
      <c r="P514" t="s">
        <v>45</v>
      </c>
      <c r="Q514">
        <v>0</v>
      </c>
      <c r="R514">
        <v>0</v>
      </c>
      <c r="S514">
        <v>0</v>
      </c>
      <c r="T514" t="s">
        <v>46</v>
      </c>
      <c r="U514" t="s">
        <v>46</v>
      </c>
      <c r="V514">
        <v>0</v>
      </c>
      <c r="W514" t="s">
        <v>38</v>
      </c>
      <c r="X514">
        <v>28</v>
      </c>
      <c r="Z514">
        <v>0</v>
      </c>
      <c r="AA514" t="s">
        <v>39</v>
      </c>
      <c r="AB514">
        <v>80</v>
      </c>
      <c r="AC514">
        <v>0</v>
      </c>
      <c r="AD514">
        <v>0</v>
      </c>
      <c r="AE514" t="s">
        <v>40</v>
      </c>
      <c r="AF514" s="1">
        <v>42705</v>
      </c>
    </row>
    <row r="515" spans="1:32" x14ac:dyDescent="0.25">
      <c r="A515" t="s">
        <v>41</v>
      </c>
      <c r="B515">
        <v>1</v>
      </c>
      <c r="C515">
        <v>320</v>
      </c>
      <c r="D515">
        <v>2017</v>
      </c>
      <c r="E515" t="s">
        <v>83</v>
      </c>
      <c r="F515">
        <v>24</v>
      </c>
      <c r="G515">
        <v>15</v>
      </c>
      <c r="H515">
        <v>0</v>
      </c>
      <c r="I515">
        <v>3</v>
      </c>
      <c r="J515">
        <v>1</v>
      </c>
      <c r="K515">
        <v>0</v>
      </c>
      <c r="L515">
        <v>0</v>
      </c>
      <c r="M515" t="s">
        <v>34</v>
      </c>
      <c r="N515" t="s">
        <v>43</v>
      </c>
      <c r="O515" t="s">
        <v>64</v>
      </c>
      <c r="P515" t="s">
        <v>45</v>
      </c>
      <c r="Q515">
        <v>0</v>
      </c>
      <c r="R515">
        <v>0</v>
      </c>
      <c r="S515">
        <v>0</v>
      </c>
      <c r="T515" t="s">
        <v>46</v>
      </c>
      <c r="U515" t="s">
        <v>46</v>
      </c>
      <c r="V515">
        <v>0</v>
      </c>
      <c r="W515" t="s">
        <v>68</v>
      </c>
      <c r="X515">
        <v>6</v>
      </c>
      <c r="Z515">
        <v>0</v>
      </c>
      <c r="AA515" t="s">
        <v>39</v>
      </c>
      <c r="AB515">
        <v>80</v>
      </c>
      <c r="AC515">
        <v>0</v>
      </c>
      <c r="AD515">
        <v>0</v>
      </c>
      <c r="AE515" t="s">
        <v>47</v>
      </c>
      <c r="AF515" s="1">
        <v>42747</v>
      </c>
    </row>
    <row r="516" spans="1:32" x14ac:dyDescent="0.25">
      <c r="A516" t="s">
        <v>32</v>
      </c>
      <c r="B516">
        <v>0</v>
      </c>
      <c r="C516">
        <v>0</v>
      </c>
      <c r="D516">
        <v>2016</v>
      </c>
      <c r="E516" t="s">
        <v>52</v>
      </c>
      <c r="F516">
        <v>12</v>
      </c>
      <c r="G516">
        <v>14</v>
      </c>
      <c r="H516">
        <v>1</v>
      </c>
      <c r="I516">
        <v>0</v>
      </c>
      <c r="J516">
        <v>1</v>
      </c>
      <c r="K516">
        <v>0</v>
      </c>
      <c r="L516">
        <v>0</v>
      </c>
      <c r="M516" t="s">
        <v>34</v>
      </c>
      <c r="N516" t="s">
        <v>43</v>
      </c>
      <c r="O516" t="s">
        <v>36</v>
      </c>
      <c r="P516" t="s">
        <v>36</v>
      </c>
      <c r="Q516">
        <v>0</v>
      </c>
      <c r="R516">
        <v>0</v>
      </c>
      <c r="S516">
        <v>0</v>
      </c>
      <c r="T516" t="s">
        <v>46</v>
      </c>
      <c r="U516" t="s">
        <v>57</v>
      </c>
      <c r="V516">
        <v>0</v>
      </c>
      <c r="W516" t="s">
        <v>38</v>
      </c>
      <c r="Y516">
        <v>47</v>
      </c>
      <c r="Z516">
        <v>0</v>
      </c>
      <c r="AA516" t="s">
        <v>39</v>
      </c>
      <c r="AB516">
        <v>30</v>
      </c>
      <c r="AC516">
        <v>0</v>
      </c>
      <c r="AD516">
        <v>0</v>
      </c>
      <c r="AE516" t="s">
        <v>40</v>
      </c>
      <c r="AF516" s="1">
        <v>42444</v>
      </c>
    </row>
    <row r="517" spans="1:32" x14ac:dyDescent="0.25">
      <c r="A517" t="s">
        <v>41</v>
      </c>
      <c r="B517">
        <v>0</v>
      </c>
      <c r="C517">
        <v>34</v>
      </c>
      <c r="D517">
        <v>2015</v>
      </c>
      <c r="E517" t="s">
        <v>62</v>
      </c>
      <c r="F517">
        <v>39</v>
      </c>
      <c r="G517">
        <v>23</v>
      </c>
      <c r="H517">
        <v>0</v>
      </c>
      <c r="I517">
        <v>3</v>
      </c>
      <c r="J517">
        <v>2</v>
      </c>
      <c r="K517">
        <v>0</v>
      </c>
      <c r="L517">
        <v>0</v>
      </c>
      <c r="M517" t="s">
        <v>60</v>
      </c>
      <c r="N517" t="s">
        <v>63</v>
      </c>
      <c r="O517" t="s">
        <v>49</v>
      </c>
      <c r="P517" t="s">
        <v>45</v>
      </c>
      <c r="Q517">
        <v>0</v>
      </c>
      <c r="R517">
        <v>0</v>
      </c>
      <c r="S517">
        <v>0</v>
      </c>
      <c r="T517" t="s">
        <v>46</v>
      </c>
      <c r="U517" t="s">
        <v>46</v>
      </c>
      <c r="V517">
        <v>0</v>
      </c>
      <c r="W517" t="s">
        <v>38</v>
      </c>
      <c r="X517">
        <v>52</v>
      </c>
      <c r="Z517">
        <v>33</v>
      </c>
      <c r="AA517" t="s">
        <v>51</v>
      </c>
      <c r="AB517">
        <v>224.67</v>
      </c>
      <c r="AC517">
        <v>0</v>
      </c>
      <c r="AD517">
        <v>0</v>
      </c>
      <c r="AE517" t="s">
        <v>40</v>
      </c>
      <c r="AF517" s="1">
        <v>42273</v>
      </c>
    </row>
    <row r="518" spans="1:32" x14ac:dyDescent="0.25">
      <c r="A518" t="s">
        <v>41</v>
      </c>
      <c r="B518">
        <v>0</v>
      </c>
      <c r="C518">
        <v>135</v>
      </c>
      <c r="D518">
        <v>2016</v>
      </c>
      <c r="E518" t="s">
        <v>67</v>
      </c>
      <c r="F518">
        <v>32</v>
      </c>
      <c r="G518">
        <v>2</v>
      </c>
      <c r="H518">
        <v>0</v>
      </c>
      <c r="I518">
        <v>2</v>
      </c>
      <c r="J518">
        <v>2</v>
      </c>
      <c r="K518">
        <v>1</v>
      </c>
      <c r="L518">
        <v>0</v>
      </c>
      <c r="M518" t="s">
        <v>34</v>
      </c>
      <c r="N518" t="s">
        <v>43</v>
      </c>
      <c r="O518" t="s">
        <v>44</v>
      </c>
      <c r="P518" t="s">
        <v>45</v>
      </c>
      <c r="Q518">
        <v>0</v>
      </c>
      <c r="R518">
        <v>0</v>
      </c>
      <c r="S518">
        <v>0</v>
      </c>
      <c r="T518" t="s">
        <v>46</v>
      </c>
      <c r="U518" t="s">
        <v>46</v>
      </c>
      <c r="V518">
        <v>0</v>
      </c>
      <c r="W518" t="s">
        <v>38</v>
      </c>
      <c r="X518">
        <v>9</v>
      </c>
      <c r="Z518">
        <v>0</v>
      </c>
      <c r="AA518" t="s">
        <v>39</v>
      </c>
      <c r="AB518">
        <v>130.5</v>
      </c>
      <c r="AC518">
        <v>1</v>
      </c>
      <c r="AD518">
        <v>0</v>
      </c>
      <c r="AE518" t="s">
        <v>40</v>
      </c>
      <c r="AF518" s="1">
        <v>42586</v>
      </c>
    </row>
    <row r="519" spans="1:32" x14ac:dyDescent="0.25">
      <c r="A519" t="s">
        <v>41</v>
      </c>
      <c r="B519">
        <v>1</v>
      </c>
      <c r="C519">
        <v>327</v>
      </c>
      <c r="D519">
        <v>2015</v>
      </c>
      <c r="E519" t="s">
        <v>62</v>
      </c>
      <c r="F519">
        <v>37</v>
      </c>
      <c r="G519">
        <v>9</v>
      </c>
      <c r="H519">
        <v>0</v>
      </c>
      <c r="I519">
        <v>2</v>
      </c>
      <c r="J519">
        <v>2</v>
      </c>
      <c r="K519">
        <v>0</v>
      </c>
      <c r="L519">
        <v>0</v>
      </c>
      <c r="M519" t="s">
        <v>34</v>
      </c>
      <c r="N519" t="s">
        <v>43</v>
      </c>
      <c r="O519" t="s">
        <v>64</v>
      </c>
      <c r="P519" t="s">
        <v>45</v>
      </c>
      <c r="Q519">
        <v>0</v>
      </c>
      <c r="R519">
        <v>1</v>
      </c>
      <c r="S519">
        <v>0</v>
      </c>
      <c r="T519" t="s">
        <v>46</v>
      </c>
      <c r="U519" t="s">
        <v>46</v>
      </c>
      <c r="V519">
        <v>0</v>
      </c>
      <c r="W519" t="s">
        <v>68</v>
      </c>
      <c r="X519">
        <v>1</v>
      </c>
      <c r="Z519">
        <v>0</v>
      </c>
      <c r="AA519" t="s">
        <v>51</v>
      </c>
      <c r="AB519">
        <v>62</v>
      </c>
      <c r="AC519">
        <v>0</v>
      </c>
      <c r="AD519">
        <v>0</v>
      </c>
      <c r="AE519" t="s">
        <v>47</v>
      </c>
      <c r="AF519" s="1">
        <v>42187</v>
      </c>
    </row>
    <row r="520" spans="1:32" x14ac:dyDescent="0.25">
      <c r="A520" t="s">
        <v>41</v>
      </c>
      <c r="B520">
        <v>0</v>
      </c>
      <c r="C520">
        <v>184</v>
      </c>
      <c r="D520">
        <v>2017</v>
      </c>
      <c r="E520" t="s">
        <v>42</v>
      </c>
      <c r="F520">
        <v>28</v>
      </c>
      <c r="G520">
        <v>15</v>
      </c>
      <c r="H520">
        <v>0</v>
      </c>
      <c r="I520">
        <v>1</v>
      </c>
      <c r="J520">
        <v>2</v>
      </c>
      <c r="K520">
        <v>0</v>
      </c>
      <c r="L520">
        <v>0</v>
      </c>
      <c r="M520" t="s">
        <v>34</v>
      </c>
      <c r="N520" t="s">
        <v>65</v>
      </c>
      <c r="O520" t="s">
        <v>36</v>
      </c>
      <c r="P520" t="s">
        <v>36</v>
      </c>
      <c r="Q520">
        <v>0</v>
      </c>
      <c r="R520">
        <v>0</v>
      </c>
      <c r="S520">
        <v>0</v>
      </c>
      <c r="T520" t="s">
        <v>46</v>
      </c>
      <c r="U520" t="s">
        <v>46</v>
      </c>
      <c r="V520">
        <v>0</v>
      </c>
      <c r="W520" t="s">
        <v>38</v>
      </c>
      <c r="X520">
        <v>14</v>
      </c>
      <c r="Z520">
        <v>0</v>
      </c>
      <c r="AA520" t="s">
        <v>39</v>
      </c>
      <c r="AB520">
        <v>89.1</v>
      </c>
      <c r="AC520">
        <v>0</v>
      </c>
      <c r="AD520">
        <v>1</v>
      </c>
      <c r="AE520" t="s">
        <v>40</v>
      </c>
      <c r="AF520" s="1">
        <v>42932</v>
      </c>
    </row>
    <row r="521" spans="1:32" x14ac:dyDescent="0.25">
      <c r="A521" t="s">
        <v>41</v>
      </c>
      <c r="B521">
        <v>1</v>
      </c>
      <c r="C521">
        <v>451</v>
      </c>
      <c r="D521">
        <v>2016</v>
      </c>
      <c r="E521" t="s">
        <v>69</v>
      </c>
      <c r="F521">
        <v>21</v>
      </c>
      <c r="G521">
        <v>16</v>
      </c>
      <c r="H521">
        <v>1</v>
      </c>
      <c r="I521">
        <v>2</v>
      </c>
      <c r="J521">
        <v>2</v>
      </c>
      <c r="K521">
        <v>0</v>
      </c>
      <c r="L521">
        <v>0</v>
      </c>
      <c r="M521" t="s">
        <v>34</v>
      </c>
      <c r="N521" t="s">
        <v>43</v>
      </c>
      <c r="O521" t="s">
        <v>64</v>
      </c>
      <c r="P521" t="s">
        <v>45</v>
      </c>
      <c r="Q521">
        <v>0</v>
      </c>
      <c r="R521">
        <v>0</v>
      </c>
      <c r="S521">
        <v>0</v>
      </c>
      <c r="T521" t="s">
        <v>46</v>
      </c>
      <c r="U521" t="s">
        <v>46</v>
      </c>
      <c r="V521">
        <v>0</v>
      </c>
      <c r="W521" t="s">
        <v>68</v>
      </c>
      <c r="X521">
        <v>1</v>
      </c>
      <c r="Z521">
        <v>0</v>
      </c>
      <c r="AA521" t="s">
        <v>39</v>
      </c>
      <c r="AB521">
        <v>60</v>
      </c>
      <c r="AC521">
        <v>0</v>
      </c>
      <c r="AD521">
        <v>0</v>
      </c>
      <c r="AE521" t="s">
        <v>47</v>
      </c>
      <c r="AF521" s="1">
        <v>42443</v>
      </c>
    </row>
    <row r="522" spans="1:32" x14ac:dyDescent="0.25">
      <c r="A522" t="s">
        <v>41</v>
      </c>
      <c r="B522">
        <v>1</v>
      </c>
      <c r="C522">
        <v>56</v>
      </c>
      <c r="D522">
        <v>2017</v>
      </c>
      <c r="E522" t="s">
        <v>52</v>
      </c>
      <c r="F522">
        <v>12</v>
      </c>
      <c r="G522">
        <v>21</v>
      </c>
      <c r="H522">
        <v>0</v>
      </c>
      <c r="I522">
        <v>3</v>
      </c>
      <c r="J522">
        <v>2</v>
      </c>
      <c r="K522">
        <v>0</v>
      </c>
      <c r="L522">
        <v>0</v>
      </c>
      <c r="M522" t="s">
        <v>34</v>
      </c>
      <c r="N522" t="s">
        <v>43</v>
      </c>
      <c r="O522" t="s">
        <v>49</v>
      </c>
      <c r="P522" t="s">
        <v>45</v>
      </c>
      <c r="Q522">
        <v>0</v>
      </c>
      <c r="R522">
        <v>0</v>
      </c>
      <c r="S522">
        <v>0</v>
      </c>
      <c r="T522" t="s">
        <v>46</v>
      </c>
      <c r="U522" t="s">
        <v>46</v>
      </c>
      <c r="V522">
        <v>0</v>
      </c>
      <c r="W522" t="s">
        <v>68</v>
      </c>
      <c r="X522">
        <v>86</v>
      </c>
      <c r="Z522">
        <v>0</v>
      </c>
      <c r="AA522" t="s">
        <v>39</v>
      </c>
      <c r="AB522">
        <v>85</v>
      </c>
      <c r="AC522">
        <v>0</v>
      </c>
      <c r="AD522">
        <v>0</v>
      </c>
      <c r="AE522" t="s">
        <v>47</v>
      </c>
      <c r="AF522" s="1">
        <v>42759</v>
      </c>
    </row>
    <row r="523" spans="1:32" x14ac:dyDescent="0.25">
      <c r="A523" t="s">
        <v>32</v>
      </c>
      <c r="B523">
        <v>0</v>
      </c>
      <c r="C523">
        <v>14</v>
      </c>
      <c r="D523">
        <v>2016</v>
      </c>
      <c r="E523" t="s">
        <v>52</v>
      </c>
      <c r="F523">
        <v>12</v>
      </c>
      <c r="G523">
        <v>19</v>
      </c>
      <c r="H523">
        <v>2</v>
      </c>
      <c r="I523">
        <v>3</v>
      </c>
      <c r="J523">
        <v>2</v>
      </c>
      <c r="K523">
        <v>0</v>
      </c>
      <c r="L523">
        <v>0</v>
      </c>
      <c r="M523" t="s">
        <v>77</v>
      </c>
      <c r="N523" t="s">
        <v>63</v>
      </c>
      <c r="O523" t="s">
        <v>49</v>
      </c>
      <c r="P523" t="s">
        <v>45</v>
      </c>
      <c r="Q523">
        <v>0</v>
      </c>
      <c r="R523">
        <v>0</v>
      </c>
      <c r="S523">
        <v>0</v>
      </c>
      <c r="T523" t="s">
        <v>46</v>
      </c>
      <c r="U523" t="s">
        <v>46</v>
      </c>
      <c r="V523">
        <v>1</v>
      </c>
      <c r="W523" t="s">
        <v>38</v>
      </c>
      <c r="X523">
        <v>196</v>
      </c>
      <c r="Z523">
        <v>0</v>
      </c>
      <c r="AA523" t="s">
        <v>39</v>
      </c>
      <c r="AB523">
        <v>58</v>
      </c>
      <c r="AC523">
        <v>0</v>
      </c>
      <c r="AD523">
        <v>0</v>
      </c>
      <c r="AE523" t="s">
        <v>40</v>
      </c>
      <c r="AF523" s="1">
        <v>42453</v>
      </c>
    </row>
    <row r="524" spans="1:32" x14ac:dyDescent="0.25">
      <c r="A524" t="s">
        <v>32</v>
      </c>
      <c r="B524">
        <v>0</v>
      </c>
      <c r="C524">
        <v>0</v>
      </c>
      <c r="D524">
        <v>2015</v>
      </c>
      <c r="E524" t="s">
        <v>59</v>
      </c>
      <c r="F524">
        <v>40</v>
      </c>
      <c r="G524">
        <v>3</v>
      </c>
      <c r="H524">
        <v>0</v>
      </c>
      <c r="I524">
        <v>1</v>
      </c>
      <c r="J524">
        <v>1</v>
      </c>
      <c r="K524">
        <v>0</v>
      </c>
      <c r="L524">
        <v>0</v>
      </c>
      <c r="M524" t="s">
        <v>34</v>
      </c>
      <c r="N524" t="s">
        <v>82</v>
      </c>
      <c r="O524" t="s">
        <v>36</v>
      </c>
      <c r="P524" t="s">
        <v>36</v>
      </c>
      <c r="Q524">
        <v>0</v>
      </c>
      <c r="R524">
        <v>0</v>
      </c>
      <c r="S524">
        <v>0</v>
      </c>
      <c r="T524" t="s">
        <v>46</v>
      </c>
      <c r="U524" t="s">
        <v>104</v>
      </c>
      <c r="V524">
        <v>0</v>
      </c>
      <c r="W524" t="s">
        <v>38</v>
      </c>
      <c r="Z524">
        <v>0</v>
      </c>
      <c r="AA524" t="s">
        <v>39</v>
      </c>
      <c r="AB524">
        <v>74</v>
      </c>
      <c r="AC524">
        <v>1</v>
      </c>
      <c r="AD524">
        <v>0</v>
      </c>
      <c r="AE524" t="s">
        <v>40</v>
      </c>
      <c r="AF524" s="1">
        <v>42281</v>
      </c>
    </row>
    <row r="525" spans="1:32" x14ac:dyDescent="0.25">
      <c r="A525" t="s">
        <v>41</v>
      </c>
      <c r="B525">
        <v>0</v>
      </c>
      <c r="C525">
        <v>6</v>
      </c>
      <c r="D525">
        <v>2017</v>
      </c>
      <c r="E525" t="s">
        <v>83</v>
      </c>
      <c r="F525">
        <v>26</v>
      </c>
      <c r="G525">
        <v>30</v>
      </c>
      <c r="H525">
        <v>0</v>
      </c>
      <c r="I525">
        <v>1</v>
      </c>
      <c r="J525">
        <v>2</v>
      </c>
      <c r="K525">
        <v>0</v>
      </c>
      <c r="L525">
        <v>0</v>
      </c>
      <c r="M525" t="s">
        <v>55</v>
      </c>
      <c r="N525" t="s">
        <v>53</v>
      </c>
      <c r="O525" t="s">
        <v>44</v>
      </c>
      <c r="P525" t="s">
        <v>45</v>
      </c>
      <c r="Q525">
        <v>0</v>
      </c>
      <c r="R525">
        <v>0</v>
      </c>
      <c r="S525">
        <v>0</v>
      </c>
      <c r="T525" t="s">
        <v>46</v>
      </c>
      <c r="U525" t="s">
        <v>46</v>
      </c>
      <c r="V525">
        <v>0</v>
      </c>
      <c r="W525" t="s">
        <v>38</v>
      </c>
      <c r="X525">
        <v>9</v>
      </c>
      <c r="Z525">
        <v>0</v>
      </c>
      <c r="AA525" t="s">
        <v>51</v>
      </c>
      <c r="AB525">
        <v>160</v>
      </c>
      <c r="AC525">
        <v>0</v>
      </c>
      <c r="AD525">
        <v>1</v>
      </c>
      <c r="AE525" t="s">
        <v>40</v>
      </c>
      <c r="AF525" s="1">
        <v>42917</v>
      </c>
    </row>
    <row r="526" spans="1:32" x14ac:dyDescent="0.25">
      <c r="A526" t="s">
        <v>41</v>
      </c>
      <c r="B526">
        <v>0</v>
      </c>
      <c r="C526">
        <v>2</v>
      </c>
      <c r="D526">
        <v>2017</v>
      </c>
      <c r="E526" t="s">
        <v>52</v>
      </c>
      <c r="F526">
        <v>11</v>
      </c>
      <c r="G526">
        <v>16</v>
      </c>
      <c r="H526">
        <v>0</v>
      </c>
      <c r="I526">
        <v>1</v>
      </c>
      <c r="J526">
        <v>1</v>
      </c>
      <c r="K526">
        <v>0</v>
      </c>
      <c r="L526">
        <v>0</v>
      </c>
      <c r="M526" t="s">
        <v>34</v>
      </c>
      <c r="N526" t="s">
        <v>43</v>
      </c>
      <c r="O526" t="s">
        <v>102</v>
      </c>
      <c r="P526" t="s">
        <v>76</v>
      </c>
      <c r="Q526">
        <v>1</v>
      </c>
      <c r="R526">
        <v>0</v>
      </c>
      <c r="S526">
        <v>3</v>
      </c>
      <c r="T526" t="s">
        <v>57</v>
      </c>
      <c r="U526" t="s">
        <v>57</v>
      </c>
      <c r="V526">
        <v>0</v>
      </c>
      <c r="W526" t="s">
        <v>38</v>
      </c>
      <c r="Y526">
        <v>153</v>
      </c>
      <c r="Z526">
        <v>0</v>
      </c>
      <c r="AA526" t="s">
        <v>39</v>
      </c>
      <c r="AB526">
        <v>95</v>
      </c>
      <c r="AC526">
        <v>0</v>
      </c>
      <c r="AD526">
        <v>2</v>
      </c>
      <c r="AE526" t="s">
        <v>40</v>
      </c>
      <c r="AF526" s="1">
        <v>42811</v>
      </c>
    </row>
    <row r="527" spans="1:32" x14ac:dyDescent="0.25">
      <c r="A527" t="s">
        <v>41</v>
      </c>
      <c r="B527">
        <v>0</v>
      </c>
      <c r="C527">
        <v>159</v>
      </c>
      <c r="D527">
        <v>2017</v>
      </c>
      <c r="E527" t="s">
        <v>42</v>
      </c>
      <c r="F527">
        <v>28</v>
      </c>
      <c r="G527">
        <v>11</v>
      </c>
      <c r="H527">
        <v>0</v>
      </c>
      <c r="I527">
        <v>1</v>
      </c>
      <c r="J527">
        <v>2</v>
      </c>
      <c r="K527">
        <v>0</v>
      </c>
      <c r="L527">
        <v>0</v>
      </c>
      <c r="M527" t="s">
        <v>55</v>
      </c>
      <c r="N527" t="s">
        <v>70</v>
      </c>
      <c r="O527" t="s">
        <v>44</v>
      </c>
      <c r="P527" t="s">
        <v>45</v>
      </c>
      <c r="Q527">
        <v>0</v>
      </c>
      <c r="R527">
        <v>0</v>
      </c>
      <c r="S527">
        <v>0</v>
      </c>
      <c r="T527" t="s">
        <v>46</v>
      </c>
      <c r="U527" t="s">
        <v>57</v>
      </c>
      <c r="V527">
        <v>0</v>
      </c>
      <c r="W527" t="s">
        <v>38</v>
      </c>
      <c r="X527">
        <v>9</v>
      </c>
      <c r="Z527">
        <v>0</v>
      </c>
      <c r="AA527" t="s">
        <v>39</v>
      </c>
      <c r="AB527">
        <v>89.1</v>
      </c>
      <c r="AC527">
        <v>0</v>
      </c>
      <c r="AD527">
        <v>1</v>
      </c>
      <c r="AE527" t="s">
        <v>40</v>
      </c>
      <c r="AF527" s="1">
        <v>42928</v>
      </c>
    </row>
    <row r="528" spans="1:32" x14ac:dyDescent="0.25">
      <c r="A528" t="s">
        <v>41</v>
      </c>
      <c r="B528">
        <v>0</v>
      </c>
      <c r="C528">
        <v>20</v>
      </c>
      <c r="D528">
        <v>2017</v>
      </c>
      <c r="E528" t="s">
        <v>74</v>
      </c>
      <c r="F528">
        <v>5</v>
      </c>
      <c r="G528">
        <v>30</v>
      </c>
      <c r="H528">
        <v>1</v>
      </c>
      <c r="I528">
        <v>0</v>
      </c>
      <c r="J528">
        <v>1</v>
      </c>
      <c r="K528">
        <v>0</v>
      </c>
      <c r="L528">
        <v>0</v>
      </c>
      <c r="M528" t="s">
        <v>34</v>
      </c>
      <c r="N528" t="s">
        <v>43</v>
      </c>
      <c r="O528" t="s">
        <v>76</v>
      </c>
      <c r="P528" t="s">
        <v>76</v>
      </c>
      <c r="Q528">
        <v>0</v>
      </c>
      <c r="R528">
        <v>0</v>
      </c>
      <c r="S528">
        <v>0</v>
      </c>
      <c r="T528" t="s">
        <v>46</v>
      </c>
      <c r="U528" t="s">
        <v>46</v>
      </c>
      <c r="V528">
        <v>0</v>
      </c>
      <c r="W528" t="s">
        <v>38</v>
      </c>
      <c r="Y528">
        <v>410</v>
      </c>
      <c r="Z528">
        <v>0</v>
      </c>
      <c r="AA528" t="s">
        <v>51</v>
      </c>
      <c r="AB528">
        <v>80</v>
      </c>
      <c r="AC528">
        <v>0</v>
      </c>
      <c r="AD528">
        <v>0</v>
      </c>
      <c r="AE528" t="s">
        <v>40</v>
      </c>
      <c r="AF528" s="1">
        <v>42766</v>
      </c>
    </row>
    <row r="529" spans="1:32" x14ac:dyDescent="0.25">
      <c r="A529" t="s">
        <v>32</v>
      </c>
      <c r="B529">
        <v>0</v>
      </c>
      <c r="C529">
        <v>83</v>
      </c>
      <c r="D529">
        <v>2016</v>
      </c>
      <c r="E529" t="s">
        <v>42</v>
      </c>
      <c r="F529">
        <v>31</v>
      </c>
      <c r="G529">
        <v>25</v>
      </c>
      <c r="H529">
        <v>3</v>
      </c>
      <c r="I529">
        <v>5</v>
      </c>
      <c r="J529">
        <v>1</v>
      </c>
      <c r="K529">
        <v>0</v>
      </c>
      <c r="L529">
        <v>0</v>
      </c>
      <c r="M529" t="s">
        <v>34</v>
      </c>
      <c r="N529" t="s">
        <v>35</v>
      </c>
      <c r="O529" t="s">
        <v>64</v>
      </c>
      <c r="P529" t="s">
        <v>76</v>
      </c>
      <c r="Q529">
        <v>0</v>
      </c>
      <c r="R529">
        <v>0</v>
      </c>
      <c r="S529">
        <v>0</v>
      </c>
      <c r="T529" t="s">
        <v>46</v>
      </c>
      <c r="U529" t="s">
        <v>96</v>
      </c>
      <c r="V529">
        <v>1</v>
      </c>
      <c r="W529" t="s">
        <v>38</v>
      </c>
      <c r="X529">
        <v>307</v>
      </c>
      <c r="Z529">
        <v>0</v>
      </c>
      <c r="AA529" t="s">
        <v>51</v>
      </c>
      <c r="AB529">
        <v>139</v>
      </c>
      <c r="AC529">
        <v>0</v>
      </c>
      <c r="AD529">
        <v>0</v>
      </c>
      <c r="AE529" t="s">
        <v>40</v>
      </c>
      <c r="AF529" s="1">
        <v>42584</v>
      </c>
    </row>
    <row r="530" spans="1:32" x14ac:dyDescent="0.25">
      <c r="A530" t="s">
        <v>41</v>
      </c>
      <c r="B530">
        <v>0</v>
      </c>
      <c r="C530">
        <v>92</v>
      </c>
      <c r="D530">
        <v>2015</v>
      </c>
      <c r="E530" t="s">
        <v>61</v>
      </c>
      <c r="F530">
        <v>48</v>
      </c>
      <c r="G530">
        <v>26</v>
      </c>
      <c r="H530">
        <v>0</v>
      </c>
      <c r="I530">
        <v>3</v>
      </c>
      <c r="J530">
        <v>2</v>
      </c>
      <c r="K530">
        <v>0</v>
      </c>
      <c r="L530">
        <v>0</v>
      </c>
      <c r="M530" t="s">
        <v>34</v>
      </c>
      <c r="N530" t="s">
        <v>35</v>
      </c>
      <c r="O530" t="s">
        <v>49</v>
      </c>
      <c r="P530" t="s">
        <v>45</v>
      </c>
      <c r="Q530">
        <v>0</v>
      </c>
      <c r="R530">
        <v>0</v>
      </c>
      <c r="S530">
        <v>0</v>
      </c>
      <c r="T530" t="s">
        <v>46</v>
      </c>
      <c r="U530" t="s">
        <v>46</v>
      </c>
      <c r="V530">
        <v>0</v>
      </c>
      <c r="W530" t="s">
        <v>38</v>
      </c>
      <c r="X530">
        <v>6</v>
      </c>
      <c r="Z530">
        <v>0</v>
      </c>
      <c r="AA530" t="s">
        <v>39</v>
      </c>
      <c r="AB530">
        <v>49.07</v>
      </c>
      <c r="AC530">
        <v>0</v>
      </c>
      <c r="AD530">
        <v>1</v>
      </c>
      <c r="AE530" t="s">
        <v>40</v>
      </c>
      <c r="AF530" s="1">
        <v>42337</v>
      </c>
    </row>
    <row r="531" spans="1:32" x14ac:dyDescent="0.25">
      <c r="A531" t="s">
        <v>32</v>
      </c>
      <c r="B531">
        <v>0</v>
      </c>
      <c r="C531">
        <v>0</v>
      </c>
      <c r="D531">
        <v>2017</v>
      </c>
      <c r="E531" t="s">
        <v>74</v>
      </c>
      <c r="F531">
        <v>4</v>
      </c>
      <c r="G531">
        <v>26</v>
      </c>
      <c r="H531">
        <v>0</v>
      </c>
      <c r="I531">
        <v>2</v>
      </c>
      <c r="J531">
        <v>2</v>
      </c>
      <c r="K531">
        <v>0</v>
      </c>
      <c r="L531">
        <v>0</v>
      </c>
      <c r="M531" t="s">
        <v>34</v>
      </c>
      <c r="N531" t="s">
        <v>63</v>
      </c>
      <c r="O531" t="s">
        <v>36</v>
      </c>
      <c r="P531" t="s">
        <v>36</v>
      </c>
      <c r="Q531">
        <v>0</v>
      </c>
      <c r="R531">
        <v>0</v>
      </c>
      <c r="S531">
        <v>0</v>
      </c>
      <c r="T531" t="s">
        <v>72</v>
      </c>
      <c r="U531" t="s">
        <v>72</v>
      </c>
      <c r="V531">
        <v>0</v>
      </c>
      <c r="W531" t="s">
        <v>38</v>
      </c>
      <c r="Z531">
        <v>0</v>
      </c>
      <c r="AA531" t="s">
        <v>39</v>
      </c>
      <c r="AB531">
        <v>72</v>
      </c>
      <c r="AC531">
        <v>1</v>
      </c>
      <c r="AD531">
        <v>0</v>
      </c>
      <c r="AE531" t="s">
        <v>40</v>
      </c>
      <c r="AF531" s="1">
        <v>42763</v>
      </c>
    </row>
    <row r="532" spans="1:32" x14ac:dyDescent="0.25">
      <c r="A532" t="s">
        <v>41</v>
      </c>
      <c r="B532">
        <v>0</v>
      </c>
      <c r="C532">
        <v>195</v>
      </c>
      <c r="D532">
        <v>2016</v>
      </c>
      <c r="E532" t="s">
        <v>42</v>
      </c>
      <c r="F532">
        <v>30</v>
      </c>
      <c r="G532">
        <v>21</v>
      </c>
      <c r="H532">
        <v>2</v>
      </c>
      <c r="I532">
        <v>5</v>
      </c>
      <c r="J532">
        <v>2</v>
      </c>
      <c r="K532">
        <v>0</v>
      </c>
      <c r="L532">
        <v>0</v>
      </c>
      <c r="M532" t="s">
        <v>34</v>
      </c>
      <c r="N532" t="s">
        <v>98</v>
      </c>
      <c r="O532" t="s">
        <v>44</v>
      </c>
      <c r="P532" t="s">
        <v>45</v>
      </c>
      <c r="Q532">
        <v>0</v>
      </c>
      <c r="R532">
        <v>0</v>
      </c>
      <c r="S532">
        <v>0</v>
      </c>
      <c r="T532" t="s">
        <v>46</v>
      </c>
      <c r="U532" t="s">
        <v>46</v>
      </c>
      <c r="V532">
        <v>0</v>
      </c>
      <c r="W532" t="s">
        <v>38</v>
      </c>
      <c r="X532">
        <v>9</v>
      </c>
      <c r="Z532">
        <v>0</v>
      </c>
      <c r="AA532" t="s">
        <v>39</v>
      </c>
      <c r="AB532">
        <v>90.95</v>
      </c>
      <c r="AC532">
        <v>0</v>
      </c>
      <c r="AD532">
        <v>1</v>
      </c>
      <c r="AE532" t="s">
        <v>40</v>
      </c>
      <c r="AF532" s="1">
        <v>42579</v>
      </c>
    </row>
    <row r="533" spans="1:32" x14ac:dyDescent="0.25">
      <c r="A533" t="s">
        <v>41</v>
      </c>
      <c r="B533">
        <v>1</v>
      </c>
      <c r="C533">
        <v>279</v>
      </c>
      <c r="D533">
        <v>2015</v>
      </c>
      <c r="E533" t="s">
        <v>42</v>
      </c>
      <c r="F533">
        <v>30</v>
      </c>
      <c r="G533">
        <v>23</v>
      </c>
      <c r="H533">
        <v>0</v>
      </c>
      <c r="I533">
        <v>2</v>
      </c>
      <c r="J533">
        <v>2</v>
      </c>
      <c r="K533">
        <v>0</v>
      </c>
      <c r="L533">
        <v>0</v>
      </c>
      <c r="M533" t="s">
        <v>34</v>
      </c>
      <c r="N533" t="s">
        <v>43</v>
      </c>
      <c r="O533" t="s">
        <v>64</v>
      </c>
      <c r="P533" t="s">
        <v>45</v>
      </c>
      <c r="Q533">
        <v>1</v>
      </c>
      <c r="R533">
        <v>1</v>
      </c>
      <c r="S533">
        <v>0</v>
      </c>
      <c r="T533" t="s">
        <v>46</v>
      </c>
      <c r="U533" t="s">
        <v>46</v>
      </c>
      <c r="V533">
        <v>0</v>
      </c>
      <c r="W533" t="s">
        <v>38</v>
      </c>
      <c r="X533">
        <v>1</v>
      </c>
      <c r="Z533">
        <v>0</v>
      </c>
      <c r="AA533" t="s">
        <v>51</v>
      </c>
      <c r="AB533">
        <v>62.8</v>
      </c>
      <c r="AC533">
        <v>0</v>
      </c>
      <c r="AD533">
        <v>0</v>
      </c>
      <c r="AE533" t="s">
        <v>47</v>
      </c>
      <c r="AF533" s="1">
        <v>41929</v>
      </c>
    </row>
    <row r="534" spans="1:32" x14ac:dyDescent="0.25">
      <c r="A534" t="s">
        <v>32</v>
      </c>
      <c r="B534">
        <v>0</v>
      </c>
      <c r="C534">
        <v>21</v>
      </c>
      <c r="D534">
        <v>2015</v>
      </c>
      <c r="E534" t="s">
        <v>61</v>
      </c>
      <c r="F534">
        <v>48</v>
      </c>
      <c r="G534">
        <v>24</v>
      </c>
      <c r="H534">
        <v>0</v>
      </c>
      <c r="I534">
        <v>1</v>
      </c>
      <c r="J534">
        <v>2</v>
      </c>
      <c r="K534">
        <v>0</v>
      </c>
      <c r="L534">
        <v>0</v>
      </c>
      <c r="M534" t="s">
        <v>34</v>
      </c>
      <c r="N534" t="s">
        <v>63</v>
      </c>
      <c r="O534" t="s">
        <v>49</v>
      </c>
      <c r="P534" t="s">
        <v>45</v>
      </c>
      <c r="Q534">
        <v>0</v>
      </c>
      <c r="R534">
        <v>0</v>
      </c>
      <c r="S534">
        <v>0</v>
      </c>
      <c r="T534" t="s">
        <v>46</v>
      </c>
      <c r="U534" t="s">
        <v>46</v>
      </c>
      <c r="V534">
        <v>0</v>
      </c>
      <c r="W534" t="s">
        <v>38</v>
      </c>
      <c r="X534">
        <v>314</v>
      </c>
      <c r="Z534">
        <v>0</v>
      </c>
      <c r="AA534" t="s">
        <v>39</v>
      </c>
      <c r="AB534">
        <v>38.4</v>
      </c>
      <c r="AC534">
        <v>1</v>
      </c>
      <c r="AD534">
        <v>2</v>
      </c>
      <c r="AE534" t="s">
        <v>40</v>
      </c>
      <c r="AF534" s="1">
        <v>42333</v>
      </c>
    </row>
    <row r="535" spans="1:32" x14ac:dyDescent="0.25">
      <c r="A535" t="s">
        <v>32</v>
      </c>
      <c r="B535">
        <v>1</v>
      </c>
      <c r="C535">
        <v>253</v>
      </c>
      <c r="D535">
        <v>2017</v>
      </c>
      <c r="E535" t="s">
        <v>67</v>
      </c>
      <c r="F535">
        <v>34</v>
      </c>
      <c r="G535">
        <v>25</v>
      </c>
      <c r="H535">
        <v>2</v>
      </c>
      <c r="I535">
        <v>4</v>
      </c>
      <c r="J535">
        <v>1</v>
      </c>
      <c r="K535">
        <v>0</v>
      </c>
      <c r="L535">
        <v>0</v>
      </c>
      <c r="M535" t="s">
        <v>34</v>
      </c>
      <c r="N535" t="s">
        <v>63</v>
      </c>
      <c r="O535" t="s">
        <v>44</v>
      </c>
      <c r="P535" t="s">
        <v>45</v>
      </c>
      <c r="Q535">
        <v>0</v>
      </c>
      <c r="R535">
        <v>0</v>
      </c>
      <c r="S535">
        <v>0</v>
      </c>
      <c r="T535" t="s">
        <v>46</v>
      </c>
      <c r="U535" t="s">
        <v>46</v>
      </c>
      <c r="V535">
        <v>0</v>
      </c>
      <c r="W535" t="s">
        <v>38</v>
      </c>
      <c r="X535">
        <v>240</v>
      </c>
      <c r="Z535">
        <v>0</v>
      </c>
      <c r="AA535" t="s">
        <v>39</v>
      </c>
      <c r="AB535">
        <v>153.75</v>
      </c>
      <c r="AC535">
        <v>0</v>
      </c>
      <c r="AD535">
        <v>1</v>
      </c>
      <c r="AE535" t="s">
        <v>47</v>
      </c>
      <c r="AF535" s="1">
        <v>42742</v>
      </c>
    </row>
    <row r="536" spans="1:32" x14ac:dyDescent="0.25">
      <c r="A536" t="s">
        <v>32</v>
      </c>
      <c r="B536">
        <v>0</v>
      </c>
      <c r="C536">
        <v>152</v>
      </c>
      <c r="D536">
        <v>2017</v>
      </c>
      <c r="E536" t="s">
        <v>54</v>
      </c>
      <c r="F536">
        <v>14</v>
      </c>
      <c r="G536">
        <v>5</v>
      </c>
      <c r="H536">
        <v>1</v>
      </c>
      <c r="I536">
        <v>4</v>
      </c>
      <c r="J536">
        <v>2</v>
      </c>
      <c r="K536">
        <v>0</v>
      </c>
      <c r="L536">
        <v>0</v>
      </c>
      <c r="M536" t="s">
        <v>34</v>
      </c>
      <c r="N536" t="s">
        <v>35</v>
      </c>
      <c r="O536" t="s">
        <v>64</v>
      </c>
      <c r="P536" t="s">
        <v>45</v>
      </c>
      <c r="Q536">
        <v>0</v>
      </c>
      <c r="R536">
        <v>0</v>
      </c>
      <c r="S536">
        <v>0</v>
      </c>
      <c r="T536" t="s">
        <v>57</v>
      </c>
      <c r="U536" t="s">
        <v>57</v>
      </c>
      <c r="V536">
        <v>4</v>
      </c>
      <c r="W536" t="s">
        <v>38</v>
      </c>
      <c r="Y536">
        <v>223</v>
      </c>
      <c r="Z536">
        <v>0</v>
      </c>
      <c r="AA536" t="s">
        <v>51</v>
      </c>
      <c r="AB536">
        <v>67</v>
      </c>
      <c r="AC536">
        <v>0</v>
      </c>
      <c r="AD536">
        <v>0</v>
      </c>
      <c r="AE536" t="s">
        <v>40</v>
      </c>
      <c r="AF536" s="1">
        <v>42835</v>
      </c>
    </row>
    <row r="537" spans="1:32" x14ac:dyDescent="0.25">
      <c r="A537" t="s">
        <v>41</v>
      </c>
      <c r="B537">
        <v>0</v>
      </c>
      <c r="C537">
        <v>59</v>
      </c>
      <c r="D537">
        <v>2015</v>
      </c>
      <c r="E537" t="s">
        <v>59</v>
      </c>
      <c r="F537">
        <v>42</v>
      </c>
      <c r="G537">
        <v>15</v>
      </c>
      <c r="H537">
        <v>2</v>
      </c>
      <c r="I537">
        <v>3</v>
      </c>
      <c r="J537">
        <v>2</v>
      </c>
      <c r="K537">
        <v>0</v>
      </c>
      <c r="L537">
        <v>0</v>
      </c>
      <c r="M537" t="s">
        <v>34</v>
      </c>
      <c r="N537" t="s">
        <v>78</v>
      </c>
      <c r="O537" t="s">
        <v>49</v>
      </c>
      <c r="P537" t="s">
        <v>45</v>
      </c>
      <c r="Q537">
        <v>0</v>
      </c>
      <c r="R537">
        <v>0</v>
      </c>
      <c r="S537">
        <v>0</v>
      </c>
      <c r="T537" t="s">
        <v>46</v>
      </c>
      <c r="U537" t="s">
        <v>46</v>
      </c>
      <c r="V537">
        <v>0</v>
      </c>
      <c r="W537" t="s">
        <v>38</v>
      </c>
      <c r="X537">
        <v>83</v>
      </c>
      <c r="Z537">
        <v>0</v>
      </c>
      <c r="AA537" t="s">
        <v>73</v>
      </c>
      <c r="AB537">
        <v>76.5</v>
      </c>
      <c r="AC537">
        <v>0</v>
      </c>
      <c r="AD537">
        <v>1</v>
      </c>
      <c r="AE537" t="s">
        <v>40</v>
      </c>
      <c r="AF537" s="1">
        <v>42297</v>
      </c>
    </row>
    <row r="538" spans="1:32" x14ac:dyDescent="0.25">
      <c r="A538" t="s">
        <v>41</v>
      </c>
      <c r="B538">
        <v>1</v>
      </c>
      <c r="C538">
        <v>41</v>
      </c>
      <c r="D538">
        <v>2017</v>
      </c>
      <c r="E538" t="s">
        <v>67</v>
      </c>
      <c r="F538">
        <v>35</v>
      </c>
      <c r="G538">
        <v>27</v>
      </c>
      <c r="H538">
        <v>1</v>
      </c>
      <c r="I538">
        <v>0</v>
      </c>
      <c r="J538">
        <v>1</v>
      </c>
      <c r="K538">
        <v>0</v>
      </c>
      <c r="L538">
        <v>0</v>
      </c>
      <c r="M538" t="s">
        <v>34</v>
      </c>
      <c r="N538" t="s">
        <v>82</v>
      </c>
      <c r="O538" t="s">
        <v>36</v>
      </c>
      <c r="P538" t="s">
        <v>36</v>
      </c>
      <c r="Q538">
        <v>0</v>
      </c>
      <c r="R538">
        <v>0</v>
      </c>
      <c r="S538">
        <v>0</v>
      </c>
      <c r="T538" t="s">
        <v>46</v>
      </c>
      <c r="U538" t="s">
        <v>46</v>
      </c>
      <c r="V538">
        <v>1</v>
      </c>
      <c r="W538" t="s">
        <v>38</v>
      </c>
      <c r="X538">
        <v>14</v>
      </c>
      <c r="Z538">
        <v>0</v>
      </c>
      <c r="AA538" t="s">
        <v>39</v>
      </c>
      <c r="AB538">
        <v>90</v>
      </c>
      <c r="AC538">
        <v>0</v>
      </c>
      <c r="AD538">
        <v>0</v>
      </c>
      <c r="AE538" t="s">
        <v>47</v>
      </c>
      <c r="AF538" s="1">
        <v>42944</v>
      </c>
    </row>
    <row r="539" spans="1:32" x14ac:dyDescent="0.25">
      <c r="A539" t="s">
        <v>41</v>
      </c>
      <c r="B539">
        <v>1</v>
      </c>
      <c r="C539">
        <v>104</v>
      </c>
      <c r="D539">
        <v>2016</v>
      </c>
      <c r="E539" t="s">
        <v>59</v>
      </c>
      <c r="F539">
        <v>42</v>
      </c>
      <c r="G539">
        <v>9</v>
      </c>
      <c r="H539">
        <v>1</v>
      </c>
      <c r="I539">
        <v>0</v>
      </c>
      <c r="J539">
        <v>2</v>
      </c>
      <c r="K539">
        <v>0</v>
      </c>
      <c r="L539">
        <v>0</v>
      </c>
      <c r="M539" t="s">
        <v>55</v>
      </c>
      <c r="N539" t="s">
        <v>70</v>
      </c>
      <c r="O539" t="s">
        <v>44</v>
      </c>
      <c r="P539" t="s">
        <v>45</v>
      </c>
      <c r="Q539">
        <v>0</v>
      </c>
      <c r="R539">
        <v>0</v>
      </c>
      <c r="S539">
        <v>0</v>
      </c>
      <c r="T539" t="s">
        <v>46</v>
      </c>
      <c r="U539" t="s">
        <v>46</v>
      </c>
      <c r="V539">
        <v>0</v>
      </c>
      <c r="W539" t="s">
        <v>38</v>
      </c>
      <c r="X539">
        <v>9</v>
      </c>
      <c r="Z539">
        <v>0</v>
      </c>
      <c r="AA539" t="s">
        <v>39</v>
      </c>
      <c r="AB539">
        <v>108</v>
      </c>
      <c r="AC539">
        <v>0</v>
      </c>
      <c r="AD539">
        <v>1</v>
      </c>
      <c r="AE539" t="s">
        <v>47</v>
      </c>
      <c r="AF539" s="1">
        <v>42651</v>
      </c>
    </row>
    <row r="540" spans="1:32" x14ac:dyDescent="0.25">
      <c r="A540" t="s">
        <v>41</v>
      </c>
      <c r="B540">
        <v>0</v>
      </c>
      <c r="C540">
        <v>102</v>
      </c>
      <c r="D540">
        <v>2015</v>
      </c>
      <c r="E540" t="s">
        <v>67</v>
      </c>
      <c r="F540">
        <v>34</v>
      </c>
      <c r="G540">
        <v>21</v>
      </c>
      <c r="H540">
        <v>0</v>
      </c>
      <c r="I540">
        <v>2</v>
      </c>
      <c r="J540">
        <v>2</v>
      </c>
      <c r="K540">
        <v>0</v>
      </c>
      <c r="L540">
        <v>0</v>
      </c>
      <c r="M540" t="s">
        <v>34</v>
      </c>
      <c r="N540" t="s">
        <v>43</v>
      </c>
      <c r="O540" t="s">
        <v>44</v>
      </c>
      <c r="P540" t="s">
        <v>45</v>
      </c>
      <c r="Q540">
        <v>0</v>
      </c>
      <c r="R540">
        <v>0</v>
      </c>
      <c r="S540">
        <v>0</v>
      </c>
      <c r="T540" t="s">
        <v>46</v>
      </c>
      <c r="U540" t="s">
        <v>46</v>
      </c>
      <c r="V540">
        <v>0</v>
      </c>
      <c r="W540" t="s">
        <v>38</v>
      </c>
      <c r="X540">
        <v>9</v>
      </c>
      <c r="Z540">
        <v>0</v>
      </c>
      <c r="AA540" t="s">
        <v>39</v>
      </c>
      <c r="AB540">
        <v>76.5</v>
      </c>
      <c r="AC540">
        <v>0</v>
      </c>
      <c r="AD540">
        <v>1</v>
      </c>
      <c r="AE540" t="s">
        <v>40</v>
      </c>
      <c r="AF540" s="1">
        <v>42239</v>
      </c>
    </row>
    <row r="541" spans="1:32" x14ac:dyDescent="0.25">
      <c r="A541" t="s">
        <v>41</v>
      </c>
      <c r="B541">
        <v>1</v>
      </c>
      <c r="C541">
        <v>65</v>
      </c>
      <c r="D541">
        <v>2016</v>
      </c>
      <c r="E541" t="s">
        <v>62</v>
      </c>
      <c r="F541">
        <v>37</v>
      </c>
      <c r="G541">
        <v>9</v>
      </c>
      <c r="H541">
        <v>0</v>
      </c>
      <c r="I541">
        <v>2</v>
      </c>
      <c r="J541">
        <v>2</v>
      </c>
      <c r="K541">
        <v>0</v>
      </c>
      <c r="L541">
        <v>0</v>
      </c>
      <c r="M541" t="s">
        <v>34</v>
      </c>
      <c r="N541" t="s">
        <v>70</v>
      </c>
      <c r="O541" t="s">
        <v>44</v>
      </c>
      <c r="P541" t="s">
        <v>45</v>
      </c>
      <c r="Q541">
        <v>0</v>
      </c>
      <c r="R541">
        <v>0</v>
      </c>
      <c r="S541">
        <v>0</v>
      </c>
      <c r="T541" t="s">
        <v>57</v>
      </c>
      <c r="U541" t="s">
        <v>57</v>
      </c>
      <c r="V541">
        <v>0</v>
      </c>
      <c r="W541" t="s">
        <v>38</v>
      </c>
      <c r="X541">
        <v>9</v>
      </c>
      <c r="Z541">
        <v>0</v>
      </c>
      <c r="AA541" t="s">
        <v>39</v>
      </c>
      <c r="AB541">
        <v>149.4</v>
      </c>
      <c r="AC541">
        <v>0</v>
      </c>
      <c r="AD541">
        <v>1</v>
      </c>
      <c r="AE541" t="s">
        <v>47</v>
      </c>
      <c r="AF541" s="1">
        <v>42618</v>
      </c>
    </row>
    <row r="542" spans="1:32" x14ac:dyDescent="0.25">
      <c r="A542" t="s">
        <v>41</v>
      </c>
      <c r="B542">
        <v>0</v>
      </c>
      <c r="C542">
        <v>98</v>
      </c>
      <c r="D542">
        <v>2016</v>
      </c>
      <c r="E542" t="s">
        <v>52</v>
      </c>
      <c r="F542">
        <v>12</v>
      </c>
      <c r="G542">
        <v>17</v>
      </c>
      <c r="H542">
        <v>2</v>
      </c>
      <c r="I542">
        <v>3</v>
      </c>
      <c r="J542">
        <v>2</v>
      </c>
      <c r="K542">
        <v>0</v>
      </c>
      <c r="L542">
        <v>0</v>
      </c>
      <c r="M542" t="s">
        <v>34</v>
      </c>
      <c r="N542" t="s">
        <v>106</v>
      </c>
      <c r="O542" t="s">
        <v>44</v>
      </c>
      <c r="P542" t="s">
        <v>45</v>
      </c>
      <c r="Q542">
        <v>0</v>
      </c>
      <c r="R542">
        <v>0</v>
      </c>
      <c r="S542">
        <v>0</v>
      </c>
      <c r="T542" t="s">
        <v>46</v>
      </c>
      <c r="U542" t="s">
        <v>46</v>
      </c>
      <c r="V542">
        <v>0</v>
      </c>
      <c r="W542" t="s">
        <v>38</v>
      </c>
      <c r="X542">
        <v>9</v>
      </c>
      <c r="Z542">
        <v>0</v>
      </c>
      <c r="AA542" t="s">
        <v>39</v>
      </c>
      <c r="AB542">
        <v>73.95</v>
      </c>
      <c r="AC542">
        <v>0</v>
      </c>
      <c r="AD542">
        <v>0</v>
      </c>
      <c r="AE542" t="s">
        <v>40</v>
      </c>
      <c r="AF542" s="1">
        <v>42451</v>
      </c>
    </row>
    <row r="543" spans="1:32" x14ac:dyDescent="0.25">
      <c r="A543" t="s">
        <v>32</v>
      </c>
      <c r="B543">
        <v>1</v>
      </c>
      <c r="C543">
        <v>103</v>
      </c>
      <c r="D543">
        <v>2017</v>
      </c>
      <c r="E543" t="s">
        <v>52</v>
      </c>
      <c r="F543">
        <v>13</v>
      </c>
      <c r="G543">
        <v>27</v>
      </c>
      <c r="H543">
        <v>1</v>
      </c>
      <c r="I543">
        <v>1</v>
      </c>
      <c r="J543">
        <v>2</v>
      </c>
      <c r="K543">
        <v>0</v>
      </c>
      <c r="L543">
        <v>0</v>
      </c>
      <c r="M543" t="s">
        <v>34</v>
      </c>
      <c r="N543" t="s">
        <v>43</v>
      </c>
      <c r="O543" t="s">
        <v>64</v>
      </c>
      <c r="P543" t="s">
        <v>76</v>
      </c>
      <c r="Q543">
        <v>0</v>
      </c>
      <c r="R543">
        <v>0</v>
      </c>
      <c r="S543">
        <v>0</v>
      </c>
      <c r="T543" t="s">
        <v>72</v>
      </c>
      <c r="U543" t="s">
        <v>72</v>
      </c>
      <c r="V543">
        <v>0</v>
      </c>
      <c r="W543" t="s">
        <v>68</v>
      </c>
      <c r="X543">
        <v>495</v>
      </c>
      <c r="Z543">
        <v>0</v>
      </c>
      <c r="AA543" t="s">
        <v>39</v>
      </c>
      <c r="AB543">
        <v>73</v>
      </c>
      <c r="AC543">
        <v>0</v>
      </c>
      <c r="AD543">
        <v>0</v>
      </c>
      <c r="AE543" t="s">
        <v>47</v>
      </c>
      <c r="AF543" s="1">
        <v>42727</v>
      </c>
    </row>
    <row r="544" spans="1:32" x14ac:dyDescent="0.25">
      <c r="A544" t="s">
        <v>41</v>
      </c>
      <c r="B544">
        <v>0</v>
      </c>
      <c r="C544">
        <v>159</v>
      </c>
      <c r="D544">
        <v>2017</v>
      </c>
      <c r="E544" t="s">
        <v>67</v>
      </c>
      <c r="F544">
        <v>32</v>
      </c>
      <c r="G544">
        <v>7</v>
      </c>
      <c r="H544">
        <v>1</v>
      </c>
      <c r="I544">
        <v>1</v>
      </c>
      <c r="J544">
        <v>3</v>
      </c>
      <c r="K544">
        <v>0</v>
      </c>
      <c r="L544">
        <v>0</v>
      </c>
      <c r="M544" t="s">
        <v>34</v>
      </c>
      <c r="N544" t="s">
        <v>70</v>
      </c>
      <c r="O544" t="s">
        <v>44</v>
      </c>
      <c r="P544" t="s">
        <v>45</v>
      </c>
      <c r="Q544">
        <v>0</v>
      </c>
      <c r="R544">
        <v>0</v>
      </c>
      <c r="S544">
        <v>0</v>
      </c>
      <c r="T544" t="s">
        <v>57</v>
      </c>
      <c r="U544" t="s">
        <v>57</v>
      </c>
      <c r="V544">
        <v>0</v>
      </c>
      <c r="W544" t="s">
        <v>38</v>
      </c>
      <c r="X544">
        <v>9</v>
      </c>
      <c r="Z544">
        <v>0</v>
      </c>
      <c r="AA544" t="s">
        <v>39</v>
      </c>
      <c r="AB544">
        <v>184.5</v>
      </c>
      <c r="AC544">
        <v>0</v>
      </c>
      <c r="AD544">
        <v>0</v>
      </c>
      <c r="AE544" t="s">
        <v>40</v>
      </c>
      <c r="AF544" s="1">
        <v>42956</v>
      </c>
    </row>
    <row r="545" spans="1:32" x14ac:dyDescent="0.25">
      <c r="A545" t="s">
        <v>32</v>
      </c>
      <c r="B545">
        <v>0</v>
      </c>
      <c r="C545">
        <v>13</v>
      </c>
      <c r="D545">
        <v>2015</v>
      </c>
      <c r="E545" t="s">
        <v>33</v>
      </c>
      <c r="F545">
        <v>52</v>
      </c>
      <c r="G545">
        <v>23</v>
      </c>
      <c r="H545">
        <v>0</v>
      </c>
      <c r="I545">
        <v>4</v>
      </c>
      <c r="J545">
        <v>1</v>
      </c>
      <c r="K545">
        <v>0</v>
      </c>
      <c r="L545">
        <v>0</v>
      </c>
      <c r="M545" t="s">
        <v>34</v>
      </c>
      <c r="N545" t="s">
        <v>70</v>
      </c>
      <c r="O545" t="s">
        <v>44</v>
      </c>
      <c r="P545" t="s">
        <v>45</v>
      </c>
      <c r="Q545">
        <v>0</v>
      </c>
      <c r="R545">
        <v>0</v>
      </c>
      <c r="S545">
        <v>0</v>
      </c>
      <c r="T545" t="s">
        <v>72</v>
      </c>
      <c r="U545" t="s">
        <v>72</v>
      </c>
      <c r="V545">
        <v>1</v>
      </c>
      <c r="W545" t="s">
        <v>38</v>
      </c>
      <c r="X545">
        <v>240</v>
      </c>
      <c r="Z545">
        <v>0</v>
      </c>
      <c r="AA545" t="s">
        <v>39</v>
      </c>
      <c r="AB545">
        <v>73.75</v>
      </c>
      <c r="AC545">
        <v>0</v>
      </c>
      <c r="AD545">
        <v>1</v>
      </c>
      <c r="AE545" t="s">
        <v>40</v>
      </c>
      <c r="AF545" s="1">
        <v>42365</v>
      </c>
    </row>
    <row r="546" spans="1:32" x14ac:dyDescent="0.25">
      <c r="A546" t="s">
        <v>41</v>
      </c>
      <c r="B546">
        <v>0</v>
      </c>
      <c r="C546">
        <v>117</v>
      </c>
      <c r="D546">
        <v>2016</v>
      </c>
      <c r="E546" t="s">
        <v>61</v>
      </c>
      <c r="F546">
        <v>47</v>
      </c>
      <c r="G546">
        <v>13</v>
      </c>
      <c r="H546">
        <v>2</v>
      </c>
      <c r="I546">
        <v>0</v>
      </c>
      <c r="J546">
        <v>2</v>
      </c>
      <c r="K546">
        <v>0</v>
      </c>
      <c r="L546">
        <v>0</v>
      </c>
      <c r="M546" t="s">
        <v>55</v>
      </c>
      <c r="N546" t="s">
        <v>103</v>
      </c>
      <c r="O546" t="s">
        <v>44</v>
      </c>
      <c r="P546" t="s">
        <v>45</v>
      </c>
      <c r="Q546">
        <v>0</v>
      </c>
      <c r="R546">
        <v>0</v>
      </c>
      <c r="S546">
        <v>0</v>
      </c>
      <c r="T546" t="s">
        <v>46</v>
      </c>
      <c r="U546" t="s">
        <v>46</v>
      </c>
      <c r="V546">
        <v>0</v>
      </c>
      <c r="W546" t="s">
        <v>38</v>
      </c>
      <c r="X546">
        <v>9</v>
      </c>
      <c r="Z546">
        <v>0</v>
      </c>
      <c r="AA546" t="s">
        <v>39</v>
      </c>
      <c r="AB546">
        <v>79.2</v>
      </c>
      <c r="AC546">
        <v>0</v>
      </c>
      <c r="AD546">
        <v>0</v>
      </c>
      <c r="AE546" t="s">
        <v>40</v>
      </c>
      <c r="AF546" s="1">
        <v>42689</v>
      </c>
    </row>
    <row r="547" spans="1:32" x14ac:dyDescent="0.25">
      <c r="A547" t="s">
        <v>41</v>
      </c>
      <c r="B547">
        <v>0</v>
      </c>
      <c r="C547">
        <v>155</v>
      </c>
      <c r="D547">
        <v>2017</v>
      </c>
      <c r="E547" t="s">
        <v>83</v>
      </c>
      <c r="F547">
        <v>22</v>
      </c>
      <c r="G547">
        <v>1</v>
      </c>
      <c r="H547">
        <v>0</v>
      </c>
      <c r="I547">
        <v>3</v>
      </c>
      <c r="J547">
        <v>2</v>
      </c>
      <c r="K547">
        <v>0</v>
      </c>
      <c r="L547">
        <v>0</v>
      </c>
      <c r="M547" t="s">
        <v>34</v>
      </c>
      <c r="N547" t="s">
        <v>63</v>
      </c>
      <c r="O547" t="s">
        <v>44</v>
      </c>
      <c r="P547" t="s">
        <v>45</v>
      </c>
      <c r="Q547">
        <v>0</v>
      </c>
      <c r="R547">
        <v>0</v>
      </c>
      <c r="S547">
        <v>0</v>
      </c>
      <c r="T547" t="s">
        <v>46</v>
      </c>
      <c r="U547" t="s">
        <v>46</v>
      </c>
      <c r="V547">
        <v>0</v>
      </c>
      <c r="W547" t="s">
        <v>38</v>
      </c>
      <c r="X547">
        <v>9</v>
      </c>
      <c r="Z547">
        <v>0</v>
      </c>
      <c r="AA547" t="s">
        <v>39</v>
      </c>
      <c r="AB547">
        <v>138</v>
      </c>
      <c r="AC547">
        <v>0</v>
      </c>
      <c r="AD547">
        <v>1</v>
      </c>
      <c r="AE547" t="s">
        <v>40</v>
      </c>
      <c r="AF547" s="1">
        <v>42890</v>
      </c>
    </row>
    <row r="548" spans="1:32" x14ac:dyDescent="0.25">
      <c r="A548" t="s">
        <v>32</v>
      </c>
      <c r="B548">
        <v>0</v>
      </c>
      <c r="C548">
        <v>134</v>
      </c>
      <c r="D548">
        <v>2015</v>
      </c>
      <c r="E548" t="s">
        <v>67</v>
      </c>
      <c r="F548">
        <v>35</v>
      </c>
      <c r="G548">
        <v>29</v>
      </c>
      <c r="H548">
        <v>2</v>
      </c>
      <c r="I548">
        <v>3</v>
      </c>
      <c r="J548">
        <v>2</v>
      </c>
      <c r="K548">
        <v>0</v>
      </c>
      <c r="L548">
        <v>0</v>
      </c>
      <c r="M548" t="s">
        <v>34</v>
      </c>
      <c r="N548" t="s">
        <v>43</v>
      </c>
      <c r="O548" t="s">
        <v>44</v>
      </c>
      <c r="P548" t="s">
        <v>45</v>
      </c>
      <c r="Q548">
        <v>0</v>
      </c>
      <c r="R548">
        <v>0</v>
      </c>
      <c r="S548">
        <v>0</v>
      </c>
      <c r="T548" t="s">
        <v>72</v>
      </c>
      <c r="U548" t="s">
        <v>72</v>
      </c>
      <c r="V548">
        <v>0</v>
      </c>
      <c r="W548" t="s">
        <v>38</v>
      </c>
      <c r="X548">
        <v>240</v>
      </c>
      <c r="Z548">
        <v>0</v>
      </c>
      <c r="AA548" t="s">
        <v>39</v>
      </c>
      <c r="AB548">
        <v>140</v>
      </c>
      <c r="AC548">
        <v>0</v>
      </c>
      <c r="AD548">
        <v>2</v>
      </c>
      <c r="AE548" t="s">
        <v>40</v>
      </c>
      <c r="AF548" s="1">
        <v>42250</v>
      </c>
    </row>
    <row r="549" spans="1:32" x14ac:dyDescent="0.25">
      <c r="A549" t="s">
        <v>32</v>
      </c>
      <c r="B549">
        <v>1</v>
      </c>
      <c r="C549">
        <v>52</v>
      </c>
      <c r="D549">
        <v>2015</v>
      </c>
      <c r="E549" t="s">
        <v>67</v>
      </c>
      <c r="F549">
        <v>32</v>
      </c>
      <c r="G549">
        <v>3</v>
      </c>
      <c r="H549">
        <v>1</v>
      </c>
      <c r="I549">
        <v>4</v>
      </c>
      <c r="J549">
        <v>2</v>
      </c>
      <c r="K549">
        <v>0</v>
      </c>
      <c r="L549">
        <v>0</v>
      </c>
      <c r="M549" t="s">
        <v>34</v>
      </c>
      <c r="N549" t="s">
        <v>43</v>
      </c>
      <c r="O549" t="s">
        <v>44</v>
      </c>
      <c r="P549" t="s">
        <v>45</v>
      </c>
      <c r="Q549">
        <v>0</v>
      </c>
      <c r="R549">
        <v>0</v>
      </c>
      <c r="S549">
        <v>0</v>
      </c>
      <c r="T549" t="s">
        <v>57</v>
      </c>
      <c r="U549" t="s">
        <v>57</v>
      </c>
      <c r="V549">
        <v>0</v>
      </c>
      <c r="W549" t="s">
        <v>38</v>
      </c>
      <c r="X549">
        <v>240</v>
      </c>
      <c r="Z549">
        <v>0</v>
      </c>
      <c r="AA549" t="s">
        <v>39</v>
      </c>
      <c r="AB549">
        <v>173</v>
      </c>
      <c r="AC549">
        <v>0</v>
      </c>
      <c r="AD549">
        <v>0</v>
      </c>
      <c r="AE549" t="s">
        <v>47</v>
      </c>
      <c r="AF549" s="1">
        <v>42198</v>
      </c>
    </row>
    <row r="550" spans="1:32" x14ac:dyDescent="0.25">
      <c r="A550" t="s">
        <v>32</v>
      </c>
      <c r="B550">
        <v>1</v>
      </c>
      <c r="C550">
        <v>28</v>
      </c>
      <c r="D550">
        <v>2017</v>
      </c>
      <c r="E550" t="s">
        <v>69</v>
      </c>
      <c r="F550">
        <v>20</v>
      </c>
      <c r="G550">
        <v>14</v>
      </c>
      <c r="H550">
        <v>2</v>
      </c>
      <c r="I550">
        <v>5</v>
      </c>
      <c r="J550">
        <v>2</v>
      </c>
      <c r="K550">
        <v>2</v>
      </c>
      <c r="L550">
        <v>0</v>
      </c>
      <c r="M550" t="s">
        <v>34</v>
      </c>
      <c r="N550" t="s">
        <v>91</v>
      </c>
      <c r="O550" t="s">
        <v>44</v>
      </c>
      <c r="P550" t="s">
        <v>45</v>
      </c>
      <c r="Q550">
        <v>0</v>
      </c>
      <c r="R550">
        <v>0</v>
      </c>
      <c r="S550">
        <v>0</v>
      </c>
      <c r="T550" t="s">
        <v>84</v>
      </c>
      <c r="U550" t="s">
        <v>84</v>
      </c>
      <c r="V550">
        <v>0</v>
      </c>
      <c r="W550" t="s">
        <v>38</v>
      </c>
      <c r="X550">
        <v>240</v>
      </c>
      <c r="Z550">
        <v>0</v>
      </c>
      <c r="AA550" t="s">
        <v>39</v>
      </c>
      <c r="AB550">
        <v>170</v>
      </c>
      <c r="AC550">
        <v>0</v>
      </c>
      <c r="AD550">
        <v>1</v>
      </c>
      <c r="AE550" t="s">
        <v>47</v>
      </c>
      <c r="AF550" s="1">
        <v>42841</v>
      </c>
    </row>
    <row r="551" spans="1:32" x14ac:dyDescent="0.25">
      <c r="A551" t="s">
        <v>41</v>
      </c>
      <c r="B551">
        <v>0</v>
      </c>
      <c r="C551">
        <v>68</v>
      </c>
      <c r="D551">
        <v>2016</v>
      </c>
      <c r="E551" t="s">
        <v>66</v>
      </c>
      <c r="F551">
        <v>8</v>
      </c>
      <c r="G551">
        <v>20</v>
      </c>
      <c r="H551">
        <v>2</v>
      </c>
      <c r="I551">
        <v>5</v>
      </c>
      <c r="J551">
        <v>2</v>
      </c>
      <c r="K551">
        <v>0</v>
      </c>
      <c r="L551">
        <v>0</v>
      </c>
      <c r="M551" t="s">
        <v>34</v>
      </c>
      <c r="N551" t="s">
        <v>56</v>
      </c>
      <c r="O551" t="s">
        <v>49</v>
      </c>
      <c r="P551" t="s">
        <v>45</v>
      </c>
      <c r="Q551">
        <v>0</v>
      </c>
      <c r="R551">
        <v>0</v>
      </c>
      <c r="S551">
        <v>0</v>
      </c>
      <c r="T551" t="s">
        <v>46</v>
      </c>
      <c r="U551" t="s">
        <v>46</v>
      </c>
      <c r="V551">
        <v>0</v>
      </c>
      <c r="W551" t="s">
        <v>38</v>
      </c>
      <c r="X551">
        <v>27</v>
      </c>
      <c r="Z551">
        <v>0</v>
      </c>
      <c r="AA551" t="s">
        <v>39</v>
      </c>
      <c r="AB551">
        <v>43.43</v>
      </c>
      <c r="AC551">
        <v>0</v>
      </c>
      <c r="AD551">
        <v>0</v>
      </c>
      <c r="AE551" t="s">
        <v>40</v>
      </c>
      <c r="AF551" s="1">
        <v>42427</v>
      </c>
    </row>
    <row r="552" spans="1:32" x14ac:dyDescent="0.25">
      <c r="A552" t="s">
        <v>32</v>
      </c>
      <c r="B552">
        <v>1</v>
      </c>
      <c r="C552">
        <v>208</v>
      </c>
      <c r="D552">
        <v>2017</v>
      </c>
      <c r="E552" t="s">
        <v>69</v>
      </c>
      <c r="F552">
        <v>18</v>
      </c>
      <c r="G552">
        <v>1</v>
      </c>
      <c r="H552">
        <v>1</v>
      </c>
      <c r="I552">
        <v>4</v>
      </c>
      <c r="J552">
        <v>2</v>
      </c>
      <c r="K552">
        <v>0</v>
      </c>
      <c r="L552">
        <v>0</v>
      </c>
      <c r="M552" t="s">
        <v>34</v>
      </c>
      <c r="N552" t="s">
        <v>35</v>
      </c>
      <c r="O552" t="s">
        <v>44</v>
      </c>
      <c r="P552" t="s">
        <v>45</v>
      </c>
      <c r="Q552">
        <v>0</v>
      </c>
      <c r="R552">
        <v>0</v>
      </c>
      <c r="S552">
        <v>0</v>
      </c>
      <c r="T552" t="s">
        <v>72</v>
      </c>
      <c r="U552" t="s">
        <v>72</v>
      </c>
      <c r="V552">
        <v>0</v>
      </c>
      <c r="W552" t="s">
        <v>38</v>
      </c>
      <c r="X552">
        <v>240</v>
      </c>
      <c r="Z552">
        <v>0</v>
      </c>
      <c r="AA552" t="s">
        <v>39</v>
      </c>
      <c r="AB552">
        <v>81</v>
      </c>
      <c r="AC552">
        <v>0</v>
      </c>
      <c r="AD552">
        <v>0</v>
      </c>
      <c r="AE552" t="s">
        <v>47</v>
      </c>
      <c r="AF552" s="1">
        <v>42649</v>
      </c>
    </row>
    <row r="553" spans="1:32" x14ac:dyDescent="0.25">
      <c r="A553" t="s">
        <v>32</v>
      </c>
      <c r="B553">
        <v>1</v>
      </c>
      <c r="C553">
        <v>18</v>
      </c>
      <c r="D553">
        <v>2017</v>
      </c>
      <c r="E553" t="s">
        <v>66</v>
      </c>
      <c r="F553">
        <v>7</v>
      </c>
      <c r="G553">
        <v>12</v>
      </c>
      <c r="H553">
        <v>2</v>
      </c>
      <c r="I553">
        <v>0</v>
      </c>
      <c r="J553">
        <v>2</v>
      </c>
      <c r="K553">
        <v>0</v>
      </c>
      <c r="L553">
        <v>0</v>
      </c>
      <c r="M553" t="s">
        <v>34</v>
      </c>
      <c r="N553" t="s">
        <v>35</v>
      </c>
      <c r="O553" t="s">
        <v>44</v>
      </c>
      <c r="P553" t="s">
        <v>45</v>
      </c>
      <c r="Q553">
        <v>0</v>
      </c>
      <c r="R553">
        <v>0</v>
      </c>
      <c r="S553">
        <v>0</v>
      </c>
      <c r="T553" t="s">
        <v>57</v>
      </c>
      <c r="U553" t="s">
        <v>57</v>
      </c>
      <c r="V553">
        <v>0</v>
      </c>
      <c r="W553" t="s">
        <v>38</v>
      </c>
      <c r="X553">
        <v>240</v>
      </c>
      <c r="Z553">
        <v>0</v>
      </c>
      <c r="AA553" t="s">
        <v>39</v>
      </c>
      <c r="AB553">
        <v>58</v>
      </c>
      <c r="AC553">
        <v>0</v>
      </c>
      <c r="AD553">
        <v>0</v>
      </c>
      <c r="AE553" t="s">
        <v>47</v>
      </c>
      <c r="AF553" s="1">
        <v>42761</v>
      </c>
    </row>
    <row r="554" spans="1:32" x14ac:dyDescent="0.25">
      <c r="A554" t="s">
        <v>41</v>
      </c>
      <c r="B554">
        <v>0</v>
      </c>
      <c r="C554">
        <v>4</v>
      </c>
      <c r="D554">
        <v>2016</v>
      </c>
      <c r="E554" t="s">
        <v>66</v>
      </c>
      <c r="F554">
        <v>8</v>
      </c>
      <c r="G554">
        <v>16</v>
      </c>
      <c r="H554">
        <v>0</v>
      </c>
      <c r="I554">
        <v>3</v>
      </c>
      <c r="J554">
        <v>1</v>
      </c>
      <c r="K554">
        <v>0</v>
      </c>
      <c r="L554">
        <v>0</v>
      </c>
      <c r="M554" t="s">
        <v>34</v>
      </c>
      <c r="N554" t="s">
        <v>43</v>
      </c>
      <c r="O554" t="s">
        <v>76</v>
      </c>
      <c r="P554" t="s">
        <v>76</v>
      </c>
      <c r="Q554">
        <v>1</v>
      </c>
      <c r="R554">
        <v>0</v>
      </c>
      <c r="S554">
        <v>5</v>
      </c>
      <c r="T554" t="s">
        <v>46</v>
      </c>
      <c r="U554" t="s">
        <v>46</v>
      </c>
      <c r="V554">
        <v>0</v>
      </c>
      <c r="W554" t="s">
        <v>38</v>
      </c>
      <c r="Y554">
        <v>40</v>
      </c>
      <c r="Z554">
        <v>0</v>
      </c>
      <c r="AA554" t="s">
        <v>39</v>
      </c>
      <c r="AB554">
        <v>65</v>
      </c>
      <c r="AC554">
        <v>0</v>
      </c>
      <c r="AD554">
        <v>1</v>
      </c>
      <c r="AE554" t="s">
        <v>40</v>
      </c>
      <c r="AF554" s="1">
        <v>42419</v>
      </c>
    </row>
    <row r="555" spans="1:32" x14ac:dyDescent="0.25">
      <c r="A555" t="s">
        <v>41</v>
      </c>
      <c r="B555">
        <v>0</v>
      </c>
      <c r="C555">
        <v>50</v>
      </c>
      <c r="D555">
        <v>2016</v>
      </c>
      <c r="E555" t="s">
        <v>52</v>
      </c>
      <c r="F555">
        <v>14</v>
      </c>
      <c r="G555">
        <v>31</v>
      </c>
      <c r="H555">
        <v>0</v>
      </c>
      <c r="I555">
        <v>3</v>
      </c>
      <c r="J555">
        <v>2</v>
      </c>
      <c r="K555">
        <v>0</v>
      </c>
      <c r="L555">
        <v>0</v>
      </c>
      <c r="M555" t="s">
        <v>34</v>
      </c>
      <c r="N555" t="s">
        <v>43</v>
      </c>
      <c r="O555" t="s">
        <v>64</v>
      </c>
      <c r="P555" t="s">
        <v>45</v>
      </c>
      <c r="Q555">
        <v>0</v>
      </c>
      <c r="R555">
        <v>0</v>
      </c>
      <c r="S555">
        <v>0</v>
      </c>
      <c r="T555" t="s">
        <v>46</v>
      </c>
      <c r="U555" t="s">
        <v>46</v>
      </c>
      <c r="V555">
        <v>0</v>
      </c>
      <c r="W555" t="s">
        <v>38</v>
      </c>
      <c r="X555">
        <v>1</v>
      </c>
      <c r="Z555">
        <v>0</v>
      </c>
      <c r="AA555" t="s">
        <v>51</v>
      </c>
      <c r="AB555">
        <v>65</v>
      </c>
      <c r="AC555">
        <v>0</v>
      </c>
      <c r="AD555">
        <v>0</v>
      </c>
      <c r="AE555" t="s">
        <v>40</v>
      </c>
      <c r="AF555" s="1">
        <v>42463</v>
      </c>
    </row>
    <row r="556" spans="1:32" x14ac:dyDescent="0.25">
      <c r="A556" t="s">
        <v>41</v>
      </c>
      <c r="B556">
        <v>0</v>
      </c>
      <c r="C556">
        <v>56</v>
      </c>
      <c r="D556">
        <v>2016</v>
      </c>
      <c r="E556" t="s">
        <v>61</v>
      </c>
      <c r="F556">
        <v>48</v>
      </c>
      <c r="G556">
        <v>22</v>
      </c>
      <c r="H556">
        <v>0</v>
      </c>
      <c r="I556">
        <v>4</v>
      </c>
      <c r="J556">
        <v>3</v>
      </c>
      <c r="K556">
        <v>0</v>
      </c>
      <c r="L556">
        <v>0</v>
      </c>
      <c r="M556" t="s">
        <v>34</v>
      </c>
      <c r="N556" t="s">
        <v>106</v>
      </c>
      <c r="O556" t="s">
        <v>44</v>
      </c>
      <c r="P556" t="s">
        <v>45</v>
      </c>
      <c r="Q556">
        <v>0</v>
      </c>
      <c r="R556">
        <v>0</v>
      </c>
      <c r="S556">
        <v>0</v>
      </c>
      <c r="T556" t="s">
        <v>57</v>
      </c>
      <c r="U556" t="s">
        <v>57</v>
      </c>
      <c r="V556">
        <v>0</v>
      </c>
      <c r="W556" t="s">
        <v>38</v>
      </c>
      <c r="X556">
        <v>9</v>
      </c>
      <c r="Z556">
        <v>0</v>
      </c>
      <c r="AA556" t="s">
        <v>39</v>
      </c>
      <c r="AB556">
        <v>119</v>
      </c>
      <c r="AC556">
        <v>0</v>
      </c>
      <c r="AD556">
        <v>2</v>
      </c>
      <c r="AE556" t="s">
        <v>40</v>
      </c>
      <c r="AF556" s="1">
        <v>42700</v>
      </c>
    </row>
    <row r="557" spans="1:32" x14ac:dyDescent="0.25">
      <c r="A557" t="s">
        <v>41</v>
      </c>
      <c r="B557">
        <v>0</v>
      </c>
      <c r="C557">
        <v>70</v>
      </c>
      <c r="D557">
        <v>2017</v>
      </c>
      <c r="E557" t="s">
        <v>66</v>
      </c>
      <c r="F557">
        <v>7</v>
      </c>
      <c r="G557">
        <v>15</v>
      </c>
      <c r="H557">
        <v>0</v>
      </c>
      <c r="I557">
        <v>4</v>
      </c>
      <c r="J557">
        <v>2</v>
      </c>
      <c r="K557">
        <v>0</v>
      </c>
      <c r="L557">
        <v>0</v>
      </c>
      <c r="M557" t="s">
        <v>34</v>
      </c>
      <c r="N557" t="s">
        <v>63</v>
      </c>
      <c r="O557" t="s">
        <v>64</v>
      </c>
      <c r="P557" t="s">
        <v>45</v>
      </c>
      <c r="Q557">
        <v>0</v>
      </c>
      <c r="R557">
        <v>0</v>
      </c>
      <c r="S557">
        <v>0</v>
      </c>
      <c r="T557" t="s">
        <v>46</v>
      </c>
      <c r="U557" t="s">
        <v>46</v>
      </c>
      <c r="V557">
        <v>0</v>
      </c>
      <c r="W557" t="s">
        <v>38</v>
      </c>
      <c r="Y557">
        <v>242</v>
      </c>
      <c r="Z557">
        <v>0</v>
      </c>
      <c r="AA557" t="s">
        <v>51</v>
      </c>
      <c r="AB557">
        <v>78</v>
      </c>
      <c r="AC557">
        <v>0</v>
      </c>
      <c r="AD557">
        <v>0</v>
      </c>
      <c r="AE557" t="s">
        <v>40</v>
      </c>
      <c r="AF557" s="1">
        <v>42785</v>
      </c>
    </row>
    <row r="558" spans="1:32" x14ac:dyDescent="0.25">
      <c r="A558" t="s">
        <v>41</v>
      </c>
      <c r="B558">
        <v>1</v>
      </c>
      <c r="C558">
        <v>102</v>
      </c>
      <c r="D558">
        <v>2016</v>
      </c>
      <c r="E558" t="s">
        <v>59</v>
      </c>
      <c r="F558">
        <v>42</v>
      </c>
      <c r="G558">
        <v>9</v>
      </c>
      <c r="H558">
        <v>1</v>
      </c>
      <c r="I558">
        <v>0</v>
      </c>
      <c r="J558">
        <v>2</v>
      </c>
      <c r="K558">
        <v>0</v>
      </c>
      <c r="L558">
        <v>0</v>
      </c>
      <c r="M558" t="s">
        <v>55</v>
      </c>
      <c r="N558" t="s">
        <v>70</v>
      </c>
      <c r="O558" t="s">
        <v>44</v>
      </c>
      <c r="P558" t="s">
        <v>45</v>
      </c>
      <c r="Q558">
        <v>0</v>
      </c>
      <c r="R558">
        <v>0</v>
      </c>
      <c r="S558">
        <v>0</v>
      </c>
      <c r="T558" t="s">
        <v>46</v>
      </c>
      <c r="U558" t="s">
        <v>46</v>
      </c>
      <c r="V558">
        <v>0</v>
      </c>
      <c r="W558" t="s">
        <v>38</v>
      </c>
      <c r="X558">
        <v>9</v>
      </c>
      <c r="Z558">
        <v>0</v>
      </c>
      <c r="AA558" t="s">
        <v>39</v>
      </c>
      <c r="AB558">
        <v>108</v>
      </c>
      <c r="AC558">
        <v>0</v>
      </c>
      <c r="AD558">
        <v>1</v>
      </c>
      <c r="AE558" t="s">
        <v>47</v>
      </c>
      <c r="AF558" s="1">
        <v>42651</v>
      </c>
    </row>
    <row r="559" spans="1:32" x14ac:dyDescent="0.25">
      <c r="A559" t="s">
        <v>41</v>
      </c>
      <c r="B559">
        <v>0</v>
      </c>
      <c r="C559">
        <v>5</v>
      </c>
      <c r="D559">
        <v>2015</v>
      </c>
      <c r="E559" t="s">
        <v>62</v>
      </c>
      <c r="F559">
        <v>37</v>
      </c>
      <c r="G559">
        <v>9</v>
      </c>
      <c r="H559">
        <v>0</v>
      </c>
      <c r="I559">
        <v>2</v>
      </c>
      <c r="J559">
        <v>1</v>
      </c>
      <c r="K559">
        <v>0</v>
      </c>
      <c r="L559">
        <v>0</v>
      </c>
      <c r="M559" t="s">
        <v>34</v>
      </c>
      <c r="N559" t="s">
        <v>56</v>
      </c>
      <c r="O559" t="s">
        <v>44</v>
      </c>
      <c r="P559" t="s">
        <v>45</v>
      </c>
      <c r="Q559">
        <v>0</v>
      </c>
      <c r="R559">
        <v>0</v>
      </c>
      <c r="S559">
        <v>0</v>
      </c>
      <c r="T559" t="s">
        <v>46</v>
      </c>
      <c r="U559" t="s">
        <v>46</v>
      </c>
      <c r="V559">
        <v>0</v>
      </c>
      <c r="W559" t="s">
        <v>38</v>
      </c>
      <c r="X559">
        <v>9</v>
      </c>
      <c r="Z559">
        <v>0</v>
      </c>
      <c r="AA559" t="s">
        <v>73</v>
      </c>
      <c r="AB559">
        <v>114</v>
      </c>
      <c r="AC559">
        <v>0</v>
      </c>
      <c r="AD559">
        <v>2</v>
      </c>
      <c r="AE559" t="s">
        <v>40</v>
      </c>
      <c r="AF559" s="1">
        <v>42258</v>
      </c>
    </row>
    <row r="560" spans="1:32" x14ac:dyDescent="0.25">
      <c r="A560" t="s">
        <v>41</v>
      </c>
      <c r="B560">
        <v>0</v>
      </c>
      <c r="C560">
        <v>91</v>
      </c>
      <c r="D560">
        <v>2017</v>
      </c>
      <c r="E560" t="s">
        <v>69</v>
      </c>
      <c r="F560">
        <v>20</v>
      </c>
      <c r="G560">
        <v>18</v>
      </c>
      <c r="H560">
        <v>0</v>
      </c>
      <c r="I560">
        <v>1</v>
      </c>
      <c r="J560">
        <v>2</v>
      </c>
      <c r="K560">
        <v>0</v>
      </c>
      <c r="L560">
        <v>0</v>
      </c>
      <c r="M560" t="s">
        <v>34</v>
      </c>
      <c r="N560" t="s">
        <v>99</v>
      </c>
      <c r="O560" t="s">
        <v>49</v>
      </c>
      <c r="P560" t="s">
        <v>45</v>
      </c>
      <c r="Q560">
        <v>0</v>
      </c>
      <c r="R560">
        <v>0</v>
      </c>
      <c r="S560">
        <v>0</v>
      </c>
      <c r="T560" t="s">
        <v>46</v>
      </c>
      <c r="U560" t="s">
        <v>104</v>
      </c>
      <c r="V560">
        <v>0</v>
      </c>
      <c r="W560" t="s">
        <v>38</v>
      </c>
      <c r="X560">
        <v>262</v>
      </c>
      <c r="Z560">
        <v>0</v>
      </c>
      <c r="AA560" t="s">
        <v>39</v>
      </c>
      <c r="AB560">
        <v>89.1</v>
      </c>
      <c r="AC560">
        <v>0</v>
      </c>
      <c r="AD560">
        <v>0</v>
      </c>
      <c r="AE560" t="s">
        <v>40</v>
      </c>
      <c r="AF560" s="1">
        <v>42874</v>
      </c>
    </row>
    <row r="561" spans="1:32" x14ac:dyDescent="0.25">
      <c r="A561" t="s">
        <v>32</v>
      </c>
      <c r="B561">
        <v>0</v>
      </c>
      <c r="C561">
        <v>0</v>
      </c>
      <c r="D561">
        <v>2016</v>
      </c>
      <c r="E561" t="s">
        <v>59</v>
      </c>
      <c r="F561">
        <v>44</v>
      </c>
      <c r="G561">
        <v>28</v>
      </c>
      <c r="H561">
        <v>0</v>
      </c>
      <c r="I561">
        <v>1</v>
      </c>
      <c r="J561">
        <v>2</v>
      </c>
      <c r="K561">
        <v>0</v>
      </c>
      <c r="L561">
        <v>0</v>
      </c>
      <c r="M561" t="s">
        <v>34</v>
      </c>
      <c r="N561" t="s">
        <v>95</v>
      </c>
      <c r="O561" t="s">
        <v>36</v>
      </c>
      <c r="P561" t="s">
        <v>36</v>
      </c>
      <c r="Q561">
        <v>1</v>
      </c>
      <c r="R561">
        <v>0</v>
      </c>
      <c r="S561">
        <v>0</v>
      </c>
      <c r="T561" t="s">
        <v>57</v>
      </c>
      <c r="U561" t="s">
        <v>57</v>
      </c>
      <c r="V561">
        <v>0</v>
      </c>
      <c r="W561" t="s">
        <v>38</v>
      </c>
      <c r="Z561">
        <v>0</v>
      </c>
      <c r="AA561" t="s">
        <v>39</v>
      </c>
      <c r="AB561">
        <v>78</v>
      </c>
      <c r="AC561">
        <v>0</v>
      </c>
      <c r="AD561">
        <v>1</v>
      </c>
      <c r="AE561" t="s">
        <v>40</v>
      </c>
      <c r="AF561" s="1">
        <v>42672</v>
      </c>
    </row>
    <row r="562" spans="1:32" x14ac:dyDescent="0.25">
      <c r="A562" t="s">
        <v>41</v>
      </c>
      <c r="B562">
        <v>0</v>
      </c>
      <c r="C562">
        <v>39</v>
      </c>
      <c r="D562">
        <v>2016</v>
      </c>
      <c r="E562" t="s">
        <v>62</v>
      </c>
      <c r="F562">
        <v>38</v>
      </c>
      <c r="G562">
        <v>16</v>
      </c>
      <c r="H562">
        <v>1</v>
      </c>
      <c r="I562">
        <v>2</v>
      </c>
      <c r="J562">
        <v>2</v>
      </c>
      <c r="K562">
        <v>2</v>
      </c>
      <c r="L562">
        <v>0</v>
      </c>
      <c r="M562" t="s">
        <v>34</v>
      </c>
      <c r="N562" t="s">
        <v>112</v>
      </c>
      <c r="O562" t="s">
        <v>36</v>
      </c>
      <c r="P562" t="s">
        <v>36</v>
      </c>
      <c r="Q562">
        <v>0</v>
      </c>
      <c r="R562">
        <v>0</v>
      </c>
      <c r="S562">
        <v>0</v>
      </c>
      <c r="T562" t="s">
        <v>84</v>
      </c>
      <c r="U562" t="s">
        <v>84</v>
      </c>
      <c r="V562">
        <v>0</v>
      </c>
      <c r="W562" t="s">
        <v>38</v>
      </c>
      <c r="X562">
        <v>14</v>
      </c>
      <c r="Z562">
        <v>0</v>
      </c>
      <c r="AA562" t="s">
        <v>39</v>
      </c>
      <c r="AB562">
        <v>226.95</v>
      </c>
      <c r="AC562">
        <v>0</v>
      </c>
      <c r="AD562">
        <v>2</v>
      </c>
      <c r="AE562" t="s">
        <v>40</v>
      </c>
      <c r="AF562" s="1">
        <v>42632</v>
      </c>
    </row>
    <row r="563" spans="1:32" x14ac:dyDescent="0.25">
      <c r="A563" t="s">
        <v>41</v>
      </c>
      <c r="B563">
        <v>0</v>
      </c>
      <c r="C563">
        <v>6</v>
      </c>
      <c r="D563">
        <v>2015</v>
      </c>
      <c r="E563" t="s">
        <v>59</v>
      </c>
      <c r="F563">
        <v>42</v>
      </c>
      <c r="G563">
        <v>11</v>
      </c>
      <c r="H563">
        <v>2</v>
      </c>
      <c r="I563">
        <v>1</v>
      </c>
      <c r="J563">
        <v>1</v>
      </c>
      <c r="K563">
        <v>0</v>
      </c>
      <c r="L563">
        <v>0</v>
      </c>
      <c r="M563" t="s">
        <v>34</v>
      </c>
      <c r="N563" t="s">
        <v>35</v>
      </c>
      <c r="O563" t="s">
        <v>44</v>
      </c>
      <c r="P563" t="s">
        <v>45</v>
      </c>
      <c r="Q563">
        <v>0</v>
      </c>
      <c r="R563">
        <v>0</v>
      </c>
      <c r="S563">
        <v>0</v>
      </c>
      <c r="T563" t="s">
        <v>46</v>
      </c>
      <c r="U563" t="s">
        <v>46</v>
      </c>
      <c r="V563">
        <v>0</v>
      </c>
      <c r="W563" t="s">
        <v>38</v>
      </c>
      <c r="X563">
        <v>7</v>
      </c>
      <c r="Z563">
        <v>0</v>
      </c>
      <c r="AA563" t="s">
        <v>39</v>
      </c>
      <c r="AB563">
        <v>97.02</v>
      </c>
      <c r="AC563">
        <v>0</v>
      </c>
      <c r="AD563">
        <v>2</v>
      </c>
      <c r="AE563" t="s">
        <v>40</v>
      </c>
      <c r="AF563" s="1">
        <v>42291</v>
      </c>
    </row>
    <row r="564" spans="1:32" x14ac:dyDescent="0.25">
      <c r="A564" t="s">
        <v>41</v>
      </c>
      <c r="B564">
        <v>0</v>
      </c>
      <c r="C564">
        <v>19</v>
      </c>
      <c r="D564">
        <v>2015</v>
      </c>
      <c r="E564" t="s">
        <v>59</v>
      </c>
      <c r="F564">
        <v>41</v>
      </c>
      <c r="G564">
        <v>6</v>
      </c>
      <c r="H564">
        <v>0</v>
      </c>
      <c r="I564">
        <v>3</v>
      </c>
      <c r="J564">
        <v>2</v>
      </c>
      <c r="K564">
        <v>0</v>
      </c>
      <c r="L564">
        <v>0</v>
      </c>
      <c r="M564" t="s">
        <v>34</v>
      </c>
      <c r="N564" t="s">
        <v>43</v>
      </c>
      <c r="O564" t="s">
        <v>49</v>
      </c>
      <c r="P564" t="s">
        <v>45</v>
      </c>
      <c r="Q564">
        <v>1</v>
      </c>
      <c r="R564">
        <v>0</v>
      </c>
      <c r="S564">
        <v>0</v>
      </c>
      <c r="T564" t="s">
        <v>46</v>
      </c>
      <c r="U564" t="s">
        <v>46</v>
      </c>
      <c r="V564">
        <v>0</v>
      </c>
      <c r="W564" t="s">
        <v>38</v>
      </c>
      <c r="X564">
        <v>82</v>
      </c>
      <c r="Z564">
        <v>0</v>
      </c>
      <c r="AA564" t="s">
        <v>51</v>
      </c>
      <c r="AB564">
        <v>90</v>
      </c>
      <c r="AC564">
        <v>0</v>
      </c>
      <c r="AD564">
        <v>0</v>
      </c>
      <c r="AE564" t="s">
        <v>40</v>
      </c>
      <c r="AF564" s="1">
        <v>42286</v>
      </c>
    </row>
    <row r="565" spans="1:32" x14ac:dyDescent="0.25">
      <c r="A565" t="s">
        <v>32</v>
      </c>
      <c r="B565">
        <v>0</v>
      </c>
      <c r="C565">
        <v>5</v>
      </c>
      <c r="D565">
        <v>2015</v>
      </c>
      <c r="E565" t="s">
        <v>61</v>
      </c>
      <c r="F565">
        <v>48</v>
      </c>
      <c r="G565">
        <v>22</v>
      </c>
      <c r="H565">
        <v>2</v>
      </c>
      <c r="I565">
        <v>0</v>
      </c>
      <c r="J565">
        <v>1</v>
      </c>
      <c r="K565">
        <v>0</v>
      </c>
      <c r="L565">
        <v>0</v>
      </c>
      <c r="M565" t="s">
        <v>34</v>
      </c>
      <c r="N565" t="s">
        <v>71</v>
      </c>
      <c r="O565" t="s">
        <v>44</v>
      </c>
      <c r="P565" t="s">
        <v>45</v>
      </c>
      <c r="Q565">
        <v>0</v>
      </c>
      <c r="R565">
        <v>0</v>
      </c>
      <c r="S565">
        <v>0</v>
      </c>
      <c r="T565" t="s">
        <v>46</v>
      </c>
      <c r="U565" t="s">
        <v>57</v>
      </c>
      <c r="V565">
        <v>0</v>
      </c>
      <c r="W565" t="s">
        <v>38</v>
      </c>
      <c r="X565">
        <v>240</v>
      </c>
      <c r="Z565">
        <v>0</v>
      </c>
      <c r="AA565" t="s">
        <v>39</v>
      </c>
      <c r="AB565">
        <v>40</v>
      </c>
      <c r="AC565">
        <v>0</v>
      </c>
      <c r="AD565">
        <v>1</v>
      </c>
      <c r="AE565" t="s">
        <v>40</v>
      </c>
      <c r="AF565" s="1">
        <v>42332</v>
      </c>
    </row>
    <row r="566" spans="1:32" x14ac:dyDescent="0.25">
      <c r="A566" t="s">
        <v>41</v>
      </c>
      <c r="B566">
        <v>1</v>
      </c>
      <c r="C566">
        <v>187</v>
      </c>
      <c r="D566">
        <v>2017</v>
      </c>
      <c r="E566" t="s">
        <v>67</v>
      </c>
      <c r="F566">
        <v>32</v>
      </c>
      <c r="G566">
        <v>8</v>
      </c>
      <c r="H566">
        <v>0</v>
      </c>
      <c r="I566">
        <v>2</v>
      </c>
      <c r="J566">
        <v>2</v>
      </c>
      <c r="K566">
        <v>0</v>
      </c>
      <c r="L566">
        <v>0</v>
      </c>
      <c r="M566" t="s">
        <v>60</v>
      </c>
      <c r="N566" t="s">
        <v>70</v>
      </c>
      <c r="O566" t="s">
        <v>44</v>
      </c>
      <c r="P566" t="s">
        <v>45</v>
      </c>
      <c r="Q566">
        <v>0</v>
      </c>
      <c r="R566">
        <v>0</v>
      </c>
      <c r="S566">
        <v>0</v>
      </c>
      <c r="T566" t="s">
        <v>46</v>
      </c>
      <c r="U566" t="s">
        <v>46</v>
      </c>
      <c r="V566">
        <v>0</v>
      </c>
      <c r="W566" t="s">
        <v>38</v>
      </c>
      <c r="X566">
        <v>9</v>
      </c>
      <c r="Z566">
        <v>0</v>
      </c>
      <c r="AA566" t="s">
        <v>39</v>
      </c>
      <c r="AB566">
        <v>166.5</v>
      </c>
      <c r="AC566">
        <v>0</v>
      </c>
      <c r="AD566">
        <v>0</v>
      </c>
      <c r="AE566" t="s">
        <v>47</v>
      </c>
      <c r="AF566" s="1">
        <v>42867</v>
      </c>
    </row>
    <row r="567" spans="1:32" x14ac:dyDescent="0.25">
      <c r="A567" t="s">
        <v>41</v>
      </c>
      <c r="B567">
        <v>0</v>
      </c>
      <c r="C567">
        <v>191</v>
      </c>
      <c r="D567">
        <v>2017</v>
      </c>
      <c r="E567" t="s">
        <v>54</v>
      </c>
      <c r="F567">
        <v>13</v>
      </c>
      <c r="G567">
        <v>1</v>
      </c>
      <c r="H567">
        <v>2</v>
      </c>
      <c r="I567">
        <v>3</v>
      </c>
      <c r="J567">
        <v>2</v>
      </c>
      <c r="K567">
        <v>0</v>
      </c>
      <c r="L567">
        <v>0</v>
      </c>
      <c r="M567" t="s">
        <v>34</v>
      </c>
      <c r="N567" t="s">
        <v>70</v>
      </c>
      <c r="O567" t="s">
        <v>49</v>
      </c>
      <c r="P567" t="s">
        <v>45</v>
      </c>
      <c r="Q567">
        <v>0</v>
      </c>
      <c r="R567">
        <v>0</v>
      </c>
      <c r="S567">
        <v>0</v>
      </c>
      <c r="T567" t="s">
        <v>46</v>
      </c>
      <c r="U567" t="s">
        <v>57</v>
      </c>
      <c r="V567">
        <v>0</v>
      </c>
      <c r="W567" t="s">
        <v>38</v>
      </c>
      <c r="X567">
        <v>28</v>
      </c>
      <c r="Z567">
        <v>0</v>
      </c>
      <c r="AA567" t="s">
        <v>39</v>
      </c>
      <c r="AB567">
        <v>75</v>
      </c>
      <c r="AC567">
        <v>0</v>
      </c>
      <c r="AD567">
        <v>0</v>
      </c>
      <c r="AE567" t="s">
        <v>40</v>
      </c>
      <c r="AF567" s="1">
        <v>42831</v>
      </c>
    </row>
    <row r="568" spans="1:32" x14ac:dyDescent="0.25">
      <c r="A568" t="s">
        <v>41</v>
      </c>
      <c r="B568">
        <v>0</v>
      </c>
      <c r="C568">
        <v>157</v>
      </c>
      <c r="D568">
        <v>2017</v>
      </c>
      <c r="E568" t="s">
        <v>83</v>
      </c>
      <c r="F568">
        <v>25</v>
      </c>
      <c r="G568">
        <v>20</v>
      </c>
      <c r="H568">
        <v>2</v>
      </c>
      <c r="I568">
        <v>6</v>
      </c>
      <c r="J568">
        <v>2</v>
      </c>
      <c r="K568">
        <v>0</v>
      </c>
      <c r="L568">
        <v>0</v>
      </c>
      <c r="M568" t="s">
        <v>34</v>
      </c>
      <c r="N568" t="s">
        <v>95</v>
      </c>
      <c r="O568" t="s">
        <v>44</v>
      </c>
      <c r="P568" t="s">
        <v>45</v>
      </c>
      <c r="Q568">
        <v>0</v>
      </c>
      <c r="R568">
        <v>0</v>
      </c>
      <c r="S568">
        <v>0</v>
      </c>
      <c r="T568" t="s">
        <v>57</v>
      </c>
      <c r="U568" t="s">
        <v>57</v>
      </c>
      <c r="V568">
        <v>0</v>
      </c>
      <c r="W568" t="s">
        <v>38</v>
      </c>
      <c r="X568">
        <v>9</v>
      </c>
      <c r="Z568">
        <v>0</v>
      </c>
      <c r="AA568" t="s">
        <v>39</v>
      </c>
      <c r="AB568">
        <v>127.8</v>
      </c>
      <c r="AC568">
        <v>0</v>
      </c>
      <c r="AD568">
        <v>1</v>
      </c>
      <c r="AE568" t="s">
        <v>40</v>
      </c>
      <c r="AF568" s="1">
        <v>42914</v>
      </c>
    </row>
    <row r="569" spans="1:32" x14ac:dyDescent="0.25">
      <c r="A569" t="s">
        <v>41</v>
      </c>
      <c r="B569">
        <v>0</v>
      </c>
      <c r="C569">
        <v>172</v>
      </c>
      <c r="D569">
        <v>2017</v>
      </c>
      <c r="E569" t="s">
        <v>42</v>
      </c>
      <c r="F569">
        <v>28</v>
      </c>
      <c r="G569">
        <v>10</v>
      </c>
      <c r="H569">
        <v>1</v>
      </c>
      <c r="I569">
        <v>5</v>
      </c>
      <c r="J569">
        <v>3</v>
      </c>
      <c r="K569">
        <v>0</v>
      </c>
      <c r="L569">
        <v>0</v>
      </c>
      <c r="M569" t="s">
        <v>34</v>
      </c>
      <c r="N569" t="s">
        <v>106</v>
      </c>
      <c r="O569" t="s">
        <v>44</v>
      </c>
      <c r="P569" t="s">
        <v>45</v>
      </c>
      <c r="Q569">
        <v>0</v>
      </c>
      <c r="R569">
        <v>0</v>
      </c>
      <c r="S569">
        <v>0</v>
      </c>
      <c r="T569" t="s">
        <v>57</v>
      </c>
      <c r="U569" t="s">
        <v>57</v>
      </c>
      <c r="V569">
        <v>0</v>
      </c>
      <c r="W569" t="s">
        <v>38</v>
      </c>
      <c r="X569">
        <v>9</v>
      </c>
      <c r="Z569">
        <v>0</v>
      </c>
      <c r="AA569" t="s">
        <v>39</v>
      </c>
      <c r="AB569">
        <v>152.1</v>
      </c>
      <c r="AC569">
        <v>0</v>
      </c>
      <c r="AD569">
        <v>2</v>
      </c>
      <c r="AE569" t="s">
        <v>40</v>
      </c>
      <c r="AF569" s="1">
        <v>42932</v>
      </c>
    </row>
    <row r="570" spans="1:32" x14ac:dyDescent="0.25">
      <c r="A570" t="s">
        <v>32</v>
      </c>
      <c r="B570">
        <v>0</v>
      </c>
      <c r="C570">
        <v>12</v>
      </c>
      <c r="D570">
        <v>2016</v>
      </c>
      <c r="E570" t="s">
        <v>54</v>
      </c>
      <c r="F570">
        <v>18</v>
      </c>
      <c r="G570">
        <v>27</v>
      </c>
      <c r="H570">
        <v>0</v>
      </c>
      <c r="I570">
        <v>3</v>
      </c>
      <c r="J570">
        <v>2</v>
      </c>
      <c r="K570">
        <v>0</v>
      </c>
      <c r="L570">
        <v>0</v>
      </c>
      <c r="M570" t="s">
        <v>77</v>
      </c>
      <c r="N570" t="s">
        <v>43</v>
      </c>
      <c r="O570" t="s">
        <v>64</v>
      </c>
      <c r="P570" t="s">
        <v>36</v>
      </c>
      <c r="Q570">
        <v>0</v>
      </c>
      <c r="R570">
        <v>0</v>
      </c>
      <c r="S570">
        <v>0</v>
      </c>
      <c r="T570" t="s">
        <v>46</v>
      </c>
      <c r="U570" t="s">
        <v>46</v>
      </c>
      <c r="V570">
        <v>1</v>
      </c>
      <c r="W570" t="s">
        <v>38</v>
      </c>
      <c r="X570">
        <v>385</v>
      </c>
      <c r="Z570">
        <v>0</v>
      </c>
      <c r="AA570" t="s">
        <v>51</v>
      </c>
      <c r="AB570">
        <v>85.33</v>
      </c>
      <c r="AC570">
        <v>0</v>
      </c>
      <c r="AD570">
        <v>0</v>
      </c>
      <c r="AE570" t="s">
        <v>40</v>
      </c>
      <c r="AF570" s="1">
        <v>42490</v>
      </c>
    </row>
    <row r="571" spans="1:32" x14ac:dyDescent="0.25">
      <c r="A571" t="s">
        <v>41</v>
      </c>
      <c r="B571">
        <v>1</v>
      </c>
      <c r="C571">
        <v>0</v>
      </c>
      <c r="D571">
        <v>2015</v>
      </c>
      <c r="E571" t="s">
        <v>62</v>
      </c>
      <c r="F571">
        <v>39</v>
      </c>
      <c r="G571">
        <v>26</v>
      </c>
      <c r="H571">
        <v>0</v>
      </c>
      <c r="I571">
        <v>1</v>
      </c>
      <c r="J571">
        <v>2</v>
      </c>
      <c r="K571">
        <v>0</v>
      </c>
      <c r="L571">
        <v>0</v>
      </c>
      <c r="M571" t="s">
        <v>34</v>
      </c>
      <c r="N571" t="s">
        <v>43</v>
      </c>
      <c r="O571" t="s">
        <v>36</v>
      </c>
      <c r="P571" t="s">
        <v>36</v>
      </c>
      <c r="Q571">
        <v>1</v>
      </c>
      <c r="R571">
        <v>0</v>
      </c>
      <c r="S571">
        <v>0</v>
      </c>
      <c r="T571" t="s">
        <v>46</v>
      </c>
      <c r="U571" t="s">
        <v>46</v>
      </c>
      <c r="V571">
        <v>0</v>
      </c>
      <c r="W571" t="s">
        <v>38</v>
      </c>
      <c r="Z571">
        <v>0</v>
      </c>
      <c r="AA571" t="s">
        <v>39</v>
      </c>
      <c r="AB571">
        <v>170</v>
      </c>
      <c r="AC571">
        <v>0</v>
      </c>
      <c r="AD571">
        <v>0</v>
      </c>
      <c r="AE571" t="s">
        <v>89</v>
      </c>
      <c r="AF571" s="1">
        <v>42273</v>
      </c>
    </row>
    <row r="572" spans="1:32" x14ac:dyDescent="0.25">
      <c r="A572" t="s">
        <v>32</v>
      </c>
      <c r="B572">
        <v>0</v>
      </c>
      <c r="C572">
        <v>9</v>
      </c>
      <c r="D572">
        <v>2016</v>
      </c>
      <c r="E572" t="s">
        <v>74</v>
      </c>
      <c r="F572">
        <v>4</v>
      </c>
      <c r="G572">
        <v>17</v>
      </c>
      <c r="H572">
        <v>1</v>
      </c>
      <c r="I572">
        <v>0</v>
      </c>
      <c r="J572">
        <v>2</v>
      </c>
      <c r="K572">
        <v>0</v>
      </c>
      <c r="L572">
        <v>0</v>
      </c>
      <c r="M572" t="s">
        <v>34</v>
      </c>
      <c r="N572" t="s">
        <v>35</v>
      </c>
      <c r="O572" t="s">
        <v>44</v>
      </c>
      <c r="P572" t="s">
        <v>45</v>
      </c>
      <c r="Q572">
        <v>0</v>
      </c>
      <c r="R572">
        <v>0</v>
      </c>
      <c r="S572">
        <v>0</v>
      </c>
      <c r="T572" t="s">
        <v>84</v>
      </c>
      <c r="U572" t="s">
        <v>84</v>
      </c>
      <c r="V572">
        <v>0</v>
      </c>
      <c r="W572" t="s">
        <v>38</v>
      </c>
      <c r="X572">
        <v>240</v>
      </c>
      <c r="Z572">
        <v>0</v>
      </c>
      <c r="AA572" t="s">
        <v>39</v>
      </c>
      <c r="AB572">
        <v>76</v>
      </c>
      <c r="AC572">
        <v>0</v>
      </c>
      <c r="AD572">
        <v>1</v>
      </c>
      <c r="AE572" t="s">
        <v>40</v>
      </c>
      <c r="AF572" s="1">
        <v>42387</v>
      </c>
    </row>
    <row r="573" spans="1:32" x14ac:dyDescent="0.25">
      <c r="A573" t="s">
        <v>41</v>
      </c>
      <c r="B573">
        <v>1</v>
      </c>
      <c r="C573">
        <v>288</v>
      </c>
      <c r="D573">
        <v>2016</v>
      </c>
      <c r="E573" t="s">
        <v>54</v>
      </c>
      <c r="F573">
        <v>17</v>
      </c>
      <c r="G573">
        <v>21</v>
      </c>
      <c r="H573">
        <v>0</v>
      </c>
      <c r="I573">
        <v>2</v>
      </c>
      <c r="J573">
        <v>2</v>
      </c>
      <c r="K573">
        <v>0</v>
      </c>
      <c r="L573">
        <v>0</v>
      </c>
      <c r="M573" t="s">
        <v>34</v>
      </c>
      <c r="N573" t="s">
        <v>43</v>
      </c>
      <c r="O573" t="s">
        <v>64</v>
      </c>
      <c r="P573" t="s">
        <v>45</v>
      </c>
      <c r="Q573">
        <v>0</v>
      </c>
      <c r="R573">
        <v>0</v>
      </c>
      <c r="S573">
        <v>0</v>
      </c>
      <c r="T573" t="s">
        <v>46</v>
      </c>
      <c r="U573" t="s">
        <v>46</v>
      </c>
      <c r="V573">
        <v>0</v>
      </c>
      <c r="W573" t="s">
        <v>68</v>
      </c>
      <c r="X573">
        <v>1</v>
      </c>
      <c r="Z573">
        <v>0</v>
      </c>
      <c r="AA573" t="s">
        <v>39</v>
      </c>
      <c r="AB573">
        <v>62</v>
      </c>
      <c r="AC573">
        <v>0</v>
      </c>
      <c r="AD573">
        <v>0</v>
      </c>
      <c r="AE573" t="s">
        <v>47</v>
      </c>
      <c r="AF573" s="1">
        <v>42298</v>
      </c>
    </row>
    <row r="574" spans="1:32" x14ac:dyDescent="0.25">
      <c r="A574" t="s">
        <v>41</v>
      </c>
      <c r="B574">
        <v>0</v>
      </c>
      <c r="C574">
        <v>8</v>
      </c>
      <c r="D574">
        <v>2015</v>
      </c>
      <c r="E574" t="s">
        <v>62</v>
      </c>
      <c r="F574">
        <v>40</v>
      </c>
      <c r="G574">
        <v>29</v>
      </c>
      <c r="H574">
        <v>0</v>
      </c>
      <c r="I574">
        <v>3</v>
      </c>
      <c r="J574">
        <v>1</v>
      </c>
      <c r="K574">
        <v>0</v>
      </c>
      <c r="L574">
        <v>0</v>
      </c>
      <c r="M574" t="s">
        <v>34</v>
      </c>
      <c r="N574" t="s">
        <v>43</v>
      </c>
      <c r="O574" t="s">
        <v>76</v>
      </c>
      <c r="P574" t="s">
        <v>76</v>
      </c>
      <c r="Q574">
        <v>0</v>
      </c>
      <c r="R574">
        <v>0</v>
      </c>
      <c r="S574">
        <v>0</v>
      </c>
      <c r="T574" t="s">
        <v>46</v>
      </c>
      <c r="U574" t="s">
        <v>46</v>
      </c>
      <c r="V574">
        <v>0</v>
      </c>
      <c r="W574" t="s">
        <v>38</v>
      </c>
      <c r="Y574">
        <v>40</v>
      </c>
      <c r="Z574">
        <v>0</v>
      </c>
      <c r="AA574" t="s">
        <v>39</v>
      </c>
      <c r="AB574">
        <v>65</v>
      </c>
      <c r="AC574">
        <v>0</v>
      </c>
      <c r="AD574">
        <v>0</v>
      </c>
      <c r="AE574" t="s">
        <v>40</v>
      </c>
      <c r="AF574" s="1">
        <v>42279</v>
      </c>
    </row>
    <row r="575" spans="1:32" x14ac:dyDescent="0.25">
      <c r="A575" t="s">
        <v>41</v>
      </c>
      <c r="B575">
        <v>0</v>
      </c>
      <c r="C575">
        <v>63</v>
      </c>
      <c r="D575">
        <v>2015</v>
      </c>
      <c r="E575" t="s">
        <v>62</v>
      </c>
      <c r="F575">
        <v>36</v>
      </c>
      <c r="G575">
        <v>4</v>
      </c>
      <c r="H575">
        <v>0</v>
      </c>
      <c r="I575">
        <v>2</v>
      </c>
      <c r="J575">
        <v>2</v>
      </c>
      <c r="K575">
        <v>0</v>
      </c>
      <c r="L575">
        <v>0</v>
      </c>
      <c r="M575" t="s">
        <v>60</v>
      </c>
      <c r="N575" t="s">
        <v>43</v>
      </c>
      <c r="O575" t="s">
        <v>49</v>
      </c>
      <c r="P575" t="s">
        <v>45</v>
      </c>
      <c r="Q575">
        <v>0</v>
      </c>
      <c r="R575">
        <v>0</v>
      </c>
      <c r="S575">
        <v>0</v>
      </c>
      <c r="T575" t="s">
        <v>46</v>
      </c>
      <c r="U575" t="s">
        <v>57</v>
      </c>
      <c r="V575">
        <v>0</v>
      </c>
      <c r="W575" t="s">
        <v>38</v>
      </c>
      <c r="X575">
        <v>21</v>
      </c>
      <c r="Z575">
        <v>0</v>
      </c>
      <c r="AA575" t="s">
        <v>51</v>
      </c>
      <c r="AB575">
        <v>116</v>
      </c>
      <c r="AC575">
        <v>0</v>
      </c>
      <c r="AD575">
        <v>0</v>
      </c>
      <c r="AE575" t="s">
        <v>40</v>
      </c>
      <c r="AF575" s="1">
        <v>42253</v>
      </c>
    </row>
    <row r="576" spans="1:32" x14ac:dyDescent="0.25">
      <c r="A576" t="s">
        <v>32</v>
      </c>
      <c r="B576">
        <v>1</v>
      </c>
      <c r="C576">
        <v>54</v>
      </c>
      <c r="D576">
        <v>2017</v>
      </c>
      <c r="E576" t="s">
        <v>66</v>
      </c>
      <c r="F576">
        <v>8</v>
      </c>
      <c r="G576">
        <v>25</v>
      </c>
      <c r="H576">
        <v>2</v>
      </c>
      <c r="I576">
        <v>1</v>
      </c>
      <c r="J576">
        <v>2</v>
      </c>
      <c r="K576">
        <v>0</v>
      </c>
      <c r="L576">
        <v>0</v>
      </c>
      <c r="M576" t="s">
        <v>34</v>
      </c>
      <c r="N576" t="s">
        <v>43</v>
      </c>
      <c r="O576" t="s">
        <v>44</v>
      </c>
      <c r="P576" t="s">
        <v>45</v>
      </c>
      <c r="Q576">
        <v>0</v>
      </c>
      <c r="R576">
        <v>0</v>
      </c>
      <c r="S576">
        <v>0</v>
      </c>
      <c r="T576" t="s">
        <v>46</v>
      </c>
      <c r="U576" t="s">
        <v>46</v>
      </c>
      <c r="V576">
        <v>0</v>
      </c>
      <c r="W576" t="s">
        <v>38</v>
      </c>
      <c r="X576">
        <v>240</v>
      </c>
      <c r="Z576">
        <v>0</v>
      </c>
      <c r="AA576" t="s">
        <v>39</v>
      </c>
      <c r="AB576">
        <v>48</v>
      </c>
      <c r="AC576">
        <v>0</v>
      </c>
      <c r="AD576">
        <v>1</v>
      </c>
      <c r="AE576" t="s">
        <v>47</v>
      </c>
      <c r="AF576" s="1">
        <v>42744</v>
      </c>
    </row>
    <row r="577" spans="1:32" x14ac:dyDescent="0.25">
      <c r="A577" t="s">
        <v>41</v>
      </c>
      <c r="B577">
        <v>0</v>
      </c>
      <c r="C577">
        <v>198</v>
      </c>
      <c r="D577">
        <v>2016</v>
      </c>
      <c r="E577" t="s">
        <v>69</v>
      </c>
      <c r="F577">
        <v>21</v>
      </c>
      <c r="G577">
        <v>20</v>
      </c>
      <c r="H577">
        <v>0</v>
      </c>
      <c r="I577">
        <v>1</v>
      </c>
      <c r="J577">
        <v>2</v>
      </c>
      <c r="K577">
        <v>0</v>
      </c>
      <c r="L577">
        <v>0</v>
      </c>
      <c r="M577" t="s">
        <v>34</v>
      </c>
      <c r="N577" t="s">
        <v>43</v>
      </c>
      <c r="O577" t="s">
        <v>64</v>
      </c>
      <c r="P577" t="s">
        <v>45</v>
      </c>
      <c r="Q577">
        <v>0</v>
      </c>
      <c r="R577">
        <v>0</v>
      </c>
      <c r="S577">
        <v>0</v>
      </c>
      <c r="T577" t="s">
        <v>46</v>
      </c>
      <c r="U577" t="s">
        <v>57</v>
      </c>
      <c r="V577">
        <v>0</v>
      </c>
      <c r="W577" t="s">
        <v>38</v>
      </c>
      <c r="X577">
        <v>1</v>
      </c>
      <c r="Z577">
        <v>98</v>
      </c>
      <c r="AA577" t="s">
        <v>51</v>
      </c>
      <c r="AB577">
        <v>65</v>
      </c>
      <c r="AC577">
        <v>0</v>
      </c>
      <c r="AD577">
        <v>0</v>
      </c>
      <c r="AE577" t="s">
        <v>40</v>
      </c>
      <c r="AF577" s="1">
        <v>42511</v>
      </c>
    </row>
    <row r="578" spans="1:32" x14ac:dyDescent="0.25">
      <c r="A578" t="s">
        <v>41</v>
      </c>
      <c r="B578">
        <v>1</v>
      </c>
      <c r="C578">
        <v>27</v>
      </c>
      <c r="D578">
        <v>2017</v>
      </c>
      <c r="E578" t="s">
        <v>83</v>
      </c>
      <c r="F578">
        <v>23</v>
      </c>
      <c r="G578">
        <v>6</v>
      </c>
      <c r="H578">
        <v>0</v>
      </c>
      <c r="I578">
        <v>1</v>
      </c>
      <c r="J578">
        <v>2</v>
      </c>
      <c r="K578">
        <v>0</v>
      </c>
      <c r="L578">
        <v>0</v>
      </c>
      <c r="M578" t="s">
        <v>34</v>
      </c>
      <c r="N578" t="s">
        <v>65</v>
      </c>
      <c r="O578" t="s">
        <v>44</v>
      </c>
      <c r="P578" t="s">
        <v>45</v>
      </c>
      <c r="Q578">
        <v>0</v>
      </c>
      <c r="R578">
        <v>0</v>
      </c>
      <c r="S578">
        <v>0</v>
      </c>
      <c r="T578" t="s">
        <v>57</v>
      </c>
      <c r="U578" t="s">
        <v>57</v>
      </c>
      <c r="V578">
        <v>4</v>
      </c>
      <c r="W578" t="s">
        <v>38</v>
      </c>
      <c r="X578">
        <v>9</v>
      </c>
      <c r="Z578">
        <v>0</v>
      </c>
      <c r="AA578" t="s">
        <v>39</v>
      </c>
      <c r="AB578">
        <v>190</v>
      </c>
      <c r="AC578">
        <v>0</v>
      </c>
      <c r="AD578">
        <v>2</v>
      </c>
      <c r="AE578" t="s">
        <v>47</v>
      </c>
      <c r="AF578" s="1">
        <v>42872</v>
      </c>
    </row>
    <row r="579" spans="1:32" x14ac:dyDescent="0.25">
      <c r="A579" t="s">
        <v>32</v>
      </c>
      <c r="B579">
        <v>0</v>
      </c>
      <c r="C579">
        <v>25</v>
      </c>
      <c r="D579">
        <v>2015</v>
      </c>
      <c r="E579" t="s">
        <v>61</v>
      </c>
      <c r="F579">
        <v>45</v>
      </c>
      <c r="G579">
        <v>3</v>
      </c>
      <c r="H579">
        <v>0</v>
      </c>
      <c r="I579">
        <v>4</v>
      </c>
      <c r="J579">
        <v>1</v>
      </c>
      <c r="K579">
        <v>0</v>
      </c>
      <c r="L579">
        <v>0</v>
      </c>
      <c r="M579" t="s">
        <v>34</v>
      </c>
      <c r="N579" t="s">
        <v>65</v>
      </c>
      <c r="O579" t="s">
        <v>49</v>
      </c>
      <c r="P579" t="s">
        <v>45</v>
      </c>
      <c r="Q579">
        <v>0</v>
      </c>
      <c r="R579">
        <v>0</v>
      </c>
      <c r="S579">
        <v>0</v>
      </c>
      <c r="T579" t="s">
        <v>57</v>
      </c>
      <c r="U579" t="s">
        <v>57</v>
      </c>
      <c r="V579">
        <v>0</v>
      </c>
      <c r="W579" t="s">
        <v>38</v>
      </c>
      <c r="X579">
        <v>314</v>
      </c>
      <c r="Z579">
        <v>0</v>
      </c>
      <c r="AA579" t="s">
        <v>39</v>
      </c>
      <c r="AB579">
        <v>47.6</v>
      </c>
      <c r="AC579">
        <v>0</v>
      </c>
      <c r="AD579">
        <v>0</v>
      </c>
      <c r="AE579" t="s">
        <v>40</v>
      </c>
      <c r="AF579" s="1">
        <v>42315</v>
      </c>
    </row>
    <row r="580" spans="1:32" x14ac:dyDescent="0.25">
      <c r="A580" t="s">
        <v>41</v>
      </c>
      <c r="B580">
        <v>0</v>
      </c>
      <c r="C580">
        <v>46</v>
      </c>
      <c r="D580">
        <v>2017</v>
      </c>
      <c r="E580" t="s">
        <v>52</v>
      </c>
      <c r="F580">
        <v>10</v>
      </c>
      <c r="G580">
        <v>7</v>
      </c>
      <c r="H580">
        <v>0</v>
      </c>
      <c r="I580">
        <v>3</v>
      </c>
      <c r="J580">
        <v>2</v>
      </c>
      <c r="K580">
        <v>0</v>
      </c>
      <c r="L580">
        <v>0</v>
      </c>
      <c r="M580" t="s">
        <v>34</v>
      </c>
      <c r="N580" t="s">
        <v>103</v>
      </c>
      <c r="O580" t="s">
        <v>36</v>
      </c>
      <c r="P580" t="s">
        <v>36</v>
      </c>
      <c r="Q580">
        <v>0</v>
      </c>
      <c r="R580">
        <v>0</v>
      </c>
      <c r="S580">
        <v>0</v>
      </c>
      <c r="T580" t="s">
        <v>46</v>
      </c>
      <c r="U580" t="s">
        <v>46</v>
      </c>
      <c r="V580">
        <v>1</v>
      </c>
      <c r="W580" t="s">
        <v>38</v>
      </c>
      <c r="X580">
        <v>14</v>
      </c>
      <c r="Z580">
        <v>0</v>
      </c>
      <c r="AA580" t="s">
        <v>39</v>
      </c>
      <c r="AB580">
        <v>98</v>
      </c>
      <c r="AC580">
        <v>0</v>
      </c>
      <c r="AD580">
        <v>1</v>
      </c>
      <c r="AE580" t="s">
        <v>40</v>
      </c>
      <c r="AF580" s="1">
        <v>42804</v>
      </c>
    </row>
    <row r="581" spans="1:32" x14ac:dyDescent="0.25">
      <c r="A581" t="s">
        <v>41</v>
      </c>
      <c r="B581">
        <v>1</v>
      </c>
      <c r="C581">
        <v>188</v>
      </c>
      <c r="D581">
        <v>2016</v>
      </c>
      <c r="E581" t="s">
        <v>67</v>
      </c>
      <c r="F581">
        <v>33</v>
      </c>
      <c r="G581">
        <v>13</v>
      </c>
      <c r="H581">
        <v>1</v>
      </c>
      <c r="I581">
        <v>1</v>
      </c>
      <c r="J581">
        <v>2</v>
      </c>
      <c r="K581">
        <v>0</v>
      </c>
      <c r="L581">
        <v>0</v>
      </c>
      <c r="M581" t="s">
        <v>34</v>
      </c>
      <c r="N581" t="s">
        <v>100</v>
      </c>
      <c r="O581" t="s">
        <v>44</v>
      </c>
      <c r="P581" t="s">
        <v>45</v>
      </c>
      <c r="Q581">
        <v>0</v>
      </c>
      <c r="R581">
        <v>0</v>
      </c>
      <c r="S581">
        <v>0</v>
      </c>
      <c r="T581" t="s">
        <v>46</v>
      </c>
      <c r="U581" t="s">
        <v>46</v>
      </c>
      <c r="V581">
        <v>0</v>
      </c>
      <c r="W581" t="s">
        <v>38</v>
      </c>
      <c r="X581">
        <v>9</v>
      </c>
      <c r="Z581">
        <v>0</v>
      </c>
      <c r="AA581" t="s">
        <v>39</v>
      </c>
      <c r="AB581">
        <v>105.3</v>
      </c>
      <c r="AC581">
        <v>0</v>
      </c>
      <c r="AD581">
        <v>0</v>
      </c>
      <c r="AE581" t="s">
        <v>47</v>
      </c>
      <c r="AF581" s="1">
        <v>42430</v>
      </c>
    </row>
    <row r="582" spans="1:32" x14ac:dyDescent="0.25">
      <c r="A582" t="s">
        <v>32</v>
      </c>
      <c r="B582">
        <v>0</v>
      </c>
      <c r="C582">
        <v>3</v>
      </c>
      <c r="D582">
        <v>2016</v>
      </c>
      <c r="E582" t="s">
        <v>52</v>
      </c>
      <c r="F582">
        <v>11</v>
      </c>
      <c r="G582">
        <v>12</v>
      </c>
      <c r="H582">
        <v>2</v>
      </c>
      <c r="I582">
        <v>1</v>
      </c>
      <c r="J582">
        <v>2</v>
      </c>
      <c r="K582">
        <v>0</v>
      </c>
      <c r="L582">
        <v>0</v>
      </c>
      <c r="M582" t="s">
        <v>34</v>
      </c>
      <c r="N582" t="s">
        <v>63</v>
      </c>
      <c r="O582" t="s">
        <v>49</v>
      </c>
      <c r="P582" t="s">
        <v>45</v>
      </c>
      <c r="Q582">
        <v>0</v>
      </c>
      <c r="R582">
        <v>0</v>
      </c>
      <c r="S582">
        <v>0</v>
      </c>
      <c r="T582" t="s">
        <v>104</v>
      </c>
      <c r="U582" t="s">
        <v>104</v>
      </c>
      <c r="V582">
        <v>0</v>
      </c>
      <c r="W582" t="s">
        <v>38</v>
      </c>
      <c r="X582">
        <v>8</v>
      </c>
      <c r="Z582">
        <v>0</v>
      </c>
      <c r="AA582" t="s">
        <v>39</v>
      </c>
      <c r="AB582">
        <v>8</v>
      </c>
      <c r="AC582">
        <v>0</v>
      </c>
      <c r="AD582">
        <v>0</v>
      </c>
      <c r="AE582" t="s">
        <v>40</v>
      </c>
      <c r="AF582" s="1">
        <v>42444</v>
      </c>
    </row>
    <row r="583" spans="1:32" x14ac:dyDescent="0.25">
      <c r="A583" t="s">
        <v>41</v>
      </c>
      <c r="B583">
        <v>0</v>
      </c>
      <c r="C583">
        <v>169</v>
      </c>
      <c r="D583">
        <v>2017</v>
      </c>
      <c r="E583" t="s">
        <v>42</v>
      </c>
      <c r="F583">
        <v>27</v>
      </c>
      <c r="G583">
        <v>2</v>
      </c>
      <c r="H583">
        <v>1</v>
      </c>
      <c r="I583">
        <v>0</v>
      </c>
      <c r="J583">
        <v>2</v>
      </c>
      <c r="K583">
        <v>0</v>
      </c>
      <c r="L583">
        <v>0</v>
      </c>
      <c r="M583" t="s">
        <v>34</v>
      </c>
      <c r="N583" t="s">
        <v>118</v>
      </c>
      <c r="O583" t="s">
        <v>44</v>
      </c>
      <c r="P583" t="s">
        <v>45</v>
      </c>
      <c r="Q583">
        <v>0</v>
      </c>
      <c r="R583">
        <v>0</v>
      </c>
      <c r="S583">
        <v>0</v>
      </c>
      <c r="T583" t="s">
        <v>46</v>
      </c>
      <c r="U583" t="s">
        <v>46</v>
      </c>
      <c r="V583">
        <v>0</v>
      </c>
      <c r="W583" t="s">
        <v>38</v>
      </c>
      <c r="X583">
        <v>9</v>
      </c>
      <c r="Z583">
        <v>0</v>
      </c>
      <c r="AA583" t="s">
        <v>39</v>
      </c>
      <c r="AB583">
        <v>107.1</v>
      </c>
      <c r="AC583">
        <v>0</v>
      </c>
      <c r="AD583">
        <v>0</v>
      </c>
      <c r="AE583" t="s">
        <v>40</v>
      </c>
      <c r="AF583" s="1">
        <v>42919</v>
      </c>
    </row>
    <row r="584" spans="1:32" x14ac:dyDescent="0.25">
      <c r="A584" t="s">
        <v>41</v>
      </c>
      <c r="B584">
        <v>0</v>
      </c>
      <c r="C584">
        <v>1</v>
      </c>
      <c r="D584">
        <v>2015</v>
      </c>
      <c r="E584" t="s">
        <v>62</v>
      </c>
      <c r="F584">
        <v>36</v>
      </c>
      <c r="G584">
        <v>1</v>
      </c>
      <c r="H584">
        <v>0</v>
      </c>
      <c r="I584">
        <v>3</v>
      </c>
      <c r="J584">
        <v>1</v>
      </c>
      <c r="K584">
        <v>0</v>
      </c>
      <c r="L584">
        <v>0</v>
      </c>
      <c r="M584" t="s">
        <v>34</v>
      </c>
      <c r="N584" t="s">
        <v>63</v>
      </c>
      <c r="O584" t="s">
        <v>64</v>
      </c>
      <c r="P584" t="s">
        <v>45</v>
      </c>
      <c r="Q584">
        <v>0</v>
      </c>
      <c r="R584">
        <v>0</v>
      </c>
      <c r="S584">
        <v>0</v>
      </c>
      <c r="T584" t="s">
        <v>46</v>
      </c>
      <c r="U584" t="s">
        <v>57</v>
      </c>
      <c r="V584">
        <v>0</v>
      </c>
      <c r="W584" t="s">
        <v>38</v>
      </c>
      <c r="X584">
        <v>1</v>
      </c>
      <c r="Z584">
        <v>0</v>
      </c>
      <c r="AA584" t="s">
        <v>39</v>
      </c>
      <c r="AB584">
        <v>0</v>
      </c>
      <c r="AC584">
        <v>0</v>
      </c>
      <c r="AD584">
        <v>0</v>
      </c>
      <c r="AE584" t="s">
        <v>40</v>
      </c>
      <c r="AF584" s="1">
        <v>42251</v>
      </c>
    </row>
    <row r="585" spans="1:32" x14ac:dyDescent="0.25">
      <c r="A585" t="s">
        <v>41</v>
      </c>
      <c r="B585">
        <v>1</v>
      </c>
      <c r="C585">
        <v>70</v>
      </c>
      <c r="D585">
        <v>2017</v>
      </c>
      <c r="E585" t="s">
        <v>42</v>
      </c>
      <c r="F585">
        <v>31</v>
      </c>
      <c r="G585">
        <v>31</v>
      </c>
      <c r="H585">
        <v>1</v>
      </c>
      <c r="I585">
        <v>2</v>
      </c>
      <c r="J585">
        <v>3</v>
      </c>
      <c r="K585">
        <v>0</v>
      </c>
      <c r="L585">
        <v>0</v>
      </c>
      <c r="M585" t="s">
        <v>34</v>
      </c>
      <c r="N585" t="s">
        <v>121</v>
      </c>
      <c r="O585" t="s">
        <v>44</v>
      </c>
      <c r="P585" t="s">
        <v>45</v>
      </c>
      <c r="Q585">
        <v>0</v>
      </c>
      <c r="R585">
        <v>0</v>
      </c>
      <c r="S585">
        <v>0</v>
      </c>
      <c r="T585" t="s">
        <v>72</v>
      </c>
      <c r="U585" t="s">
        <v>72</v>
      </c>
      <c r="V585">
        <v>0</v>
      </c>
      <c r="W585" t="s">
        <v>38</v>
      </c>
      <c r="X585">
        <v>9</v>
      </c>
      <c r="Z585">
        <v>0</v>
      </c>
      <c r="AA585" t="s">
        <v>39</v>
      </c>
      <c r="AB585">
        <v>230</v>
      </c>
      <c r="AC585">
        <v>0</v>
      </c>
      <c r="AD585">
        <v>1</v>
      </c>
      <c r="AE585" t="s">
        <v>47</v>
      </c>
      <c r="AF585" s="1">
        <v>42878</v>
      </c>
    </row>
    <row r="586" spans="1:32" x14ac:dyDescent="0.25">
      <c r="A586" t="s">
        <v>41</v>
      </c>
      <c r="B586">
        <v>0</v>
      </c>
      <c r="C586">
        <v>144</v>
      </c>
      <c r="D586">
        <v>2016</v>
      </c>
      <c r="E586" t="s">
        <v>42</v>
      </c>
      <c r="F586">
        <v>31</v>
      </c>
      <c r="G586">
        <v>25</v>
      </c>
      <c r="H586">
        <v>1</v>
      </c>
      <c r="I586">
        <v>5</v>
      </c>
      <c r="J586">
        <v>2</v>
      </c>
      <c r="K586">
        <v>0</v>
      </c>
      <c r="L586">
        <v>0</v>
      </c>
      <c r="M586" t="s">
        <v>34</v>
      </c>
      <c r="N586" t="s">
        <v>82</v>
      </c>
      <c r="O586" t="s">
        <v>44</v>
      </c>
      <c r="P586" t="s">
        <v>45</v>
      </c>
      <c r="Q586">
        <v>0</v>
      </c>
      <c r="R586">
        <v>0</v>
      </c>
      <c r="S586">
        <v>0</v>
      </c>
      <c r="T586" t="s">
        <v>46</v>
      </c>
      <c r="U586" t="s">
        <v>46</v>
      </c>
      <c r="V586">
        <v>0</v>
      </c>
      <c r="W586" t="s">
        <v>38</v>
      </c>
      <c r="X586">
        <v>9</v>
      </c>
      <c r="Z586">
        <v>0</v>
      </c>
      <c r="AA586" t="s">
        <v>39</v>
      </c>
      <c r="AB586">
        <v>100.87</v>
      </c>
      <c r="AC586">
        <v>0</v>
      </c>
      <c r="AD586">
        <v>1</v>
      </c>
      <c r="AE586" t="s">
        <v>40</v>
      </c>
      <c r="AF586" s="1">
        <v>42582</v>
      </c>
    </row>
    <row r="587" spans="1:32" x14ac:dyDescent="0.25">
      <c r="A587" t="s">
        <v>32</v>
      </c>
      <c r="B587">
        <v>0</v>
      </c>
      <c r="C587">
        <v>21</v>
      </c>
      <c r="D587">
        <v>2016</v>
      </c>
      <c r="E587" t="s">
        <v>74</v>
      </c>
      <c r="F587">
        <v>1</v>
      </c>
      <c r="G587">
        <v>2</v>
      </c>
      <c r="H587">
        <v>4</v>
      </c>
      <c r="I587">
        <v>10</v>
      </c>
      <c r="J587">
        <v>1</v>
      </c>
      <c r="K587">
        <v>0</v>
      </c>
      <c r="L587">
        <v>0</v>
      </c>
      <c r="M587" t="s">
        <v>34</v>
      </c>
      <c r="N587" t="s">
        <v>56</v>
      </c>
      <c r="O587" t="s">
        <v>49</v>
      </c>
      <c r="P587" t="s">
        <v>45</v>
      </c>
      <c r="Q587">
        <v>0</v>
      </c>
      <c r="R587">
        <v>0</v>
      </c>
      <c r="S587">
        <v>0</v>
      </c>
      <c r="T587" t="s">
        <v>72</v>
      </c>
      <c r="U587" t="s">
        <v>72</v>
      </c>
      <c r="V587">
        <v>0</v>
      </c>
      <c r="W587" t="s">
        <v>38</v>
      </c>
      <c r="X587">
        <v>314</v>
      </c>
      <c r="Z587">
        <v>0</v>
      </c>
      <c r="AA587" t="s">
        <v>39</v>
      </c>
      <c r="AB587">
        <v>46.07</v>
      </c>
      <c r="AC587">
        <v>0</v>
      </c>
      <c r="AD587">
        <v>0</v>
      </c>
      <c r="AE587" t="s">
        <v>40</v>
      </c>
      <c r="AF587" s="1">
        <v>42385</v>
      </c>
    </row>
    <row r="588" spans="1:32" x14ac:dyDescent="0.25">
      <c r="A588" t="s">
        <v>41</v>
      </c>
      <c r="B588">
        <v>0</v>
      </c>
      <c r="C588">
        <v>395</v>
      </c>
      <c r="D588">
        <v>2017</v>
      </c>
      <c r="E588" t="s">
        <v>69</v>
      </c>
      <c r="F588">
        <v>20</v>
      </c>
      <c r="G588">
        <v>17</v>
      </c>
      <c r="H588">
        <v>0</v>
      </c>
      <c r="I588">
        <v>3</v>
      </c>
      <c r="J588">
        <v>2</v>
      </c>
      <c r="K588">
        <v>0</v>
      </c>
      <c r="L588">
        <v>0</v>
      </c>
      <c r="M588" t="s">
        <v>34</v>
      </c>
      <c r="N588" t="s">
        <v>91</v>
      </c>
      <c r="O588" t="s">
        <v>49</v>
      </c>
      <c r="P588" t="s">
        <v>45</v>
      </c>
      <c r="Q588">
        <v>0</v>
      </c>
      <c r="R588">
        <v>0</v>
      </c>
      <c r="S588">
        <v>0</v>
      </c>
      <c r="T588" t="s">
        <v>46</v>
      </c>
      <c r="U588" t="s">
        <v>46</v>
      </c>
      <c r="V588">
        <v>0</v>
      </c>
      <c r="W588" t="s">
        <v>38</v>
      </c>
      <c r="X588">
        <v>229</v>
      </c>
      <c r="Z588">
        <v>0</v>
      </c>
      <c r="AA588" t="s">
        <v>51</v>
      </c>
      <c r="AB588">
        <v>112.67</v>
      </c>
      <c r="AC588">
        <v>0</v>
      </c>
      <c r="AD588">
        <v>1</v>
      </c>
      <c r="AE588" t="s">
        <v>40</v>
      </c>
      <c r="AF588" s="1">
        <v>42875</v>
      </c>
    </row>
    <row r="589" spans="1:32" x14ac:dyDescent="0.25">
      <c r="A589" t="s">
        <v>41</v>
      </c>
      <c r="B589">
        <v>1</v>
      </c>
      <c r="C589">
        <v>59</v>
      </c>
      <c r="D589">
        <v>2017</v>
      </c>
      <c r="E589" t="s">
        <v>69</v>
      </c>
      <c r="F589">
        <v>22</v>
      </c>
      <c r="G589">
        <v>29</v>
      </c>
      <c r="H589">
        <v>1</v>
      </c>
      <c r="I589">
        <v>0</v>
      </c>
      <c r="J589">
        <v>2</v>
      </c>
      <c r="K589">
        <v>0</v>
      </c>
      <c r="L589">
        <v>0</v>
      </c>
      <c r="M589" t="s">
        <v>34</v>
      </c>
      <c r="N589" t="s">
        <v>43</v>
      </c>
      <c r="O589" t="s">
        <v>64</v>
      </c>
      <c r="P589" t="s">
        <v>45</v>
      </c>
      <c r="Q589">
        <v>0</v>
      </c>
      <c r="R589">
        <v>0</v>
      </c>
      <c r="S589">
        <v>0</v>
      </c>
      <c r="T589" t="s">
        <v>46</v>
      </c>
      <c r="U589" t="s">
        <v>46</v>
      </c>
      <c r="V589">
        <v>0</v>
      </c>
      <c r="W589" t="s">
        <v>68</v>
      </c>
      <c r="X589">
        <v>87</v>
      </c>
      <c r="Z589">
        <v>0</v>
      </c>
      <c r="AA589" t="s">
        <v>39</v>
      </c>
      <c r="AB589">
        <v>140</v>
      </c>
      <c r="AC589">
        <v>0</v>
      </c>
      <c r="AD589">
        <v>0</v>
      </c>
      <c r="AE589" t="s">
        <v>47</v>
      </c>
      <c r="AF589" s="1">
        <v>42866</v>
      </c>
    </row>
    <row r="590" spans="1:32" x14ac:dyDescent="0.25">
      <c r="A590" t="s">
        <v>41</v>
      </c>
      <c r="B590">
        <v>0</v>
      </c>
      <c r="C590">
        <v>176</v>
      </c>
      <c r="D590">
        <v>2017</v>
      </c>
      <c r="E590" t="s">
        <v>69</v>
      </c>
      <c r="F590">
        <v>20</v>
      </c>
      <c r="G590">
        <v>15</v>
      </c>
      <c r="H590">
        <v>1</v>
      </c>
      <c r="I590">
        <v>2</v>
      </c>
      <c r="J590">
        <v>2</v>
      </c>
      <c r="K590">
        <v>0</v>
      </c>
      <c r="L590">
        <v>0</v>
      </c>
      <c r="M590" t="s">
        <v>34</v>
      </c>
      <c r="N590" t="s">
        <v>65</v>
      </c>
      <c r="O590" t="s">
        <v>36</v>
      </c>
      <c r="P590" t="s">
        <v>36</v>
      </c>
      <c r="Q590">
        <v>0</v>
      </c>
      <c r="R590">
        <v>0</v>
      </c>
      <c r="S590">
        <v>0</v>
      </c>
      <c r="T590" t="s">
        <v>46</v>
      </c>
      <c r="U590" t="s">
        <v>46</v>
      </c>
      <c r="V590">
        <v>0</v>
      </c>
      <c r="W590" t="s">
        <v>38</v>
      </c>
      <c r="X590">
        <v>14</v>
      </c>
      <c r="Z590">
        <v>0</v>
      </c>
      <c r="AA590" t="s">
        <v>39</v>
      </c>
      <c r="AB590">
        <v>107.1</v>
      </c>
      <c r="AC590">
        <v>0</v>
      </c>
      <c r="AD590">
        <v>0</v>
      </c>
      <c r="AE590" t="s">
        <v>40</v>
      </c>
      <c r="AF590" s="1">
        <v>42873</v>
      </c>
    </row>
    <row r="591" spans="1:32" x14ac:dyDescent="0.25">
      <c r="A591" t="s">
        <v>41</v>
      </c>
      <c r="B591">
        <v>0</v>
      </c>
      <c r="C591">
        <v>99</v>
      </c>
      <c r="D591">
        <v>2016</v>
      </c>
      <c r="E591" t="s">
        <v>66</v>
      </c>
      <c r="F591">
        <v>8</v>
      </c>
      <c r="G591">
        <v>19</v>
      </c>
      <c r="H591">
        <v>0</v>
      </c>
      <c r="I591">
        <v>2</v>
      </c>
      <c r="J591">
        <v>1</v>
      </c>
      <c r="K591">
        <v>0</v>
      </c>
      <c r="L591">
        <v>0</v>
      </c>
      <c r="M591" t="s">
        <v>34</v>
      </c>
      <c r="N591" t="s">
        <v>43</v>
      </c>
      <c r="O591" t="s">
        <v>76</v>
      </c>
      <c r="P591" t="s">
        <v>45</v>
      </c>
      <c r="Q591">
        <v>0</v>
      </c>
      <c r="R591">
        <v>0</v>
      </c>
      <c r="S591">
        <v>0</v>
      </c>
      <c r="T591" t="s">
        <v>46</v>
      </c>
      <c r="U591" t="s">
        <v>46</v>
      </c>
      <c r="V591">
        <v>1</v>
      </c>
      <c r="W591" t="s">
        <v>38</v>
      </c>
      <c r="Y591">
        <v>67</v>
      </c>
      <c r="Z591">
        <v>0</v>
      </c>
      <c r="AA591" t="s">
        <v>51</v>
      </c>
      <c r="AB591">
        <v>81</v>
      </c>
      <c r="AC591">
        <v>0</v>
      </c>
      <c r="AD591">
        <v>0</v>
      </c>
      <c r="AE591" t="s">
        <v>40</v>
      </c>
      <c r="AF591" s="1">
        <v>42421</v>
      </c>
    </row>
    <row r="592" spans="1:32" x14ac:dyDescent="0.25">
      <c r="A592" t="s">
        <v>41</v>
      </c>
      <c r="B592">
        <v>1</v>
      </c>
      <c r="C592">
        <v>96</v>
      </c>
      <c r="D592">
        <v>2016</v>
      </c>
      <c r="E592" t="s">
        <v>59</v>
      </c>
      <c r="F592">
        <v>44</v>
      </c>
      <c r="G592">
        <v>28</v>
      </c>
      <c r="H592">
        <v>1</v>
      </c>
      <c r="I592">
        <v>2</v>
      </c>
      <c r="J592">
        <v>2</v>
      </c>
      <c r="K592">
        <v>2</v>
      </c>
      <c r="L592">
        <v>0</v>
      </c>
      <c r="M592" t="s">
        <v>34</v>
      </c>
      <c r="N592" t="s">
        <v>35</v>
      </c>
      <c r="O592" t="s">
        <v>44</v>
      </c>
      <c r="P592" t="s">
        <v>45</v>
      </c>
      <c r="Q592">
        <v>0</v>
      </c>
      <c r="R592">
        <v>0</v>
      </c>
      <c r="S592">
        <v>0</v>
      </c>
      <c r="T592" t="s">
        <v>37</v>
      </c>
      <c r="U592" t="s">
        <v>37</v>
      </c>
      <c r="V592">
        <v>0</v>
      </c>
      <c r="W592" t="s">
        <v>38</v>
      </c>
      <c r="X592">
        <v>9</v>
      </c>
      <c r="Z592">
        <v>0</v>
      </c>
      <c r="AA592" t="s">
        <v>39</v>
      </c>
      <c r="AB592">
        <v>162.9</v>
      </c>
      <c r="AC592">
        <v>0</v>
      </c>
      <c r="AD592">
        <v>1</v>
      </c>
      <c r="AE592" t="s">
        <v>47</v>
      </c>
      <c r="AF592" s="1">
        <v>42666</v>
      </c>
    </row>
    <row r="593" spans="1:32" x14ac:dyDescent="0.25">
      <c r="A593" t="s">
        <v>41</v>
      </c>
      <c r="B593">
        <v>0</v>
      </c>
      <c r="C593">
        <v>16</v>
      </c>
      <c r="D593">
        <v>2015</v>
      </c>
      <c r="E593" t="s">
        <v>62</v>
      </c>
      <c r="F593">
        <v>39</v>
      </c>
      <c r="G593">
        <v>25</v>
      </c>
      <c r="H593">
        <v>2</v>
      </c>
      <c r="I593">
        <v>3</v>
      </c>
      <c r="J593">
        <v>1</v>
      </c>
      <c r="K593">
        <v>0</v>
      </c>
      <c r="L593">
        <v>0</v>
      </c>
      <c r="M593" t="s">
        <v>34</v>
      </c>
      <c r="N593" t="s">
        <v>43</v>
      </c>
      <c r="O593" t="s">
        <v>64</v>
      </c>
      <c r="P593" t="s">
        <v>45</v>
      </c>
      <c r="Q593">
        <v>0</v>
      </c>
      <c r="R593">
        <v>0</v>
      </c>
      <c r="S593">
        <v>0</v>
      </c>
      <c r="T593" t="s">
        <v>46</v>
      </c>
      <c r="U593" t="s">
        <v>46</v>
      </c>
      <c r="V593">
        <v>0</v>
      </c>
      <c r="W593" t="s">
        <v>38</v>
      </c>
      <c r="X593">
        <v>1</v>
      </c>
      <c r="Z593">
        <v>0</v>
      </c>
      <c r="AA593" t="s">
        <v>51</v>
      </c>
      <c r="AB593">
        <v>170</v>
      </c>
      <c r="AC593">
        <v>0</v>
      </c>
      <c r="AD593">
        <v>0</v>
      </c>
      <c r="AE593" t="s">
        <v>40</v>
      </c>
      <c r="AF593" s="1">
        <v>42277</v>
      </c>
    </row>
    <row r="594" spans="1:32" x14ac:dyDescent="0.25">
      <c r="A594" t="s">
        <v>41</v>
      </c>
      <c r="B594">
        <v>1</v>
      </c>
      <c r="C594">
        <v>93</v>
      </c>
      <c r="D594">
        <v>2017</v>
      </c>
      <c r="E594" t="s">
        <v>83</v>
      </c>
      <c r="F594">
        <v>25</v>
      </c>
      <c r="G594">
        <v>22</v>
      </c>
      <c r="H594">
        <v>2</v>
      </c>
      <c r="I594">
        <v>3</v>
      </c>
      <c r="J594">
        <v>2</v>
      </c>
      <c r="K594">
        <v>0</v>
      </c>
      <c r="L594">
        <v>0</v>
      </c>
      <c r="M594" t="s">
        <v>34</v>
      </c>
      <c r="N594" t="s">
        <v>43</v>
      </c>
      <c r="O594" t="s">
        <v>49</v>
      </c>
      <c r="P594" t="s">
        <v>45</v>
      </c>
      <c r="Q594">
        <v>0</v>
      </c>
      <c r="R594">
        <v>0</v>
      </c>
      <c r="S594">
        <v>0</v>
      </c>
      <c r="T594" t="s">
        <v>46</v>
      </c>
      <c r="U594" t="s">
        <v>46</v>
      </c>
      <c r="V594">
        <v>0</v>
      </c>
      <c r="W594" t="s">
        <v>38</v>
      </c>
      <c r="X594">
        <v>132</v>
      </c>
      <c r="Z594">
        <v>0</v>
      </c>
      <c r="AA594" t="s">
        <v>51</v>
      </c>
      <c r="AB594">
        <v>99</v>
      </c>
      <c r="AC594">
        <v>0</v>
      </c>
      <c r="AD594">
        <v>0</v>
      </c>
      <c r="AE594" t="s">
        <v>47</v>
      </c>
      <c r="AF594" s="1">
        <v>42891</v>
      </c>
    </row>
    <row r="595" spans="1:32" x14ac:dyDescent="0.25">
      <c r="A595" t="s">
        <v>41</v>
      </c>
      <c r="B595">
        <v>0</v>
      </c>
      <c r="C595">
        <v>207</v>
      </c>
      <c r="D595">
        <v>2015</v>
      </c>
      <c r="E595" t="s">
        <v>67</v>
      </c>
      <c r="F595">
        <v>34</v>
      </c>
      <c r="G595">
        <v>21</v>
      </c>
      <c r="H595">
        <v>2</v>
      </c>
      <c r="I595">
        <v>3</v>
      </c>
      <c r="J595">
        <v>2</v>
      </c>
      <c r="K595">
        <v>0</v>
      </c>
      <c r="L595">
        <v>0</v>
      </c>
      <c r="M595" t="s">
        <v>34</v>
      </c>
      <c r="N595" t="s">
        <v>63</v>
      </c>
      <c r="O595" t="s">
        <v>44</v>
      </c>
      <c r="P595" t="s">
        <v>45</v>
      </c>
      <c r="Q595">
        <v>0</v>
      </c>
      <c r="R595">
        <v>0</v>
      </c>
      <c r="S595">
        <v>0</v>
      </c>
      <c r="T595" t="s">
        <v>46</v>
      </c>
      <c r="U595" t="s">
        <v>57</v>
      </c>
      <c r="V595">
        <v>0</v>
      </c>
      <c r="W595" t="s">
        <v>38</v>
      </c>
      <c r="X595">
        <v>9</v>
      </c>
      <c r="Z595">
        <v>0</v>
      </c>
      <c r="AA595" t="s">
        <v>51</v>
      </c>
      <c r="AB595">
        <v>76.5</v>
      </c>
      <c r="AC595">
        <v>0</v>
      </c>
      <c r="AD595">
        <v>3</v>
      </c>
      <c r="AE595" t="s">
        <v>40</v>
      </c>
      <c r="AF595" s="1">
        <v>42242</v>
      </c>
    </row>
    <row r="596" spans="1:32" x14ac:dyDescent="0.25">
      <c r="A596" t="s">
        <v>41</v>
      </c>
      <c r="B596">
        <v>1</v>
      </c>
      <c r="C596">
        <v>56</v>
      </c>
      <c r="D596">
        <v>2017</v>
      </c>
      <c r="E596" t="s">
        <v>52</v>
      </c>
      <c r="F596">
        <v>12</v>
      </c>
      <c r="G596">
        <v>21</v>
      </c>
      <c r="H596">
        <v>0</v>
      </c>
      <c r="I596">
        <v>3</v>
      </c>
      <c r="J596">
        <v>2</v>
      </c>
      <c r="K596">
        <v>0</v>
      </c>
      <c r="L596">
        <v>0</v>
      </c>
      <c r="M596" t="s">
        <v>34</v>
      </c>
      <c r="N596" t="s">
        <v>43</v>
      </c>
      <c r="O596" t="s">
        <v>49</v>
      </c>
      <c r="P596" t="s">
        <v>45</v>
      </c>
      <c r="Q596">
        <v>0</v>
      </c>
      <c r="R596">
        <v>0</v>
      </c>
      <c r="S596">
        <v>0</v>
      </c>
      <c r="T596" t="s">
        <v>46</v>
      </c>
      <c r="U596" t="s">
        <v>46</v>
      </c>
      <c r="V596">
        <v>0</v>
      </c>
      <c r="W596" t="s">
        <v>68</v>
      </c>
      <c r="X596">
        <v>86</v>
      </c>
      <c r="Z596">
        <v>0</v>
      </c>
      <c r="AA596" t="s">
        <v>39</v>
      </c>
      <c r="AB596">
        <v>85</v>
      </c>
      <c r="AC596">
        <v>0</v>
      </c>
      <c r="AD596">
        <v>0</v>
      </c>
      <c r="AE596" t="s">
        <v>47</v>
      </c>
      <c r="AF596" s="1">
        <v>42759</v>
      </c>
    </row>
    <row r="597" spans="1:32" x14ac:dyDescent="0.25">
      <c r="A597" t="s">
        <v>32</v>
      </c>
      <c r="B597">
        <v>0</v>
      </c>
      <c r="C597">
        <v>244</v>
      </c>
      <c r="D597">
        <v>2017</v>
      </c>
      <c r="E597" t="s">
        <v>83</v>
      </c>
      <c r="F597">
        <v>25</v>
      </c>
      <c r="G597">
        <v>20</v>
      </c>
      <c r="H597">
        <v>4</v>
      </c>
      <c r="I597">
        <v>10</v>
      </c>
      <c r="J597">
        <v>2</v>
      </c>
      <c r="K597">
        <v>0</v>
      </c>
      <c r="L597">
        <v>0</v>
      </c>
      <c r="M597" t="s">
        <v>34</v>
      </c>
      <c r="N597" t="s">
        <v>35</v>
      </c>
      <c r="O597" t="s">
        <v>49</v>
      </c>
      <c r="P597" t="s">
        <v>45</v>
      </c>
      <c r="Q597">
        <v>0</v>
      </c>
      <c r="R597">
        <v>0</v>
      </c>
      <c r="S597">
        <v>0</v>
      </c>
      <c r="T597" t="s">
        <v>57</v>
      </c>
      <c r="U597" t="s">
        <v>57</v>
      </c>
      <c r="V597">
        <v>0</v>
      </c>
      <c r="W597" t="s">
        <v>38</v>
      </c>
      <c r="X597">
        <v>40</v>
      </c>
      <c r="Z597">
        <v>0</v>
      </c>
      <c r="AA597" t="s">
        <v>73</v>
      </c>
      <c r="AB597">
        <v>84.8</v>
      </c>
      <c r="AC597">
        <v>0</v>
      </c>
      <c r="AD597">
        <v>1</v>
      </c>
      <c r="AE597" t="s">
        <v>40</v>
      </c>
      <c r="AF597" s="1">
        <v>42920</v>
      </c>
    </row>
    <row r="598" spans="1:32" x14ac:dyDescent="0.25">
      <c r="A598" t="s">
        <v>41</v>
      </c>
      <c r="B598">
        <v>0</v>
      </c>
      <c r="C598">
        <v>50</v>
      </c>
      <c r="D598">
        <v>2016</v>
      </c>
      <c r="E598" t="s">
        <v>61</v>
      </c>
      <c r="F598">
        <v>47</v>
      </c>
      <c r="G598">
        <v>17</v>
      </c>
      <c r="H598">
        <v>0</v>
      </c>
      <c r="I598">
        <v>1</v>
      </c>
      <c r="J598">
        <v>2</v>
      </c>
      <c r="K598">
        <v>0</v>
      </c>
      <c r="L598">
        <v>0</v>
      </c>
      <c r="M598" t="s">
        <v>55</v>
      </c>
      <c r="N598" t="s">
        <v>48</v>
      </c>
      <c r="O598" t="s">
        <v>44</v>
      </c>
      <c r="P598" t="s">
        <v>45</v>
      </c>
      <c r="Q598">
        <v>0</v>
      </c>
      <c r="R598">
        <v>0</v>
      </c>
      <c r="S598">
        <v>0</v>
      </c>
      <c r="T598" t="s">
        <v>46</v>
      </c>
      <c r="U598" t="s">
        <v>46</v>
      </c>
      <c r="V598">
        <v>0</v>
      </c>
      <c r="W598" t="s">
        <v>38</v>
      </c>
      <c r="X598">
        <v>9</v>
      </c>
      <c r="Z598">
        <v>0</v>
      </c>
      <c r="AA598" t="s">
        <v>39</v>
      </c>
      <c r="AB598">
        <v>79.2</v>
      </c>
      <c r="AC598">
        <v>0</v>
      </c>
      <c r="AD598">
        <v>1</v>
      </c>
      <c r="AE598" t="s">
        <v>40</v>
      </c>
      <c r="AF598" s="1">
        <v>42692</v>
      </c>
    </row>
    <row r="599" spans="1:32" x14ac:dyDescent="0.25">
      <c r="A599" t="s">
        <v>32</v>
      </c>
      <c r="B599">
        <v>0</v>
      </c>
      <c r="C599">
        <v>251</v>
      </c>
      <c r="D599">
        <v>2017</v>
      </c>
      <c r="E599" t="s">
        <v>83</v>
      </c>
      <c r="F599">
        <v>26</v>
      </c>
      <c r="G599">
        <v>26</v>
      </c>
      <c r="H599">
        <v>1</v>
      </c>
      <c r="I599">
        <v>3</v>
      </c>
      <c r="J599">
        <v>2</v>
      </c>
      <c r="K599">
        <v>0</v>
      </c>
      <c r="L599">
        <v>0</v>
      </c>
      <c r="M599" t="s">
        <v>60</v>
      </c>
      <c r="N599" t="s">
        <v>99</v>
      </c>
      <c r="O599" t="s">
        <v>64</v>
      </c>
      <c r="P599" t="s">
        <v>45</v>
      </c>
      <c r="Q599">
        <v>0</v>
      </c>
      <c r="R599">
        <v>0</v>
      </c>
      <c r="S599">
        <v>0</v>
      </c>
      <c r="T599" t="s">
        <v>57</v>
      </c>
      <c r="U599" t="s">
        <v>37</v>
      </c>
      <c r="V599">
        <v>0</v>
      </c>
      <c r="W599" t="s">
        <v>38</v>
      </c>
      <c r="X599">
        <v>96</v>
      </c>
      <c r="Z599">
        <v>0</v>
      </c>
      <c r="AA599" t="s">
        <v>51</v>
      </c>
      <c r="AB599">
        <v>108</v>
      </c>
      <c r="AC599">
        <v>0</v>
      </c>
      <c r="AD599">
        <v>1</v>
      </c>
      <c r="AE599" t="s">
        <v>40</v>
      </c>
      <c r="AF599" s="1">
        <v>42916</v>
      </c>
    </row>
    <row r="600" spans="1:32" x14ac:dyDescent="0.25">
      <c r="A600" t="s">
        <v>41</v>
      </c>
      <c r="B600">
        <v>0</v>
      </c>
      <c r="C600">
        <v>10</v>
      </c>
      <c r="D600">
        <v>2017</v>
      </c>
      <c r="E600" t="s">
        <v>66</v>
      </c>
      <c r="F600">
        <v>6</v>
      </c>
      <c r="G600">
        <v>8</v>
      </c>
      <c r="H600">
        <v>0</v>
      </c>
      <c r="I600">
        <v>2</v>
      </c>
      <c r="J600">
        <v>2</v>
      </c>
      <c r="K600">
        <v>0</v>
      </c>
      <c r="L600">
        <v>0</v>
      </c>
      <c r="M600" t="s">
        <v>34</v>
      </c>
      <c r="N600" t="s">
        <v>35</v>
      </c>
      <c r="O600" t="s">
        <v>44</v>
      </c>
      <c r="P600" t="s">
        <v>45</v>
      </c>
      <c r="Q600">
        <v>0</v>
      </c>
      <c r="R600">
        <v>0</v>
      </c>
      <c r="S600">
        <v>0</v>
      </c>
      <c r="T600" t="s">
        <v>46</v>
      </c>
      <c r="U600" t="s">
        <v>46</v>
      </c>
      <c r="V600">
        <v>0</v>
      </c>
      <c r="W600" t="s">
        <v>38</v>
      </c>
      <c r="X600">
        <v>7</v>
      </c>
      <c r="Z600">
        <v>0</v>
      </c>
      <c r="AA600" t="s">
        <v>39</v>
      </c>
      <c r="AB600">
        <v>79</v>
      </c>
      <c r="AC600">
        <v>0</v>
      </c>
      <c r="AD600">
        <v>0</v>
      </c>
      <c r="AE600" t="s">
        <v>40</v>
      </c>
      <c r="AF600" s="1">
        <v>42776</v>
      </c>
    </row>
    <row r="601" spans="1:32" x14ac:dyDescent="0.25">
      <c r="A601" t="s">
        <v>41</v>
      </c>
      <c r="B601">
        <v>1</v>
      </c>
      <c r="C601">
        <v>125</v>
      </c>
      <c r="D601">
        <v>2017</v>
      </c>
      <c r="E601" t="s">
        <v>83</v>
      </c>
      <c r="F601">
        <v>24</v>
      </c>
      <c r="G601">
        <v>15</v>
      </c>
      <c r="H601">
        <v>2</v>
      </c>
      <c r="I601">
        <v>3</v>
      </c>
      <c r="J601">
        <v>2</v>
      </c>
      <c r="K601">
        <v>0</v>
      </c>
      <c r="L601">
        <v>0</v>
      </c>
      <c r="M601" t="s">
        <v>34</v>
      </c>
      <c r="N601" t="s">
        <v>95</v>
      </c>
      <c r="O601" t="s">
        <v>44</v>
      </c>
      <c r="P601" t="s">
        <v>45</v>
      </c>
      <c r="Q601">
        <v>0</v>
      </c>
      <c r="R601">
        <v>0</v>
      </c>
      <c r="S601">
        <v>0</v>
      </c>
      <c r="T601" t="s">
        <v>46</v>
      </c>
      <c r="U601" t="s">
        <v>46</v>
      </c>
      <c r="V601">
        <v>0</v>
      </c>
      <c r="W601" t="s">
        <v>38</v>
      </c>
      <c r="X601">
        <v>9</v>
      </c>
      <c r="Z601">
        <v>0</v>
      </c>
      <c r="AA601" t="s">
        <v>39</v>
      </c>
      <c r="AB601">
        <v>122.4</v>
      </c>
      <c r="AC601">
        <v>0</v>
      </c>
      <c r="AD601">
        <v>0</v>
      </c>
      <c r="AE601" t="s">
        <v>47</v>
      </c>
      <c r="AF601" s="1">
        <v>42781</v>
      </c>
    </row>
    <row r="602" spans="1:32" x14ac:dyDescent="0.25">
      <c r="A602" t="s">
        <v>32</v>
      </c>
      <c r="B602">
        <v>1</v>
      </c>
      <c r="C602">
        <v>468</v>
      </c>
      <c r="D602">
        <v>2016</v>
      </c>
      <c r="E602" t="s">
        <v>69</v>
      </c>
      <c r="F602">
        <v>20</v>
      </c>
      <c r="G602">
        <v>12</v>
      </c>
      <c r="H602">
        <v>0</v>
      </c>
      <c r="I602">
        <v>2</v>
      </c>
      <c r="J602">
        <v>2</v>
      </c>
      <c r="K602">
        <v>0</v>
      </c>
      <c r="L602">
        <v>0</v>
      </c>
      <c r="M602" t="s">
        <v>60</v>
      </c>
      <c r="N602" t="s">
        <v>43</v>
      </c>
      <c r="O602" t="s">
        <v>64</v>
      </c>
      <c r="P602" t="s">
        <v>45</v>
      </c>
      <c r="Q602">
        <v>0</v>
      </c>
      <c r="R602">
        <v>0</v>
      </c>
      <c r="S602">
        <v>0</v>
      </c>
      <c r="T602" t="s">
        <v>46</v>
      </c>
      <c r="U602" t="s">
        <v>46</v>
      </c>
      <c r="V602">
        <v>0</v>
      </c>
      <c r="W602" t="s">
        <v>38</v>
      </c>
      <c r="X602">
        <v>249</v>
      </c>
      <c r="Z602">
        <v>0</v>
      </c>
      <c r="AA602" t="s">
        <v>51</v>
      </c>
      <c r="AB602">
        <v>67</v>
      </c>
      <c r="AC602">
        <v>0</v>
      </c>
      <c r="AD602">
        <v>0</v>
      </c>
      <c r="AE602" t="s">
        <v>47</v>
      </c>
      <c r="AF602" s="1">
        <v>42433</v>
      </c>
    </row>
    <row r="603" spans="1:32" x14ac:dyDescent="0.25">
      <c r="A603" t="s">
        <v>41</v>
      </c>
      <c r="B603">
        <v>0</v>
      </c>
      <c r="C603">
        <v>14</v>
      </c>
      <c r="D603">
        <v>2015</v>
      </c>
      <c r="E603" t="s">
        <v>62</v>
      </c>
      <c r="F603">
        <v>36</v>
      </c>
      <c r="G603">
        <v>1</v>
      </c>
      <c r="H603">
        <v>0</v>
      </c>
      <c r="I603">
        <v>1</v>
      </c>
      <c r="J603">
        <v>2</v>
      </c>
      <c r="K603">
        <v>0</v>
      </c>
      <c r="L603">
        <v>0</v>
      </c>
      <c r="M603" t="s">
        <v>34</v>
      </c>
      <c r="N603" t="s">
        <v>43</v>
      </c>
      <c r="O603" t="s">
        <v>44</v>
      </c>
      <c r="P603" t="s">
        <v>45</v>
      </c>
      <c r="Q603">
        <v>0</v>
      </c>
      <c r="R603">
        <v>0</v>
      </c>
      <c r="S603">
        <v>0</v>
      </c>
      <c r="T603" t="s">
        <v>46</v>
      </c>
      <c r="U603" t="s">
        <v>57</v>
      </c>
      <c r="V603">
        <v>0</v>
      </c>
      <c r="W603" t="s">
        <v>38</v>
      </c>
      <c r="X603">
        <v>9</v>
      </c>
      <c r="Z603">
        <v>0</v>
      </c>
      <c r="AA603" t="s">
        <v>73</v>
      </c>
      <c r="AB603">
        <v>105</v>
      </c>
      <c r="AC603">
        <v>0</v>
      </c>
      <c r="AD603">
        <v>2</v>
      </c>
      <c r="AE603" t="s">
        <v>40</v>
      </c>
      <c r="AF603" s="1">
        <v>42249</v>
      </c>
    </row>
    <row r="604" spans="1:32" x14ac:dyDescent="0.25">
      <c r="A604" t="s">
        <v>32</v>
      </c>
      <c r="B604">
        <v>0</v>
      </c>
      <c r="C604">
        <v>112</v>
      </c>
      <c r="D604">
        <v>2017</v>
      </c>
      <c r="E604" t="s">
        <v>52</v>
      </c>
      <c r="F604">
        <v>11</v>
      </c>
      <c r="G604">
        <v>15</v>
      </c>
      <c r="H604">
        <v>0</v>
      </c>
      <c r="I604">
        <v>3</v>
      </c>
      <c r="J604">
        <v>1</v>
      </c>
      <c r="K604">
        <v>0</v>
      </c>
      <c r="L604">
        <v>0</v>
      </c>
      <c r="M604" t="s">
        <v>34</v>
      </c>
      <c r="N604" t="s">
        <v>48</v>
      </c>
      <c r="O604" t="s">
        <v>76</v>
      </c>
      <c r="P604" t="s">
        <v>76</v>
      </c>
      <c r="Q604">
        <v>0</v>
      </c>
      <c r="R604">
        <v>0</v>
      </c>
      <c r="S604">
        <v>0</v>
      </c>
      <c r="T604" t="s">
        <v>46</v>
      </c>
      <c r="U604" t="s">
        <v>46</v>
      </c>
      <c r="V604">
        <v>0</v>
      </c>
      <c r="W604" t="s">
        <v>38</v>
      </c>
      <c r="Y604">
        <v>477</v>
      </c>
      <c r="Z604">
        <v>0</v>
      </c>
      <c r="AA604" t="s">
        <v>51</v>
      </c>
      <c r="AB604">
        <v>40</v>
      </c>
      <c r="AC604">
        <v>0</v>
      </c>
      <c r="AD604">
        <v>0</v>
      </c>
      <c r="AE604" t="s">
        <v>40</v>
      </c>
      <c r="AF604" s="1">
        <v>42812</v>
      </c>
    </row>
    <row r="605" spans="1:32" x14ac:dyDescent="0.25">
      <c r="A605" t="s">
        <v>41</v>
      </c>
      <c r="B605">
        <v>1</v>
      </c>
      <c r="C605">
        <v>245</v>
      </c>
      <c r="D605">
        <v>2016</v>
      </c>
      <c r="E605" t="s">
        <v>83</v>
      </c>
      <c r="F605">
        <v>25</v>
      </c>
      <c r="G605">
        <v>17</v>
      </c>
      <c r="H605">
        <v>0</v>
      </c>
      <c r="I605">
        <v>2</v>
      </c>
      <c r="J605">
        <v>2</v>
      </c>
      <c r="K605">
        <v>0</v>
      </c>
      <c r="L605">
        <v>0</v>
      </c>
      <c r="M605" t="s">
        <v>34</v>
      </c>
      <c r="N605" t="s">
        <v>43</v>
      </c>
      <c r="O605" t="s">
        <v>49</v>
      </c>
      <c r="P605" t="s">
        <v>45</v>
      </c>
      <c r="Q605">
        <v>0</v>
      </c>
      <c r="R605">
        <v>0</v>
      </c>
      <c r="S605">
        <v>0</v>
      </c>
      <c r="T605" t="s">
        <v>46</v>
      </c>
      <c r="U605" t="s">
        <v>46</v>
      </c>
      <c r="V605">
        <v>0</v>
      </c>
      <c r="W605" t="s">
        <v>68</v>
      </c>
      <c r="X605">
        <v>12</v>
      </c>
      <c r="Z605">
        <v>0</v>
      </c>
      <c r="AA605" t="s">
        <v>39</v>
      </c>
      <c r="AB605">
        <v>75</v>
      </c>
      <c r="AC605">
        <v>0</v>
      </c>
      <c r="AD605">
        <v>0</v>
      </c>
      <c r="AE605" t="s">
        <v>47</v>
      </c>
      <c r="AF605" s="1">
        <v>42409</v>
      </c>
    </row>
    <row r="606" spans="1:32" x14ac:dyDescent="0.25">
      <c r="A606" t="s">
        <v>41</v>
      </c>
      <c r="B606">
        <v>1</v>
      </c>
      <c r="C606">
        <v>82</v>
      </c>
      <c r="D606">
        <v>2017</v>
      </c>
      <c r="E606" t="s">
        <v>69</v>
      </c>
      <c r="F606">
        <v>18</v>
      </c>
      <c r="G606">
        <v>3</v>
      </c>
      <c r="H606">
        <v>0</v>
      </c>
      <c r="I606">
        <v>3</v>
      </c>
      <c r="J606">
        <v>2</v>
      </c>
      <c r="K606">
        <v>0</v>
      </c>
      <c r="L606">
        <v>0</v>
      </c>
      <c r="M606" t="s">
        <v>55</v>
      </c>
      <c r="N606" t="s">
        <v>71</v>
      </c>
      <c r="O606" t="s">
        <v>44</v>
      </c>
      <c r="P606" t="s">
        <v>45</v>
      </c>
      <c r="Q606">
        <v>0</v>
      </c>
      <c r="R606">
        <v>0</v>
      </c>
      <c r="S606">
        <v>0</v>
      </c>
      <c r="T606" t="s">
        <v>46</v>
      </c>
      <c r="U606" t="s">
        <v>46</v>
      </c>
      <c r="V606">
        <v>0</v>
      </c>
      <c r="W606" t="s">
        <v>38</v>
      </c>
      <c r="X606">
        <v>9</v>
      </c>
      <c r="Z606">
        <v>0</v>
      </c>
      <c r="AA606" t="s">
        <v>39</v>
      </c>
      <c r="AB606">
        <v>108</v>
      </c>
      <c r="AC606">
        <v>0</v>
      </c>
      <c r="AD606">
        <v>0</v>
      </c>
      <c r="AE606" t="s">
        <v>47</v>
      </c>
      <c r="AF606" s="1">
        <v>42844</v>
      </c>
    </row>
    <row r="607" spans="1:32" x14ac:dyDescent="0.25">
      <c r="A607" t="s">
        <v>41</v>
      </c>
      <c r="B607">
        <v>0</v>
      </c>
      <c r="C607">
        <v>40</v>
      </c>
      <c r="D607">
        <v>2015</v>
      </c>
      <c r="E607" t="s">
        <v>33</v>
      </c>
      <c r="F607">
        <v>52</v>
      </c>
      <c r="G607">
        <v>26</v>
      </c>
      <c r="H607">
        <v>2</v>
      </c>
      <c r="I607">
        <v>3</v>
      </c>
      <c r="J607">
        <v>2</v>
      </c>
      <c r="K607">
        <v>0</v>
      </c>
      <c r="L607">
        <v>0</v>
      </c>
      <c r="M607" t="s">
        <v>34</v>
      </c>
      <c r="N607" t="s">
        <v>70</v>
      </c>
      <c r="O607" t="s">
        <v>44</v>
      </c>
      <c r="P607" t="s">
        <v>45</v>
      </c>
      <c r="Q607">
        <v>0</v>
      </c>
      <c r="R607">
        <v>0</v>
      </c>
      <c r="S607">
        <v>0</v>
      </c>
      <c r="T607" t="s">
        <v>46</v>
      </c>
      <c r="U607" t="s">
        <v>46</v>
      </c>
      <c r="V607">
        <v>0</v>
      </c>
      <c r="W607" t="s">
        <v>38</v>
      </c>
      <c r="X607">
        <v>11</v>
      </c>
      <c r="Z607">
        <v>0</v>
      </c>
      <c r="AA607" t="s">
        <v>39</v>
      </c>
      <c r="AB607">
        <v>64.150000000000006</v>
      </c>
      <c r="AC607">
        <v>0</v>
      </c>
      <c r="AD607">
        <v>0</v>
      </c>
      <c r="AE607" t="s">
        <v>40</v>
      </c>
      <c r="AF607" s="1">
        <v>42369</v>
      </c>
    </row>
    <row r="608" spans="1:32" x14ac:dyDescent="0.25">
      <c r="A608" t="s">
        <v>41</v>
      </c>
      <c r="B608">
        <v>0</v>
      </c>
      <c r="C608">
        <v>40</v>
      </c>
      <c r="D608">
        <v>2017</v>
      </c>
      <c r="E608" t="s">
        <v>42</v>
      </c>
      <c r="F608">
        <v>31</v>
      </c>
      <c r="G608">
        <v>31</v>
      </c>
      <c r="H608">
        <v>1</v>
      </c>
      <c r="I608">
        <v>0</v>
      </c>
      <c r="J608">
        <v>2</v>
      </c>
      <c r="K608">
        <v>0</v>
      </c>
      <c r="L608">
        <v>0</v>
      </c>
      <c r="M608" t="s">
        <v>55</v>
      </c>
      <c r="N608" t="s">
        <v>103</v>
      </c>
      <c r="O608" t="s">
        <v>44</v>
      </c>
      <c r="P608" t="s">
        <v>45</v>
      </c>
      <c r="Q608">
        <v>0</v>
      </c>
      <c r="R608">
        <v>0</v>
      </c>
      <c r="S608">
        <v>0</v>
      </c>
      <c r="T608" t="s">
        <v>46</v>
      </c>
      <c r="U608" t="s">
        <v>46</v>
      </c>
      <c r="V608">
        <v>0</v>
      </c>
      <c r="W608" t="s">
        <v>38</v>
      </c>
      <c r="X608">
        <v>9</v>
      </c>
      <c r="Z608">
        <v>0</v>
      </c>
      <c r="AA608" t="s">
        <v>39</v>
      </c>
      <c r="AB608">
        <v>140</v>
      </c>
      <c r="AC608">
        <v>0</v>
      </c>
      <c r="AD608">
        <v>1</v>
      </c>
      <c r="AE608" t="s">
        <v>40</v>
      </c>
      <c r="AF608" s="1">
        <v>42948</v>
      </c>
    </row>
    <row r="609" spans="1:32" x14ac:dyDescent="0.25">
      <c r="A609" t="s">
        <v>32</v>
      </c>
      <c r="B609">
        <v>0</v>
      </c>
      <c r="C609">
        <v>542</v>
      </c>
      <c r="D609">
        <v>2016</v>
      </c>
      <c r="E609" t="s">
        <v>62</v>
      </c>
      <c r="F609">
        <v>40</v>
      </c>
      <c r="G609">
        <v>26</v>
      </c>
      <c r="H609">
        <v>2</v>
      </c>
      <c r="I609">
        <v>5</v>
      </c>
      <c r="J609">
        <v>2</v>
      </c>
      <c r="K609">
        <v>0</v>
      </c>
      <c r="L609">
        <v>0</v>
      </c>
      <c r="M609" t="s">
        <v>60</v>
      </c>
      <c r="N609" t="s">
        <v>35</v>
      </c>
      <c r="O609" t="s">
        <v>64</v>
      </c>
      <c r="P609" t="s">
        <v>45</v>
      </c>
      <c r="Q609">
        <v>0</v>
      </c>
      <c r="R609">
        <v>0</v>
      </c>
      <c r="S609">
        <v>0</v>
      </c>
      <c r="T609" t="s">
        <v>46</v>
      </c>
      <c r="U609" t="s">
        <v>46</v>
      </c>
      <c r="V609">
        <v>1</v>
      </c>
      <c r="W609" t="s">
        <v>38</v>
      </c>
      <c r="X609">
        <v>253</v>
      </c>
      <c r="Z609">
        <v>0</v>
      </c>
      <c r="AA609" t="s">
        <v>51</v>
      </c>
      <c r="AB609">
        <v>68</v>
      </c>
      <c r="AC609">
        <v>0</v>
      </c>
      <c r="AD609">
        <v>0</v>
      </c>
      <c r="AE609" t="s">
        <v>40</v>
      </c>
      <c r="AF609" s="1">
        <v>42646</v>
      </c>
    </row>
    <row r="610" spans="1:32" x14ac:dyDescent="0.25">
      <c r="A610" t="s">
        <v>41</v>
      </c>
      <c r="B610">
        <v>0</v>
      </c>
      <c r="C610">
        <v>15</v>
      </c>
      <c r="D610">
        <v>2017</v>
      </c>
      <c r="E610" t="s">
        <v>52</v>
      </c>
      <c r="F610">
        <v>10</v>
      </c>
      <c r="G610">
        <v>8</v>
      </c>
      <c r="H610">
        <v>0</v>
      </c>
      <c r="I610">
        <v>3</v>
      </c>
      <c r="J610">
        <v>1</v>
      </c>
      <c r="K610">
        <v>0</v>
      </c>
      <c r="L610">
        <v>0</v>
      </c>
      <c r="M610" t="s">
        <v>34</v>
      </c>
      <c r="N610" t="s">
        <v>106</v>
      </c>
      <c r="O610" t="s">
        <v>44</v>
      </c>
      <c r="P610" t="s">
        <v>45</v>
      </c>
      <c r="Q610">
        <v>0</v>
      </c>
      <c r="R610">
        <v>0</v>
      </c>
      <c r="S610">
        <v>0</v>
      </c>
      <c r="T610" t="s">
        <v>57</v>
      </c>
      <c r="U610" t="s">
        <v>57</v>
      </c>
      <c r="V610">
        <v>0</v>
      </c>
      <c r="W610" t="s">
        <v>38</v>
      </c>
      <c r="X610">
        <v>9</v>
      </c>
      <c r="Z610">
        <v>0</v>
      </c>
      <c r="AA610" t="s">
        <v>39</v>
      </c>
      <c r="AB610">
        <v>121.33</v>
      </c>
      <c r="AC610">
        <v>0</v>
      </c>
      <c r="AD610">
        <v>1</v>
      </c>
      <c r="AE610" t="s">
        <v>40</v>
      </c>
      <c r="AF610" s="1">
        <v>42805</v>
      </c>
    </row>
    <row r="611" spans="1:32" x14ac:dyDescent="0.25">
      <c r="A611" t="s">
        <v>41</v>
      </c>
      <c r="B611">
        <v>0</v>
      </c>
      <c r="C611">
        <v>21</v>
      </c>
      <c r="D611">
        <v>2017</v>
      </c>
      <c r="E611" t="s">
        <v>67</v>
      </c>
      <c r="F611">
        <v>31</v>
      </c>
      <c r="G611">
        <v>1</v>
      </c>
      <c r="H611">
        <v>0</v>
      </c>
      <c r="I611">
        <v>4</v>
      </c>
      <c r="J611">
        <v>2</v>
      </c>
      <c r="K611">
        <v>0</v>
      </c>
      <c r="L611">
        <v>0</v>
      </c>
      <c r="M611" t="s">
        <v>34</v>
      </c>
      <c r="N611" t="s">
        <v>99</v>
      </c>
      <c r="O611" t="s">
        <v>44</v>
      </c>
      <c r="P611" t="s">
        <v>45</v>
      </c>
      <c r="Q611">
        <v>0</v>
      </c>
      <c r="R611">
        <v>0</v>
      </c>
      <c r="S611">
        <v>0</v>
      </c>
      <c r="T611" t="s">
        <v>57</v>
      </c>
      <c r="U611" t="s">
        <v>57</v>
      </c>
      <c r="V611">
        <v>0</v>
      </c>
      <c r="W611" t="s">
        <v>38</v>
      </c>
      <c r="X611">
        <v>9</v>
      </c>
      <c r="Z611">
        <v>0</v>
      </c>
      <c r="AA611" t="s">
        <v>39</v>
      </c>
      <c r="AB611">
        <v>159</v>
      </c>
      <c r="AC611">
        <v>0</v>
      </c>
      <c r="AD611">
        <v>1</v>
      </c>
      <c r="AE611" t="s">
        <v>40</v>
      </c>
      <c r="AF611" s="1">
        <v>42952</v>
      </c>
    </row>
    <row r="612" spans="1:32" x14ac:dyDescent="0.25">
      <c r="A612" t="s">
        <v>32</v>
      </c>
      <c r="B612">
        <v>1</v>
      </c>
      <c r="C612">
        <v>385</v>
      </c>
      <c r="D612">
        <v>2016</v>
      </c>
      <c r="E612" t="s">
        <v>62</v>
      </c>
      <c r="F612">
        <v>39</v>
      </c>
      <c r="G612">
        <v>21</v>
      </c>
      <c r="H612">
        <v>0</v>
      </c>
      <c r="I612">
        <v>4</v>
      </c>
      <c r="J612">
        <v>2</v>
      </c>
      <c r="K612">
        <v>0</v>
      </c>
      <c r="L612">
        <v>0</v>
      </c>
      <c r="M612" t="s">
        <v>34</v>
      </c>
      <c r="N612" t="s">
        <v>43</v>
      </c>
      <c r="O612" t="s">
        <v>64</v>
      </c>
      <c r="P612" t="s">
        <v>36</v>
      </c>
      <c r="Q612">
        <v>0</v>
      </c>
      <c r="R612">
        <v>0</v>
      </c>
      <c r="S612">
        <v>0</v>
      </c>
      <c r="T612" t="s">
        <v>46</v>
      </c>
      <c r="U612" t="s">
        <v>46</v>
      </c>
      <c r="V612">
        <v>0</v>
      </c>
      <c r="W612" t="s">
        <v>68</v>
      </c>
      <c r="Z612">
        <v>0</v>
      </c>
      <c r="AA612" t="s">
        <v>39</v>
      </c>
      <c r="AB612">
        <v>66</v>
      </c>
      <c r="AC612">
        <v>0</v>
      </c>
      <c r="AD612">
        <v>0</v>
      </c>
      <c r="AE612" t="s">
        <v>47</v>
      </c>
      <c r="AF612" s="1">
        <v>42291</v>
      </c>
    </row>
    <row r="613" spans="1:32" x14ac:dyDescent="0.25">
      <c r="A613" t="s">
        <v>41</v>
      </c>
      <c r="B613">
        <v>0</v>
      </c>
      <c r="C613">
        <v>51</v>
      </c>
      <c r="D613">
        <v>2017</v>
      </c>
      <c r="E613" t="s">
        <v>52</v>
      </c>
      <c r="F613">
        <v>10</v>
      </c>
      <c r="G613">
        <v>8</v>
      </c>
      <c r="H613">
        <v>0</v>
      </c>
      <c r="I613">
        <v>0</v>
      </c>
      <c r="J613">
        <v>0</v>
      </c>
      <c r="K613">
        <v>0</v>
      </c>
      <c r="L613">
        <v>0</v>
      </c>
      <c r="M613" t="s">
        <v>34</v>
      </c>
      <c r="N613" t="s">
        <v>43</v>
      </c>
      <c r="O613" t="s">
        <v>49</v>
      </c>
      <c r="P613" t="s">
        <v>45</v>
      </c>
      <c r="Q613">
        <v>0</v>
      </c>
      <c r="R613">
        <v>0</v>
      </c>
      <c r="S613">
        <v>0</v>
      </c>
      <c r="T613" t="s">
        <v>46</v>
      </c>
      <c r="U613" t="s">
        <v>57</v>
      </c>
      <c r="V613">
        <v>1</v>
      </c>
      <c r="W613" t="s">
        <v>38</v>
      </c>
      <c r="X613">
        <v>28</v>
      </c>
      <c r="Z613">
        <v>0</v>
      </c>
      <c r="AA613" t="s">
        <v>39</v>
      </c>
      <c r="AB613">
        <v>0</v>
      </c>
      <c r="AC613">
        <v>0</v>
      </c>
      <c r="AD613">
        <v>0</v>
      </c>
      <c r="AE613" t="s">
        <v>40</v>
      </c>
      <c r="AF613" s="1">
        <v>42802</v>
      </c>
    </row>
    <row r="614" spans="1:32" x14ac:dyDescent="0.25">
      <c r="A614" t="s">
        <v>41</v>
      </c>
      <c r="B614">
        <v>1</v>
      </c>
      <c r="C614">
        <v>146</v>
      </c>
      <c r="D614">
        <v>2016</v>
      </c>
      <c r="E614" t="s">
        <v>54</v>
      </c>
      <c r="F614">
        <v>18</v>
      </c>
      <c r="G614">
        <v>24</v>
      </c>
      <c r="H614">
        <v>2</v>
      </c>
      <c r="I614">
        <v>0</v>
      </c>
      <c r="J614">
        <v>2</v>
      </c>
      <c r="K614">
        <v>0</v>
      </c>
      <c r="L614">
        <v>0</v>
      </c>
      <c r="M614" t="s">
        <v>34</v>
      </c>
      <c r="N614" t="s">
        <v>43</v>
      </c>
      <c r="O614" t="s">
        <v>49</v>
      </c>
      <c r="P614" t="s">
        <v>45</v>
      </c>
      <c r="Q614">
        <v>0</v>
      </c>
      <c r="R614">
        <v>0</v>
      </c>
      <c r="S614">
        <v>0</v>
      </c>
      <c r="T614" t="s">
        <v>46</v>
      </c>
      <c r="U614" t="s">
        <v>46</v>
      </c>
      <c r="V614">
        <v>0</v>
      </c>
      <c r="W614" t="s">
        <v>68</v>
      </c>
      <c r="X614">
        <v>26</v>
      </c>
      <c r="Z614">
        <v>50</v>
      </c>
      <c r="AA614" t="s">
        <v>39</v>
      </c>
      <c r="AB614">
        <v>95</v>
      </c>
      <c r="AC614">
        <v>0</v>
      </c>
      <c r="AD614">
        <v>0</v>
      </c>
      <c r="AE614" t="s">
        <v>47</v>
      </c>
      <c r="AF614" s="1">
        <v>42388</v>
      </c>
    </row>
    <row r="615" spans="1:32" x14ac:dyDescent="0.25">
      <c r="A615" t="s">
        <v>41</v>
      </c>
      <c r="B615">
        <v>0</v>
      </c>
      <c r="C615">
        <v>2</v>
      </c>
      <c r="D615">
        <v>2017</v>
      </c>
      <c r="E615" t="s">
        <v>74</v>
      </c>
      <c r="F615">
        <v>3</v>
      </c>
      <c r="G615">
        <v>21</v>
      </c>
      <c r="H615">
        <v>2</v>
      </c>
      <c r="I615">
        <v>1</v>
      </c>
      <c r="J615">
        <v>1</v>
      </c>
      <c r="K615">
        <v>0</v>
      </c>
      <c r="L615">
        <v>0</v>
      </c>
      <c r="M615" t="s">
        <v>55</v>
      </c>
      <c r="N615" t="s">
        <v>35</v>
      </c>
      <c r="O615" t="s">
        <v>44</v>
      </c>
      <c r="P615" t="s">
        <v>45</v>
      </c>
      <c r="Q615">
        <v>0</v>
      </c>
      <c r="R615">
        <v>0</v>
      </c>
      <c r="S615">
        <v>0</v>
      </c>
      <c r="T615" t="s">
        <v>46</v>
      </c>
      <c r="U615" t="s">
        <v>46</v>
      </c>
      <c r="V615">
        <v>0</v>
      </c>
      <c r="W615" t="s">
        <v>38</v>
      </c>
      <c r="X615">
        <v>7</v>
      </c>
      <c r="Z615">
        <v>0</v>
      </c>
      <c r="AA615" t="s">
        <v>39</v>
      </c>
      <c r="AB615">
        <v>48.05</v>
      </c>
      <c r="AC615">
        <v>0</v>
      </c>
      <c r="AD615">
        <v>1</v>
      </c>
      <c r="AE615" t="s">
        <v>40</v>
      </c>
      <c r="AF615" s="1">
        <v>42759</v>
      </c>
    </row>
    <row r="616" spans="1:32" x14ac:dyDescent="0.25">
      <c r="A616" t="s">
        <v>32</v>
      </c>
      <c r="B616">
        <v>0</v>
      </c>
      <c r="C616">
        <v>19</v>
      </c>
      <c r="D616">
        <v>2016</v>
      </c>
      <c r="E616" t="s">
        <v>42</v>
      </c>
      <c r="F616">
        <v>30</v>
      </c>
      <c r="G616">
        <v>21</v>
      </c>
      <c r="H616">
        <v>0</v>
      </c>
      <c r="I616">
        <v>3</v>
      </c>
      <c r="J616">
        <v>2</v>
      </c>
      <c r="K616">
        <v>0</v>
      </c>
      <c r="L616">
        <v>0</v>
      </c>
      <c r="M616" t="s">
        <v>34</v>
      </c>
      <c r="N616" t="s">
        <v>63</v>
      </c>
      <c r="O616" t="s">
        <v>44</v>
      </c>
      <c r="P616" t="s">
        <v>45</v>
      </c>
      <c r="Q616">
        <v>0</v>
      </c>
      <c r="R616">
        <v>0</v>
      </c>
      <c r="S616">
        <v>0</v>
      </c>
      <c r="T616" t="s">
        <v>46</v>
      </c>
      <c r="U616" t="s">
        <v>46</v>
      </c>
      <c r="V616">
        <v>0</v>
      </c>
      <c r="W616" t="s">
        <v>38</v>
      </c>
      <c r="X616">
        <v>240</v>
      </c>
      <c r="Z616">
        <v>0</v>
      </c>
      <c r="AA616" t="s">
        <v>39</v>
      </c>
      <c r="AB616">
        <v>194.33</v>
      </c>
      <c r="AC616">
        <v>1</v>
      </c>
      <c r="AD616">
        <v>1</v>
      </c>
      <c r="AE616" t="s">
        <v>40</v>
      </c>
      <c r="AF616" s="1">
        <v>42575</v>
      </c>
    </row>
    <row r="617" spans="1:32" x14ac:dyDescent="0.25">
      <c r="A617" t="s">
        <v>41</v>
      </c>
      <c r="B617">
        <v>0</v>
      </c>
      <c r="C617">
        <v>4</v>
      </c>
      <c r="D617">
        <v>2017</v>
      </c>
      <c r="E617" t="s">
        <v>52</v>
      </c>
      <c r="F617">
        <v>12</v>
      </c>
      <c r="G617">
        <v>22</v>
      </c>
      <c r="H617">
        <v>0</v>
      </c>
      <c r="I617">
        <v>1</v>
      </c>
      <c r="J617">
        <v>1</v>
      </c>
      <c r="K617">
        <v>0</v>
      </c>
      <c r="L617">
        <v>0</v>
      </c>
      <c r="M617" t="s">
        <v>34</v>
      </c>
      <c r="N617" t="s">
        <v>35</v>
      </c>
      <c r="O617" t="s">
        <v>36</v>
      </c>
      <c r="P617" t="s">
        <v>36</v>
      </c>
      <c r="Q617">
        <v>0</v>
      </c>
      <c r="R617">
        <v>0</v>
      </c>
      <c r="S617">
        <v>0</v>
      </c>
      <c r="T617" t="s">
        <v>46</v>
      </c>
      <c r="U617" t="s">
        <v>46</v>
      </c>
      <c r="V617">
        <v>1</v>
      </c>
      <c r="W617" t="s">
        <v>38</v>
      </c>
      <c r="X617">
        <v>14</v>
      </c>
      <c r="Z617">
        <v>0</v>
      </c>
      <c r="AA617" t="s">
        <v>39</v>
      </c>
      <c r="AB617">
        <v>94</v>
      </c>
      <c r="AC617">
        <v>0</v>
      </c>
      <c r="AD617">
        <v>0</v>
      </c>
      <c r="AE617" t="s">
        <v>40</v>
      </c>
      <c r="AF617" s="1">
        <v>42817</v>
      </c>
    </row>
    <row r="618" spans="1:32" x14ac:dyDescent="0.25">
      <c r="A618" t="s">
        <v>41</v>
      </c>
      <c r="B618">
        <v>1</v>
      </c>
      <c r="C618">
        <v>4</v>
      </c>
      <c r="D618">
        <v>2017</v>
      </c>
      <c r="E618" t="s">
        <v>66</v>
      </c>
      <c r="F618">
        <v>8</v>
      </c>
      <c r="G618">
        <v>21</v>
      </c>
      <c r="H618">
        <v>0</v>
      </c>
      <c r="I618">
        <v>1</v>
      </c>
      <c r="J618">
        <v>1</v>
      </c>
      <c r="K618">
        <v>0</v>
      </c>
      <c r="L618">
        <v>0</v>
      </c>
      <c r="M618" t="s">
        <v>34</v>
      </c>
      <c r="N618" t="s">
        <v>43</v>
      </c>
      <c r="O618" t="s">
        <v>76</v>
      </c>
      <c r="P618" t="s">
        <v>76</v>
      </c>
      <c r="Q618">
        <v>0</v>
      </c>
      <c r="R618">
        <v>0</v>
      </c>
      <c r="S618">
        <v>0</v>
      </c>
      <c r="T618" t="s">
        <v>46</v>
      </c>
      <c r="U618" t="s">
        <v>46</v>
      </c>
      <c r="V618">
        <v>0</v>
      </c>
      <c r="W618" t="s">
        <v>38</v>
      </c>
      <c r="Z618">
        <v>0</v>
      </c>
      <c r="AA618" t="s">
        <v>122</v>
      </c>
      <c r="AB618">
        <v>80</v>
      </c>
      <c r="AC618">
        <v>0</v>
      </c>
      <c r="AD618">
        <v>0</v>
      </c>
      <c r="AE618" t="s">
        <v>47</v>
      </c>
      <c r="AF618" s="1">
        <v>42786</v>
      </c>
    </row>
    <row r="619" spans="1:32" x14ac:dyDescent="0.25">
      <c r="A619" t="s">
        <v>41</v>
      </c>
      <c r="B619">
        <v>1</v>
      </c>
      <c r="C619">
        <v>59</v>
      </c>
      <c r="D619">
        <v>2017</v>
      </c>
      <c r="E619" t="s">
        <v>67</v>
      </c>
      <c r="F619">
        <v>34</v>
      </c>
      <c r="G619">
        <v>24</v>
      </c>
      <c r="H619">
        <v>0</v>
      </c>
      <c r="I619">
        <v>2</v>
      </c>
      <c r="J619">
        <v>2</v>
      </c>
      <c r="K619">
        <v>0</v>
      </c>
      <c r="L619">
        <v>0</v>
      </c>
      <c r="M619" t="s">
        <v>55</v>
      </c>
      <c r="N619" t="s">
        <v>106</v>
      </c>
      <c r="O619" t="s">
        <v>44</v>
      </c>
      <c r="P619" t="s">
        <v>45</v>
      </c>
      <c r="Q619">
        <v>0</v>
      </c>
      <c r="R619">
        <v>0</v>
      </c>
      <c r="S619">
        <v>0</v>
      </c>
      <c r="T619" t="s">
        <v>46</v>
      </c>
      <c r="U619" t="s">
        <v>46</v>
      </c>
      <c r="V619">
        <v>0</v>
      </c>
      <c r="W619" t="s">
        <v>38</v>
      </c>
      <c r="X619">
        <v>9</v>
      </c>
      <c r="Z619">
        <v>0</v>
      </c>
      <c r="AA619" t="s">
        <v>39</v>
      </c>
      <c r="AB619">
        <v>129</v>
      </c>
      <c r="AC619">
        <v>0</v>
      </c>
      <c r="AD619">
        <v>1</v>
      </c>
      <c r="AE619" t="s">
        <v>47</v>
      </c>
      <c r="AF619" s="1">
        <v>42912</v>
      </c>
    </row>
    <row r="620" spans="1:32" x14ac:dyDescent="0.25">
      <c r="A620" t="s">
        <v>41</v>
      </c>
      <c r="B620">
        <v>0</v>
      </c>
      <c r="C620">
        <v>2</v>
      </c>
      <c r="D620">
        <v>2016</v>
      </c>
      <c r="E620" t="s">
        <v>69</v>
      </c>
      <c r="F620">
        <v>20</v>
      </c>
      <c r="G620">
        <v>14</v>
      </c>
      <c r="H620">
        <v>1</v>
      </c>
      <c r="I620">
        <v>1</v>
      </c>
      <c r="J620">
        <v>2</v>
      </c>
      <c r="K620">
        <v>1</v>
      </c>
      <c r="L620">
        <v>0</v>
      </c>
      <c r="M620" t="s">
        <v>34</v>
      </c>
      <c r="N620" t="s">
        <v>43</v>
      </c>
      <c r="O620" t="s">
        <v>36</v>
      </c>
      <c r="P620" t="s">
        <v>36</v>
      </c>
      <c r="Q620">
        <v>0</v>
      </c>
      <c r="R620">
        <v>0</v>
      </c>
      <c r="S620">
        <v>0</v>
      </c>
      <c r="T620" t="s">
        <v>84</v>
      </c>
      <c r="U620" t="s">
        <v>84</v>
      </c>
      <c r="V620">
        <v>2</v>
      </c>
      <c r="W620" t="s">
        <v>38</v>
      </c>
      <c r="Z620">
        <v>0</v>
      </c>
      <c r="AA620" t="s">
        <v>39</v>
      </c>
      <c r="AB620">
        <v>90</v>
      </c>
      <c r="AC620">
        <v>1</v>
      </c>
      <c r="AD620">
        <v>1</v>
      </c>
      <c r="AE620" t="s">
        <v>40</v>
      </c>
      <c r="AF620" s="1">
        <v>42506</v>
      </c>
    </row>
    <row r="621" spans="1:32" x14ac:dyDescent="0.25">
      <c r="A621" t="s">
        <v>32</v>
      </c>
      <c r="B621">
        <v>0</v>
      </c>
      <c r="C621">
        <v>140</v>
      </c>
      <c r="D621">
        <v>2017</v>
      </c>
      <c r="E621" t="s">
        <v>83</v>
      </c>
      <c r="F621">
        <v>24</v>
      </c>
      <c r="G621">
        <v>13</v>
      </c>
      <c r="H621">
        <v>2</v>
      </c>
      <c r="I621">
        <v>5</v>
      </c>
      <c r="J621">
        <v>1</v>
      </c>
      <c r="K621">
        <v>0</v>
      </c>
      <c r="L621">
        <v>0</v>
      </c>
      <c r="M621" t="s">
        <v>34</v>
      </c>
      <c r="N621" t="s">
        <v>95</v>
      </c>
      <c r="O621" t="s">
        <v>44</v>
      </c>
      <c r="P621" t="s">
        <v>45</v>
      </c>
      <c r="Q621">
        <v>0</v>
      </c>
      <c r="R621">
        <v>0</v>
      </c>
      <c r="S621">
        <v>0</v>
      </c>
      <c r="T621" t="s">
        <v>46</v>
      </c>
      <c r="U621" t="s">
        <v>104</v>
      </c>
      <c r="V621">
        <v>1</v>
      </c>
      <c r="W621" t="s">
        <v>38</v>
      </c>
      <c r="X621">
        <v>242</v>
      </c>
      <c r="Z621">
        <v>0</v>
      </c>
      <c r="AA621" t="s">
        <v>39</v>
      </c>
      <c r="AB621">
        <v>110</v>
      </c>
      <c r="AC621">
        <v>0</v>
      </c>
      <c r="AD621">
        <v>0</v>
      </c>
      <c r="AE621" t="s">
        <v>40</v>
      </c>
      <c r="AF621" s="1">
        <v>42906</v>
      </c>
    </row>
    <row r="622" spans="1:32" x14ac:dyDescent="0.25">
      <c r="A622" t="s">
        <v>32</v>
      </c>
      <c r="B622">
        <v>0</v>
      </c>
      <c r="C622">
        <v>37</v>
      </c>
      <c r="D622">
        <v>2016</v>
      </c>
      <c r="E622" t="s">
        <v>69</v>
      </c>
      <c r="F622">
        <v>20</v>
      </c>
      <c r="G622">
        <v>8</v>
      </c>
      <c r="H622">
        <v>2</v>
      </c>
      <c r="I622">
        <v>0</v>
      </c>
      <c r="J622">
        <v>2</v>
      </c>
      <c r="K622">
        <v>0</v>
      </c>
      <c r="L622">
        <v>0</v>
      </c>
      <c r="M622" t="s">
        <v>34</v>
      </c>
      <c r="N622" t="s">
        <v>43</v>
      </c>
      <c r="O622" t="s">
        <v>49</v>
      </c>
      <c r="P622" t="s">
        <v>45</v>
      </c>
      <c r="Q622">
        <v>0</v>
      </c>
      <c r="R622">
        <v>0</v>
      </c>
      <c r="S622">
        <v>0</v>
      </c>
      <c r="T622" t="s">
        <v>46</v>
      </c>
      <c r="U622" t="s">
        <v>46</v>
      </c>
      <c r="V622">
        <v>1</v>
      </c>
      <c r="W622" t="s">
        <v>38</v>
      </c>
      <c r="X622">
        <v>168</v>
      </c>
      <c r="Z622">
        <v>0</v>
      </c>
      <c r="AA622" t="s">
        <v>39</v>
      </c>
      <c r="AB622">
        <v>46</v>
      </c>
      <c r="AC622">
        <v>0</v>
      </c>
      <c r="AD622">
        <v>1</v>
      </c>
      <c r="AE622" t="s">
        <v>40</v>
      </c>
      <c r="AF622" s="1">
        <v>42500</v>
      </c>
    </row>
    <row r="623" spans="1:32" x14ac:dyDescent="0.25">
      <c r="A623" t="s">
        <v>41</v>
      </c>
      <c r="B623">
        <v>1</v>
      </c>
      <c r="C623">
        <v>37</v>
      </c>
      <c r="D623">
        <v>2016</v>
      </c>
      <c r="E623" t="s">
        <v>59</v>
      </c>
      <c r="F623">
        <v>42</v>
      </c>
      <c r="G623">
        <v>13</v>
      </c>
      <c r="H623">
        <v>0</v>
      </c>
      <c r="I623">
        <v>3</v>
      </c>
      <c r="J623">
        <v>2</v>
      </c>
      <c r="K623">
        <v>0</v>
      </c>
      <c r="L623">
        <v>0</v>
      </c>
      <c r="M623" t="s">
        <v>34</v>
      </c>
      <c r="N623" t="s">
        <v>43</v>
      </c>
      <c r="O623" t="s">
        <v>49</v>
      </c>
      <c r="P623" t="s">
        <v>45</v>
      </c>
      <c r="Q623">
        <v>0</v>
      </c>
      <c r="R623">
        <v>0</v>
      </c>
      <c r="S623">
        <v>0</v>
      </c>
      <c r="T623" t="s">
        <v>46</v>
      </c>
      <c r="U623" t="s">
        <v>46</v>
      </c>
      <c r="V623">
        <v>0</v>
      </c>
      <c r="W623" t="s">
        <v>38</v>
      </c>
      <c r="X623">
        <v>56</v>
      </c>
      <c r="Z623">
        <v>0</v>
      </c>
      <c r="AA623" t="s">
        <v>51</v>
      </c>
      <c r="AB623">
        <v>105</v>
      </c>
      <c r="AC623">
        <v>0</v>
      </c>
      <c r="AD623">
        <v>0</v>
      </c>
      <c r="AE623" t="s">
        <v>47</v>
      </c>
      <c r="AF623" s="1">
        <v>42619</v>
      </c>
    </row>
    <row r="624" spans="1:32" x14ac:dyDescent="0.25">
      <c r="A624" t="s">
        <v>41</v>
      </c>
      <c r="B624">
        <v>0</v>
      </c>
      <c r="C624">
        <v>12</v>
      </c>
      <c r="D624">
        <v>2016</v>
      </c>
      <c r="E624" t="s">
        <v>69</v>
      </c>
      <c r="F624">
        <v>20</v>
      </c>
      <c r="G624">
        <v>11</v>
      </c>
      <c r="H624">
        <v>0</v>
      </c>
      <c r="I624">
        <v>4</v>
      </c>
      <c r="J624">
        <v>2</v>
      </c>
      <c r="K624">
        <v>0</v>
      </c>
      <c r="L624">
        <v>0</v>
      </c>
      <c r="M624" t="s">
        <v>34</v>
      </c>
      <c r="N624" t="s">
        <v>103</v>
      </c>
      <c r="O624" t="s">
        <v>49</v>
      </c>
      <c r="P624" t="s">
        <v>45</v>
      </c>
      <c r="Q624">
        <v>0</v>
      </c>
      <c r="R624">
        <v>0</v>
      </c>
      <c r="S624">
        <v>0</v>
      </c>
      <c r="T624" t="s">
        <v>46</v>
      </c>
      <c r="U624" t="s">
        <v>46</v>
      </c>
      <c r="V624">
        <v>0</v>
      </c>
      <c r="W624" t="s">
        <v>38</v>
      </c>
      <c r="X624">
        <v>138</v>
      </c>
      <c r="Z624">
        <v>0</v>
      </c>
      <c r="AA624" t="s">
        <v>39</v>
      </c>
      <c r="AB624">
        <v>104</v>
      </c>
      <c r="AC624">
        <v>0</v>
      </c>
      <c r="AD624">
        <v>0</v>
      </c>
      <c r="AE624" t="s">
        <v>40</v>
      </c>
      <c r="AF624" s="1">
        <v>42505</v>
      </c>
    </row>
    <row r="625" spans="1:32" x14ac:dyDescent="0.25">
      <c r="A625" t="s">
        <v>41</v>
      </c>
      <c r="B625">
        <v>0</v>
      </c>
      <c r="C625">
        <v>7</v>
      </c>
      <c r="D625">
        <v>2015</v>
      </c>
      <c r="E625" t="s">
        <v>62</v>
      </c>
      <c r="F625">
        <v>38</v>
      </c>
      <c r="G625">
        <v>16</v>
      </c>
      <c r="H625">
        <v>0</v>
      </c>
      <c r="I625">
        <v>2</v>
      </c>
      <c r="J625">
        <v>1</v>
      </c>
      <c r="K625">
        <v>0</v>
      </c>
      <c r="L625">
        <v>0</v>
      </c>
      <c r="M625" t="s">
        <v>34</v>
      </c>
      <c r="N625" t="s">
        <v>63</v>
      </c>
      <c r="O625" t="s">
        <v>49</v>
      </c>
      <c r="P625" t="s">
        <v>45</v>
      </c>
      <c r="Q625">
        <v>0</v>
      </c>
      <c r="R625">
        <v>0</v>
      </c>
      <c r="S625">
        <v>0</v>
      </c>
      <c r="T625" t="s">
        <v>46</v>
      </c>
      <c r="U625" t="s">
        <v>46</v>
      </c>
      <c r="V625">
        <v>0</v>
      </c>
      <c r="W625" t="s">
        <v>38</v>
      </c>
      <c r="X625">
        <v>13</v>
      </c>
      <c r="Z625">
        <v>0</v>
      </c>
      <c r="AA625" t="s">
        <v>73</v>
      </c>
      <c r="AB625">
        <v>113.6</v>
      </c>
      <c r="AC625">
        <v>0</v>
      </c>
      <c r="AD625">
        <v>0</v>
      </c>
      <c r="AE625" t="s">
        <v>40</v>
      </c>
      <c r="AF625" s="1">
        <v>42265</v>
      </c>
    </row>
    <row r="626" spans="1:32" x14ac:dyDescent="0.25">
      <c r="A626" t="s">
        <v>32</v>
      </c>
      <c r="B626">
        <v>0</v>
      </c>
      <c r="C626">
        <v>104</v>
      </c>
      <c r="D626">
        <v>2015</v>
      </c>
      <c r="E626" t="s">
        <v>62</v>
      </c>
      <c r="F626">
        <v>36</v>
      </c>
      <c r="G626">
        <v>2</v>
      </c>
      <c r="H626">
        <v>1</v>
      </c>
      <c r="I626">
        <v>4</v>
      </c>
      <c r="J626">
        <v>2</v>
      </c>
      <c r="K626">
        <v>0</v>
      </c>
      <c r="L626">
        <v>0</v>
      </c>
      <c r="M626" t="s">
        <v>34</v>
      </c>
      <c r="N626" t="s">
        <v>35</v>
      </c>
      <c r="O626" t="s">
        <v>44</v>
      </c>
      <c r="P626" t="s">
        <v>45</v>
      </c>
      <c r="Q626">
        <v>0</v>
      </c>
      <c r="R626">
        <v>0</v>
      </c>
      <c r="S626">
        <v>0</v>
      </c>
      <c r="T626" t="s">
        <v>46</v>
      </c>
      <c r="U626" t="s">
        <v>57</v>
      </c>
      <c r="V626">
        <v>0</v>
      </c>
      <c r="W626" t="s">
        <v>38</v>
      </c>
      <c r="X626">
        <v>241</v>
      </c>
      <c r="Z626">
        <v>0</v>
      </c>
      <c r="AA626" t="s">
        <v>39</v>
      </c>
      <c r="AB626">
        <v>71.69</v>
      </c>
      <c r="AC626">
        <v>0</v>
      </c>
      <c r="AD626">
        <v>0</v>
      </c>
      <c r="AE626" t="s">
        <v>40</v>
      </c>
      <c r="AF626" s="1">
        <v>42254</v>
      </c>
    </row>
    <row r="627" spans="1:32" x14ac:dyDescent="0.25">
      <c r="A627" t="s">
        <v>32</v>
      </c>
      <c r="B627">
        <v>1</v>
      </c>
      <c r="C627">
        <v>196</v>
      </c>
      <c r="D627">
        <v>2016</v>
      </c>
      <c r="E627" t="s">
        <v>67</v>
      </c>
      <c r="F627">
        <v>36</v>
      </c>
      <c r="G627">
        <v>29</v>
      </c>
      <c r="H627">
        <v>2</v>
      </c>
      <c r="I627">
        <v>5</v>
      </c>
      <c r="J627">
        <v>2</v>
      </c>
      <c r="K627">
        <v>0</v>
      </c>
      <c r="L627">
        <v>0</v>
      </c>
      <c r="M627" t="s">
        <v>34</v>
      </c>
      <c r="N627" t="s">
        <v>43</v>
      </c>
      <c r="O627" t="s">
        <v>49</v>
      </c>
      <c r="P627" t="s">
        <v>45</v>
      </c>
      <c r="Q627">
        <v>0</v>
      </c>
      <c r="R627">
        <v>0</v>
      </c>
      <c r="S627">
        <v>0</v>
      </c>
      <c r="T627" t="s">
        <v>72</v>
      </c>
      <c r="U627" t="s">
        <v>72</v>
      </c>
      <c r="V627">
        <v>0</v>
      </c>
      <c r="W627" t="s">
        <v>38</v>
      </c>
      <c r="X627">
        <v>314</v>
      </c>
      <c r="Z627">
        <v>0</v>
      </c>
      <c r="AA627" t="s">
        <v>39</v>
      </c>
      <c r="AB627">
        <v>121.47</v>
      </c>
      <c r="AC627">
        <v>0</v>
      </c>
      <c r="AD627">
        <v>1</v>
      </c>
      <c r="AE627" t="s">
        <v>47</v>
      </c>
      <c r="AF627" s="1">
        <v>42599</v>
      </c>
    </row>
    <row r="628" spans="1:32" x14ac:dyDescent="0.25">
      <c r="A628" t="s">
        <v>41</v>
      </c>
      <c r="B628">
        <v>0</v>
      </c>
      <c r="C628">
        <v>0</v>
      </c>
      <c r="D628">
        <v>2016</v>
      </c>
      <c r="E628" t="s">
        <v>74</v>
      </c>
      <c r="F628">
        <v>4</v>
      </c>
      <c r="G628">
        <v>22</v>
      </c>
      <c r="H628">
        <v>1</v>
      </c>
      <c r="I628">
        <v>2</v>
      </c>
      <c r="J628">
        <v>2</v>
      </c>
      <c r="K628">
        <v>0</v>
      </c>
      <c r="L628">
        <v>0</v>
      </c>
      <c r="M628" t="s">
        <v>34</v>
      </c>
      <c r="N628" t="s">
        <v>43</v>
      </c>
      <c r="O628" t="s">
        <v>36</v>
      </c>
      <c r="P628" t="s">
        <v>36</v>
      </c>
      <c r="Q628">
        <v>0</v>
      </c>
      <c r="R628">
        <v>0</v>
      </c>
      <c r="S628">
        <v>0</v>
      </c>
      <c r="T628" t="s">
        <v>57</v>
      </c>
      <c r="U628" t="s">
        <v>57</v>
      </c>
      <c r="V628">
        <v>0</v>
      </c>
      <c r="W628" t="s">
        <v>38</v>
      </c>
      <c r="Z628">
        <v>0</v>
      </c>
      <c r="AA628" t="s">
        <v>39</v>
      </c>
      <c r="AB628">
        <v>106</v>
      </c>
      <c r="AC628">
        <v>0</v>
      </c>
      <c r="AD628">
        <v>1</v>
      </c>
      <c r="AE628" t="s">
        <v>40</v>
      </c>
      <c r="AF628" s="1">
        <v>42394</v>
      </c>
    </row>
    <row r="629" spans="1:32" x14ac:dyDescent="0.25">
      <c r="A629" t="s">
        <v>41</v>
      </c>
      <c r="B629">
        <v>1</v>
      </c>
      <c r="C629">
        <v>10</v>
      </c>
      <c r="D629">
        <v>2016</v>
      </c>
      <c r="E629" t="s">
        <v>74</v>
      </c>
      <c r="F629">
        <v>1</v>
      </c>
      <c r="G629">
        <v>2</v>
      </c>
      <c r="H629">
        <v>2</v>
      </c>
      <c r="I629">
        <v>1</v>
      </c>
      <c r="J629">
        <v>2</v>
      </c>
      <c r="K629">
        <v>0</v>
      </c>
      <c r="L629">
        <v>0</v>
      </c>
      <c r="M629" t="s">
        <v>34</v>
      </c>
      <c r="N629" t="s">
        <v>63</v>
      </c>
      <c r="O629" t="s">
        <v>44</v>
      </c>
      <c r="P629" t="s">
        <v>45</v>
      </c>
      <c r="Q629">
        <v>0</v>
      </c>
      <c r="R629">
        <v>0</v>
      </c>
      <c r="S629">
        <v>0</v>
      </c>
      <c r="T629" t="s">
        <v>86</v>
      </c>
      <c r="U629" t="s">
        <v>86</v>
      </c>
      <c r="V629">
        <v>0</v>
      </c>
      <c r="W629" t="s">
        <v>38</v>
      </c>
      <c r="X629">
        <v>9</v>
      </c>
      <c r="Z629">
        <v>0</v>
      </c>
      <c r="AA629" t="s">
        <v>39</v>
      </c>
      <c r="AB629">
        <v>83.58</v>
      </c>
      <c r="AC629">
        <v>0</v>
      </c>
      <c r="AD629">
        <v>0</v>
      </c>
      <c r="AE629" t="s">
        <v>47</v>
      </c>
      <c r="AF629" s="1">
        <v>42369</v>
      </c>
    </row>
    <row r="630" spans="1:32" x14ac:dyDescent="0.25">
      <c r="A630" t="s">
        <v>41</v>
      </c>
      <c r="B630">
        <v>1</v>
      </c>
      <c r="C630">
        <v>98</v>
      </c>
      <c r="D630">
        <v>2017</v>
      </c>
      <c r="E630" t="s">
        <v>52</v>
      </c>
      <c r="F630">
        <v>9</v>
      </c>
      <c r="G630">
        <v>3</v>
      </c>
      <c r="H630">
        <v>0</v>
      </c>
      <c r="I630">
        <v>2</v>
      </c>
      <c r="J630">
        <v>2</v>
      </c>
      <c r="K630">
        <v>0</v>
      </c>
      <c r="L630">
        <v>0</v>
      </c>
      <c r="M630" t="s">
        <v>34</v>
      </c>
      <c r="N630" t="s">
        <v>70</v>
      </c>
      <c r="O630" t="s">
        <v>44</v>
      </c>
      <c r="P630" t="s">
        <v>45</v>
      </c>
      <c r="Q630">
        <v>0</v>
      </c>
      <c r="R630">
        <v>0</v>
      </c>
      <c r="S630">
        <v>0</v>
      </c>
      <c r="T630" t="s">
        <v>46</v>
      </c>
      <c r="U630" t="s">
        <v>46</v>
      </c>
      <c r="V630">
        <v>0</v>
      </c>
      <c r="W630" t="s">
        <v>38</v>
      </c>
      <c r="X630">
        <v>9</v>
      </c>
      <c r="Z630">
        <v>0</v>
      </c>
      <c r="AA630" t="s">
        <v>39</v>
      </c>
      <c r="AB630">
        <v>97.2</v>
      </c>
      <c r="AC630">
        <v>0</v>
      </c>
      <c r="AD630">
        <v>0</v>
      </c>
      <c r="AE630" t="s">
        <v>47</v>
      </c>
      <c r="AF630" s="1">
        <v>42754</v>
      </c>
    </row>
    <row r="631" spans="1:32" x14ac:dyDescent="0.25">
      <c r="A631" t="s">
        <v>41</v>
      </c>
      <c r="B631">
        <v>0</v>
      </c>
      <c r="C631">
        <v>16</v>
      </c>
      <c r="D631">
        <v>2016</v>
      </c>
      <c r="E631" t="s">
        <v>33</v>
      </c>
      <c r="F631">
        <v>50</v>
      </c>
      <c r="G631">
        <v>9</v>
      </c>
      <c r="H631">
        <v>1</v>
      </c>
      <c r="I631">
        <v>2</v>
      </c>
      <c r="J631">
        <v>2</v>
      </c>
      <c r="K631">
        <v>0</v>
      </c>
      <c r="L631">
        <v>0</v>
      </c>
      <c r="M631" t="s">
        <v>34</v>
      </c>
      <c r="N631" t="s">
        <v>56</v>
      </c>
      <c r="O631" t="s">
        <v>36</v>
      </c>
      <c r="P631" t="s">
        <v>36</v>
      </c>
      <c r="Q631">
        <v>0</v>
      </c>
      <c r="R631">
        <v>0</v>
      </c>
      <c r="S631">
        <v>0</v>
      </c>
      <c r="T631" t="s">
        <v>46</v>
      </c>
      <c r="U631" t="s">
        <v>46</v>
      </c>
      <c r="V631">
        <v>0</v>
      </c>
      <c r="W631" t="s">
        <v>38</v>
      </c>
      <c r="X631">
        <v>14</v>
      </c>
      <c r="Z631">
        <v>0</v>
      </c>
      <c r="AA631" t="s">
        <v>39</v>
      </c>
      <c r="AB631">
        <v>81.09</v>
      </c>
      <c r="AC631">
        <v>0</v>
      </c>
      <c r="AD631">
        <v>1</v>
      </c>
      <c r="AE631" t="s">
        <v>40</v>
      </c>
      <c r="AF631" s="1">
        <v>42716</v>
      </c>
    </row>
    <row r="632" spans="1:32" x14ac:dyDescent="0.25">
      <c r="A632" t="s">
        <v>32</v>
      </c>
      <c r="B632">
        <v>0</v>
      </c>
      <c r="C632">
        <v>4</v>
      </c>
      <c r="D632">
        <v>2016</v>
      </c>
      <c r="E632" t="s">
        <v>67</v>
      </c>
      <c r="F632">
        <v>32</v>
      </c>
      <c r="G632">
        <v>4</v>
      </c>
      <c r="H632">
        <v>1</v>
      </c>
      <c r="I632">
        <v>3</v>
      </c>
      <c r="J632">
        <v>2</v>
      </c>
      <c r="K632">
        <v>0</v>
      </c>
      <c r="L632">
        <v>1</v>
      </c>
      <c r="M632" t="s">
        <v>60</v>
      </c>
      <c r="N632" t="s">
        <v>43</v>
      </c>
      <c r="O632" t="s">
        <v>44</v>
      </c>
      <c r="P632" t="s">
        <v>45</v>
      </c>
      <c r="Q632">
        <v>0</v>
      </c>
      <c r="R632">
        <v>0</v>
      </c>
      <c r="S632">
        <v>0</v>
      </c>
      <c r="T632" t="s">
        <v>46</v>
      </c>
      <c r="U632" t="s">
        <v>46</v>
      </c>
      <c r="V632">
        <v>1</v>
      </c>
      <c r="W632" t="s">
        <v>38</v>
      </c>
      <c r="X632">
        <v>240</v>
      </c>
      <c r="Z632">
        <v>0</v>
      </c>
      <c r="AA632" t="s">
        <v>39</v>
      </c>
      <c r="AB632">
        <v>253.5</v>
      </c>
      <c r="AC632">
        <v>0</v>
      </c>
      <c r="AD632">
        <v>1</v>
      </c>
      <c r="AE632" t="s">
        <v>40</v>
      </c>
      <c r="AF632" s="1">
        <v>42590</v>
      </c>
    </row>
    <row r="633" spans="1:32" x14ac:dyDescent="0.25">
      <c r="A633" t="s">
        <v>41</v>
      </c>
      <c r="B633">
        <v>0</v>
      </c>
      <c r="C633">
        <v>22</v>
      </c>
      <c r="D633">
        <v>2016</v>
      </c>
      <c r="E633" t="s">
        <v>54</v>
      </c>
      <c r="F633">
        <v>16</v>
      </c>
      <c r="G633">
        <v>14</v>
      </c>
      <c r="H633">
        <v>2</v>
      </c>
      <c r="I633">
        <v>3</v>
      </c>
      <c r="J633">
        <v>3</v>
      </c>
      <c r="K633">
        <v>0</v>
      </c>
      <c r="L633">
        <v>0</v>
      </c>
      <c r="M633" t="s">
        <v>34</v>
      </c>
      <c r="N633" t="s">
        <v>70</v>
      </c>
      <c r="O633" t="s">
        <v>44</v>
      </c>
      <c r="P633" t="s">
        <v>45</v>
      </c>
      <c r="Q633">
        <v>0</v>
      </c>
      <c r="R633">
        <v>0</v>
      </c>
      <c r="S633">
        <v>0</v>
      </c>
      <c r="T633" t="s">
        <v>57</v>
      </c>
      <c r="U633" t="s">
        <v>57</v>
      </c>
      <c r="V633">
        <v>0</v>
      </c>
      <c r="W633" t="s">
        <v>38</v>
      </c>
      <c r="X633">
        <v>9</v>
      </c>
      <c r="Z633">
        <v>0</v>
      </c>
      <c r="AA633" t="s">
        <v>39</v>
      </c>
      <c r="AB633">
        <v>152.6</v>
      </c>
      <c r="AC633">
        <v>0</v>
      </c>
      <c r="AD633">
        <v>2</v>
      </c>
      <c r="AE633" t="s">
        <v>40</v>
      </c>
      <c r="AF633" s="1">
        <v>42479</v>
      </c>
    </row>
    <row r="634" spans="1:32" x14ac:dyDescent="0.25">
      <c r="A634" t="s">
        <v>41</v>
      </c>
      <c r="B634">
        <v>0</v>
      </c>
      <c r="C634">
        <v>85</v>
      </c>
      <c r="D634">
        <v>2016</v>
      </c>
      <c r="E634" t="s">
        <v>54</v>
      </c>
      <c r="F634">
        <v>14</v>
      </c>
      <c r="G634">
        <v>1</v>
      </c>
      <c r="H634">
        <v>0</v>
      </c>
      <c r="I634">
        <v>2</v>
      </c>
      <c r="J634">
        <v>1</v>
      </c>
      <c r="K634">
        <v>0</v>
      </c>
      <c r="L634">
        <v>0</v>
      </c>
      <c r="M634" t="s">
        <v>34</v>
      </c>
      <c r="N634" t="s">
        <v>53</v>
      </c>
      <c r="O634" t="s">
        <v>44</v>
      </c>
      <c r="P634" t="s">
        <v>45</v>
      </c>
      <c r="Q634">
        <v>0</v>
      </c>
      <c r="R634">
        <v>0</v>
      </c>
      <c r="S634">
        <v>0</v>
      </c>
      <c r="T634" t="s">
        <v>46</v>
      </c>
      <c r="U634" t="s">
        <v>46</v>
      </c>
      <c r="V634">
        <v>1</v>
      </c>
      <c r="W634" t="s">
        <v>38</v>
      </c>
      <c r="X634">
        <v>9</v>
      </c>
      <c r="Z634">
        <v>0</v>
      </c>
      <c r="AA634" t="s">
        <v>51</v>
      </c>
      <c r="AB634">
        <v>81.900000000000006</v>
      </c>
      <c r="AC634">
        <v>0</v>
      </c>
      <c r="AD634">
        <v>0</v>
      </c>
      <c r="AE634" t="s">
        <v>40</v>
      </c>
      <c r="AF634" s="1">
        <v>42463</v>
      </c>
    </row>
    <row r="635" spans="1:32" x14ac:dyDescent="0.25">
      <c r="A635" t="s">
        <v>41</v>
      </c>
      <c r="B635">
        <v>0</v>
      </c>
      <c r="C635">
        <v>301</v>
      </c>
      <c r="D635">
        <v>2016</v>
      </c>
      <c r="E635" t="s">
        <v>42</v>
      </c>
      <c r="F635">
        <v>31</v>
      </c>
      <c r="G635">
        <v>30</v>
      </c>
      <c r="H635">
        <v>1</v>
      </c>
      <c r="I635">
        <v>1</v>
      </c>
      <c r="J635">
        <v>1</v>
      </c>
      <c r="K635">
        <v>0</v>
      </c>
      <c r="L635">
        <v>0</v>
      </c>
      <c r="M635" t="s">
        <v>60</v>
      </c>
      <c r="N635" t="s">
        <v>56</v>
      </c>
      <c r="O635" t="s">
        <v>49</v>
      </c>
      <c r="P635" t="s">
        <v>45</v>
      </c>
      <c r="Q635">
        <v>0</v>
      </c>
      <c r="R635">
        <v>0</v>
      </c>
      <c r="S635">
        <v>0</v>
      </c>
      <c r="T635" t="s">
        <v>46</v>
      </c>
      <c r="U635" t="s">
        <v>57</v>
      </c>
      <c r="V635">
        <v>1</v>
      </c>
      <c r="W635" t="s">
        <v>38</v>
      </c>
      <c r="X635">
        <v>6</v>
      </c>
      <c r="Z635">
        <v>0</v>
      </c>
      <c r="AA635" t="s">
        <v>51</v>
      </c>
      <c r="AB635">
        <v>90</v>
      </c>
      <c r="AC635">
        <v>0</v>
      </c>
      <c r="AD635">
        <v>0</v>
      </c>
      <c r="AE635" t="s">
        <v>40</v>
      </c>
      <c r="AF635" s="1">
        <v>42583</v>
      </c>
    </row>
    <row r="636" spans="1:32" x14ac:dyDescent="0.25">
      <c r="A636" t="s">
        <v>41</v>
      </c>
      <c r="B636">
        <v>1</v>
      </c>
      <c r="C636">
        <v>95</v>
      </c>
      <c r="D636">
        <v>2016</v>
      </c>
      <c r="E636" t="s">
        <v>61</v>
      </c>
      <c r="F636">
        <v>45</v>
      </c>
      <c r="G636">
        <v>5</v>
      </c>
      <c r="H636">
        <v>0</v>
      </c>
      <c r="I636">
        <v>1</v>
      </c>
      <c r="J636">
        <v>1</v>
      </c>
      <c r="K636">
        <v>0</v>
      </c>
      <c r="L636">
        <v>0</v>
      </c>
      <c r="M636" t="s">
        <v>34</v>
      </c>
      <c r="N636" t="s">
        <v>43</v>
      </c>
      <c r="O636" t="s">
        <v>64</v>
      </c>
      <c r="P636" t="s">
        <v>45</v>
      </c>
      <c r="Q636">
        <v>0</v>
      </c>
      <c r="R636">
        <v>0</v>
      </c>
      <c r="S636">
        <v>0</v>
      </c>
      <c r="T636" t="s">
        <v>46</v>
      </c>
      <c r="U636" t="s">
        <v>46</v>
      </c>
      <c r="V636">
        <v>0</v>
      </c>
      <c r="W636" t="s">
        <v>38</v>
      </c>
      <c r="Z636">
        <v>0</v>
      </c>
      <c r="AA636" t="s">
        <v>51</v>
      </c>
      <c r="AB636">
        <v>75</v>
      </c>
      <c r="AC636">
        <v>0</v>
      </c>
      <c r="AD636">
        <v>0</v>
      </c>
      <c r="AE636" t="s">
        <v>47</v>
      </c>
      <c r="AF636" s="1">
        <v>42664</v>
      </c>
    </row>
    <row r="637" spans="1:32" x14ac:dyDescent="0.25">
      <c r="A637" t="s">
        <v>32</v>
      </c>
      <c r="B637">
        <v>0</v>
      </c>
      <c r="C637">
        <v>364</v>
      </c>
      <c r="D637">
        <v>2016</v>
      </c>
      <c r="E637" t="s">
        <v>59</v>
      </c>
      <c r="F637">
        <v>42</v>
      </c>
      <c r="G637">
        <v>12</v>
      </c>
      <c r="H637">
        <v>1</v>
      </c>
      <c r="I637">
        <v>4</v>
      </c>
      <c r="J637">
        <v>2</v>
      </c>
      <c r="K637">
        <v>0</v>
      </c>
      <c r="L637">
        <v>0</v>
      </c>
      <c r="M637" t="s">
        <v>34</v>
      </c>
      <c r="N637" t="s">
        <v>35</v>
      </c>
      <c r="O637" t="s">
        <v>64</v>
      </c>
      <c r="P637" t="s">
        <v>76</v>
      </c>
      <c r="Q637">
        <v>0</v>
      </c>
      <c r="R637">
        <v>0</v>
      </c>
      <c r="S637">
        <v>0</v>
      </c>
      <c r="T637" t="s">
        <v>46</v>
      </c>
      <c r="U637" t="s">
        <v>46</v>
      </c>
      <c r="V637">
        <v>1</v>
      </c>
      <c r="W637" t="s">
        <v>38</v>
      </c>
      <c r="Y637">
        <v>223</v>
      </c>
      <c r="Z637">
        <v>0</v>
      </c>
      <c r="AA637" t="s">
        <v>51</v>
      </c>
      <c r="AB637">
        <v>66</v>
      </c>
      <c r="AC637">
        <v>0</v>
      </c>
      <c r="AD637">
        <v>0</v>
      </c>
      <c r="AE637" t="s">
        <v>40</v>
      </c>
      <c r="AF637" s="1">
        <v>42660</v>
      </c>
    </row>
    <row r="638" spans="1:32" x14ac:dyDescent="0.25">
      <c r="A638" t="s">
        <v>41</v>
      </c>
      <c r="B638">
        <v>0</v>
      </c>
      <c r="C638">
        <v>164</v>
      </c>
      <c r="D638">
        <v>2015</v>
      </c>
      <c r="E638" t="s">
        <v>59</v>
      </c>
      <c r="F638">
        <v>40</v>
      </c>
      <c r="G638">
        <v>2</v>
      </c>
      <c r="H638">
        <v>0</v>
      </c>
      <c r="I638">
        <v>2</v>
      </c>
      <c r="J638">
        <v>1</v>
      </c>
      <c r="K638">
        <v>0</v>
      </c>
      <c r="L638">
        <v>0</v>
      </c>
      <c r="M638" t="s">
        <v>34</v>
      </c>
      <c r="N638" t="s">
        <v>43</v>
      </c>
      <c r="O638" t="s">
        <v>49</v>
      </c>
      <c r="P638" t="s">
        <v>45</v>
      </c>
      <c r="Q638">
        <v>0</v>
      </c>
      <c r="R638">
        <v>0</v>
      </c>
      <c r="S638">
        <v>0</v>
      </c>
      <c r="T638" t="s">
        <v>46</v>
      </c>
      <c r="U638" t="s">
        <v>57</v>
      </c>
      <c r="V638">
        <v>0</v>
      </c>
      <c r="W638" t="s">
        <v>38</v>
      </c>
      <c r="X638">
        <v>19</v>
      </c>
      <c r="Z638">
        <v>0</v>
      </c>
      <c r="AA638" t="s">
        <v>51</v>
      </c>
      <c r="AB638">
        <v>100</v>
      </c>
      <c r="AC638">
        <v>0</v>
      </c>
      <c r="AD638">
        <v>0</v>
      </c>
      <c r="AE638" t="s">
        <v>40</v>
      </c>
      <c r="AF638" s="1">
        <v>42281</v>
      </c>
    </row>
    <row r="639" spans="1:32" x14ac:dyDescent="0.25">
      <c r="A639" t="s">
        <v>41</v>
      </c>
      <c r="B639">
        <v>0</v>
      </c>
      <c r="C639">
        <v>42</v>
      </c>
      <c r="D639">
        <v>2017</v>
      </c>
      <c r="E639" t="s">
        <v>83</v>
      </c>
      <c r="F639">
        <v>23</v>
      </c>
      <c r="G639">
        <v>10</v>
      </c>
      <c r="H639">
        <v>1</v>
      </c>
      <c r="I639">
        <v>1</v>
      </c>
      <c r="J639">
        <v>2</v>
      </c>
      <c r="K639">
        <v>0</v>
      </c>
      <c r="L639">
        <v>0</v>
      </c>
      <c r="M639" t="s">
        <v>34</v>
      </c>
      <c r="N639" t="s">
        <v>99</v>
      </c>
      <c r="O639" t="s">
        <v>44</v>
      </c>
      <c r="P639" t="s">
        <v>45</v>
      </c>
      <c r="Q639">
        <v>0</v>
      </c>
      <c r="R639">
        <v>0</v>
      </c>
      <c r="S639">
        <v>0</v>
      </c>
      <c r="T639" t="s">
        <v>46</v>
      </c>
      <c r="U639" t="s">
        <v>46</v>
      </c>
      <c r="V639">
        <v>0</v>
      </c>
      <c r="W639" t="s">
        <v>38</v>
      </c>
      <c r="X639">
        <v>9</v>
      </c>
      <c r="Z639">
        <v>0</v>
      </c>
      <c r="AA639" t="s">
        <v>39</v>
      </c>
      <c r="AB639">
        <v>130</v>
      </c>
      <c r="AC639">
        <v>0</v>
      </c>
      <c r="AD639">
        <v>1</v>
      </c>
      <c r="AE639" t="s">
        <v>40</v>
      </c>
      <c r="AF639" s="1">
        <v>42898</v>
      </c>
    </row>
    <row r="640" spans="1:32" x14ac:dyDescent="0.25">
      <c r="A640" t="s">
        <v>32</v>
      </c>
      <c r="B640">
        <v>0</v>
      </c>
      <c r="C640">
        <v>203</v>
      </c>
      <c r="D640">
        <v>2017</v>
      </c>
      <c r="E640" t="s">
        <v>69</v>
      </c>
      <c r="F640">
        <v>21</v>
      </c>
      <c r="G640">
        <v>25</v>
      </c>
      <c r="H640">
        <v>1</v>
      </c>
      <c r="I640">
        <v>3</v>
      </c>
      <c r="J640">
        <v>2</v>
      </c>
      <c r="K640">
        <v>0</v>
      </c>
      <c r="L640">
        <v>0</v>
      </c>
      <c r="M640" t="s">
        <v>34</v>
      </c>
      <c r="N640" t="s">
        <v>35</v>
      </c>
      <c r="O640" t="s">
        <v>64</v>
      </c>
      <c r="P640" t="s">
        <v>45</v>
      </c>
      <c r="Q640">
        <v>0</v>
      </c>
      <c r="R640">
        <v>0</v>
      </c>
      <c r="S640">
        <v>0</v>
      </c>
      <c r="T640" t="s">
        <v>46</v>
      </c>
      <c r="U640" t="s">
        <v>46</v>
      </c>
      <c r="V640">
        <v>4</v>
      </c>
      <c r="W640" t="s">
        <v>38</v>
      </c>
      <c r="Y640">
        <v>223</v>
      </c>
      <c r="Z640">
        <v>0</v>
      </c>
      <c r="AA640" t="s">
        <v>51</v>
      </c>
      <c r="AB640">
        <v>55</v>
      </c>
      <c r="AC640">
        <v>1</v>
      </c>
      <c r="AD640">
        <v>0</v>
      </c>
      <c r="AE640" t="s">
        <v>40</v>
      </c>
      <c r="AF640" s="1">
        <v>42884</v>
      </c>
    </row>
    <row r="641" spans="1:32" x14ac:dyDescent="0.25">
      <c r="A641" t="s">
        <v>41</v>
      </c>
      <c r="B641">
        <v>0</v>
      </c>
      <c r="C641">
        <v>56</v>
      </c>
      <c r="D641">
        <v>2015</v>
      </c>
      <c r="E641" t="s">
        <v>62</v>
      </c>
      <c r="F641">
        <v>38</v>
      </c>
      <c r="G641">
        <v>17</v>
      </c>
      <c r="H641">
        <v>0</v>
      </c>
      <c r="I641">
        <v>2</v>
      </c>
      <c r="J641">
        <v>2</v>
      </c>
      <c r="K641">
        <v>0</v>
      </c>
      <c r="L641">
        <v>0</v>
      </c>
      <c r="M641" t="s">
        <v>60</v>
      </c>
      <c r="N641" t="s">
        <v>70</v>
      </c>
      <c r="O641" t="s">
        <v>49</v>
      </c>
      <c r="P641" t="s">
        <v>45</v>
      </c>
      <c r="Q641">
        <v>0</v>
      </c>
      <c r="R641">
        <v>0</v>
      </c>
      <c r="S641">
        <v>0</v>
      </c>
      <c r="T641" t="s">
        <v>46</v>
      </c>
      <c r="U641" t="s">
        <v>57</v>
      </c>
      <c r="V641">
        <v>0</v>
      </c>
      <c r="W641" t="s">
        <v>38</v>
      </c>
      <c r="X641">
        <v>20</v>
      </c>
      <c r="Z641">
        <v>0</v>
      </c>
      <c r="AA641" t="s">
        <v>51</v>
      </c>
      <c r="AB641">
        <v>82</v>
      </c>
      <c r="AC641">
        <v>0</v>
      </c>
      <c r="AD641">
        <v>0</v>
      </c>
      <c r="AE641" t="s">
        <v>40</v>
      </c>
      <c r="AF641" s="1">
        <v>42266</v>
      </c>
    </row>
    <row r="642" spans="1:32" x14ac:dyDescent="0.25">
      <c r="A642" t="s">
        <v>32</v>
      </c>
      <c r="B642">
        <v>0</v>
      </c>
      <c r="C642">
        <v>0</v>
      </c>
      <c r="D642">
        <v>2016</v>
      </c>
      <c r="E642" t="s">
        <v>66</v>
      </c>
      <c r="F642">
        <v>9</v>
      </c>
      <c r="G642">
        <v>27</v>
      </c>
      <c r="H642">
        <v>0</v>
      </c>
      <c r="I642">
        <v>1</v>
      </c>
      <c r="J642">
        <v>2</v>
      </c>
      <c r="K642">
        <v>1</v>
      </c>
      <c r="L642">
        <v>0</v>
      </c>
      <c r="M642" t="s">
        <v>60</v>
      </c>
      <c r="N642" t="s">
        <v>43</v>
      </c>
      <c r="O642" t="s">
        <v>44</v>
      </c>
      <c r="P642" t="s">
        <v>45</v>
      </c>
      <c r="Q642">
        <v>0</v>
      </c>
      <c r="R642">
        <v>0</v>
      </c>
      <c r="S642">
        <v>0</v>
      </c>
      <c r="T642" t="s">
        <v>84</v>
      </c>
      <c r="U642" t="s">
        <v>84</v>
      </c>
      <c r="V642">
        <v>0</v>
      </c>
      <c r="W642" t="s">
        <v>38</v>
      </c>
      <c r="X642">
        <v>240</v>
      </c>
      <c r="Z642">
        <v>0</v>
      </c>
      <c r="AA642" t="s">
        <v>39</v>
      </c>
      <c r="AB642">
        <v>146</v>
      </c>
      <c r="AC642">
        <v>1</v>
      </c>
      <c r="AD642">
        <v>0</v>
      </c>
      <c r="AE642" t="s">
        <v>40</v>
      </c>
      <c r="AF642" s="1">
        <v>42428</v>
      </c>
    </row>
    <row r="643" spans="1:32" x14ac:dyDescent="0.25">
      <c r="A643" t="s">
        <v>32</v>
      </c>
      <c r="B643">
        <v>1</v>
      </c>
      <c r="C643">
        <v>18</v>
      </c>
      <c r="D643">
        <v>2016</v>
      </c>
      <c r="E643" t="s">
        <v>69</v>
      </c>
      <c r="F643">
        <v>22</v>
      </c>
      <c r="G643">
        <v>27</v>
      </c>
      <c r="H643">
        <v>0</v>
      </c>
      <c r="I643">
        <v>2</v>
      </c>
      <c r="J643">
        <v>2</v>
      </c>
      <c r="K643">
        <v>2</v>
      </c>
      <c r="L643">
        <v>0</v>
      </c>
      <c r="M643" t="s">
        <v>34</v>
      </c>
      <c r="N643" t="s">
        <v>71</v>
      </c>
      <c r="O643" t="s">
        <v>44</v>
      </c>
      <c r="P643" t="s">
        <v>45</v>
      </c>
      <c r="Q643">
        <v>0</v>
      </c>
      <c r="R643">
        <v>0</v>
      </c>
      <c r="S643">
        <v>0</v>
      </c>
      <c r="T643" t="s">
        <v>84</v>
      </c>
      <c r="U643" t="s">
        <v>84</v>
      </c>
      <c r="V643">
        <v>0</v>
      </c>
      <c r="W643" t="s">
        <v>38</v>
      </c>
      <c r="X643">
        <v>240</v>
      </c>
      <c r="Z643">
        <v>0</v>
      </c>
      <c r="AA643" t="s">
        <v>39</v>
      </c>
      <c r="AB643">
        <v>145</v>
      </c>
      <c r="AC643">
        <v>0</v>
      </c>
      <c r="AD643">
        <v>1</v>
      </c>
      <c r="AE643" t="s">
        <v>47</v>
      </c>
      <c r="AF643" s="1">
        <v>42504</v>
      </c>
    </row>
    <row r="644" spans="1:32" x14ac:dyDescent="0.25">
      <c r="A644" t="s">
        <v>41</v>
      </c>
      <c r="B644">
        <v>1</v>
      </c>
      <c r="C644">
        <v>129</v>
      </c>
      <c r="D644">
        <v>2017</v>
      </c>
      <c r="E644" t="s">
        <v>83</v>
      </c>
      <c r="F644">
        <v>22</v>
      </c>
      <c r="G644">
        <v>2</v>
      </c>
      <c r="H644">
        <v>1</v>
      </c>
      <c r="I644">
        <v>2</v>
      </c>
      <c r="J644">
        <v>2</v>
      </c>
      <c r="K644">
        <v>0</v>
      </c>
      <c r="L644">
        <v>0</v>
      </c>
      <c r="M644" t="s">
        <v>34</v>
      </c>
      <c r="N644" t="s">
        <v>43</v>
      </c>
      <c r="O644" t="s">
        <v>64</v>
      </c>
      <c r="P644" t="s">
        <v>45</v>
      </c>
      <c r="Q644">
        <v>0</v>
      </c>
      <c r="R644">
        <v>0</v>
      </c>
      <c r="S644">
        <v>0</v>
      </c>
      <c r="T644" t="s">
        <v>46</v>
      </c>
      <c r="U644" t="s">
        <v>46</v>
      </c>
      <c r="V644">
        <v>0</v>
      </c>
      <c r="W644" t="s">
        <v>68</v>
      </c>
      <c r="X644">
        <v>154</v>
      </c>
      <c r="Z644">
        <v>0</v>
      </c>
      <c r="AA644" t="s">
        <v>39</v>
      </c>
      <c r="AB644">
        <v>130</v>
      </c>
      <c r="AC644">
        <v>0</v>
      </c>
      <c r="AD644">
        <v>0</v>
      </c>
      <c r="AE644" t="s">
        <v>47</v>
      </c>
      <c r="AF644" s="1">
        <v>42759</v>
      </c>
    </row>
    <row r="645" spans="1:32" x14ac:dyDescent="0.25">
      <c r="A645" t="s">
        <v>41</v>
      </c>
      <c r="B645">
        <v>0</v>
      </c>
      <c r="C645">
        <v>9</v>
      </c>
      <c r="D645">
        <v>2015</v>
      </c>
      <c r="E645" t="s">
        <v>67</v>
      </c>
      <c r="F645">
        <v>34</v>
      </c>
      <c r="G645">
        <v>19</v>
      </c>
      <c r="H645">
        <v>0</v>
      </c>
      <c r="I645">
        <v>3</v>
      </c>
      <c r="J645">
        <v>2</v>
      </c>
      <c r="K645">
        <v>0</v>
      </c>
      <c r="L645">
        <v>0</v>
      </c>
      <c r="M645" t="s">
        <v>34</v>
      </c>
      <c r="N645" t="s">
        <v>70</v>
      </c>
      <c r="O645" t="s">
        <v>44</v>
      </c>
      <c r="P645" t="s">
        <v>45</v>
      </c>
      <c r="Q645">
        <v>0</v>
      </c>
      <c r="R645">
        <v>0</v>
      </c>
      <c r="S645">
        <v>0</v>
      </c>
      <c r="T645" t="s">
        <v>46</v>
      </c>
      <c r="U645" t="s">
        <v>46</v>
      </c>
      <c r="V645">
        <v>0</v>
      </c>
      <c r="W645" t="s">
        <v>38</v>
      </c>
      <c r="X645">
        <v>9</v>
      </c>
      <c r="Z645">
        <v>0</v>
      </c>
      <c r="AA645" t="s">
        <v>39</v>
      </c>
      <c r="AB645">
        <v>81</v>
      </c>
      <c r="AC645">
        <v>0</v>
      </c>
      <c r="AD645">
        <v>1</v>
      </c>
      <c r="AE645" t="s">
        <v>40</v>
      </c>
      <c r="AF645" s="1">
        <v>42238</v>
      </c>
    </row>
    <row r="646" spans="1:32" x14ac:dyDescent="0.25">
      <c r="A646" t="s">
        <v>41</v>
      </c>
      <c r="B646">
        <v>1</v>
      </c>
      <c r="C646">
        <v>304</v>
      </c>
      <c r="D646">
        <v>2015</v>
      </c>
      <c r="E646" t="s">
        <v>67</v>
      </c>
      <c r="F646">
        <v>34</v>
      </c>
      <c r="G646">
        <v>17</v>
      </c>
      <c r="H646">
        <v>1</v>
      </c>
      <c r="I646">
        <v>1</v>
      </c>
      <c r="J646">
        <v>2</v>
      </c>
      <c r="K646">
        <v>0</v>
      </c>
      <c r="L646">
        <v>0</v>
      </c>
      <c r="M646" t="s">
        <v>34</v>
      </c>
      <c r="N646" t="s">
        <v>43</v>
      </c>
      <c r="O646" t="s">
        <v>64</v>
      </c>
      <c r="P646" t="s">
        <v>45</v>
      </c>
      <c r="Q646">
        <v>0</v>
      </c>
      <c r="R646">
        <v>1</v>
      </c>
      <c r="S646">
        <v>0</v>
      </c>
      <c r="T646" t="s">
        <v>46</v>
      </c>
      <c r="U646" t="s">
        <v>46</v>
      </c>
      <c r="V646">
        <v>0</v>
      </c>
      <c r="W646" t="s">
        <v>68</v>
      </c>
      <c r="X646">
        <v>1</v>
      </c>
      <c r="Z646">
        <v>0</v>
      </c>
      <c r="AA646" t="s">
        <v>73</v>
      </c>
      <c r="AB646">
        <v>62</v>
      </c>
      <c r="AC646">
        <v>0</v>
      </c>
      <c r="AD646">
        <v>0</v>
      </c>
      <c r="AE646" t="s">
        <v>47</v>
      </c>
      <c r="AF646" s="1">
        <v>42005</v>
      </c>
    </row>
    <row r="647" spans="1:32" x14ac:dyDescent="0.25">
      <c r="A647" t="s">
        <v>32</v>
      </c>
      <c r="B647">
        <v>0</v>
      </c>
      <c r="C647">
        <v>0</v>
      </c>
      <c r="D647">
        <v>2015</v>
      </c>
      <c r="E647" t="s">
        <v>61</v>
      </c>
      <c r="F647">
        <v>45</v>
      </c>
      <c r="G647">
        <v>3</v>
      </c>
      <c r="H647">
        <v>0</v>
      </c>
      <c r="I647">
        <v>1</v>
      </c>
      <c r="J647">
        <v>1</v>
      </c>
      <c r="K647">
        <v>0</v>
      </c>
      <c r="L647">
        <v>0</v>
      </c>
      <c r="M647" t="s">
        <v>34</v>
      </c>
      <c r="O647" t="s">
        <v>36</v>
      </c>
      <c r="P647" t="s">
        <v>36</v>
      </c>
      <c r="Q647">
        <v>0</v>
      </c>
      <c r="R647">
        <v>0</v>
      </c>
      <c r="S647">
        <v>0</v>
      </c>
      <c r="T647" t="s">
        <v>46</v>
      </c>
      <c r="U647" t="s">
        <v>46</v>
      </c>
      <c r="V647">
        <v>0</v>
      </c>
      <c r="W647" t="s">
        <v>38</v>
      </c>
      <c r="Z647">
        <v>0</v>
      </c>
      <c r="AA647" t="s">
        <v>39</v>
      </c>
      <c r="AB647">
        <v>40</v>
      </c>
      <c r="AC647">
        <v>0</v>
      </c>
      <c r="AD647">
        <v>0</v>
      </c>
      <c r="AE647" t="s">
        <v>40</v>
      </c>
      <c r="AF647" s="1">
        <v>42312</v>
      </c>
    </row>
    <row r="648" spans="1:32" x14ac:dyDescent="0.25">
      <c r="A648" t="s">
        <v>32</v>
      </c>
      <c r="B648">
        <v>1</v>
      </c>
      <c r="C648">
        <v>260</v>
      </c>
      <c r="D648">
        <v>2015</v>
      </c>
      <c r="E648" t="s">
        <v>62</v>
      </c>
      <c r="F648">
        <v>38</v>
      </c>
      <c r="G648">
        <v>19</v>
      </c>
      <c r="H648">
        <v>2</v>
      </c>
      <c r="I648">
        <v>5</v>
      </c>
      <c r="J648">
        <v>2</v>
      </c>
      <c r="K648">
        <v>0</v>
      </c>
      <c r="L648">
        <v>0</v>
      </c>
      <c r="M648" t="s">
        <v>34</v>
      </c>
      <c r="N648" t="s">
        <v>43</v>
      </c>
      <c r="O648" t="s">
        <v>49</v>
      </c>
      <c r="P648" t="s">
        <v>45</v>
      </c>
      <c r="Q648">
        <v>0</v>
      </c>
      <c r="R648">
        <v>1</v>
      </c>
      <c r="S648">
        <v>0</v>
      </c>
      <c r="T648" t="s">
        <v>46</v>
      </c>
      <c r="U648" t="s">
        <v>46</v>
      </c>
      <c r="V648">
        <v>0</v>
      </c>
      <c r="W648" t="s">
        <v>68</v>
      </c>
      <c r="X648">
        <v>96</v>
      </c>
      <c r="Z648">
        <v>0</v>
      </c>
      <c r="AA648" t="s">
        <v>39</v>
      </c>
      <c r="AB648">
        <v>54.99</v>
      </c>
      <c r="AC648">
        <v>0</v>
      </c>
      <c r="AD648">
        <v>0</v>
      </c>
      <c r="AE648" t="s">
        <v>47</v>
      </c>
      <c r="AF648" s="1">
        <v>42172</v>
      </c>
    </row>
    <row r="649" spans="1:32" x14ac:dyDescent="0.25">
      <c r="A649" t="s">
        <v>32</v>
      </c>
      <c r="B649">
        <v>0</v>
      </c>
      <c r="C649">
        <v>96</v>
      </c>
      <c r="D649">
        <v>2017</v>
      </c>
      <c r="E649" t="s">
        <v>52</v>
      </c>
      <c r="F649">
        <v>11</v>
      </c>
      <c r="G649">
        <v>12</v>
      </c>
      <c r="H649">
        <v>4</v>
      </c>
      <c r="I649">
        <v>7</v>
      </c>
      <c r="J649">
        <v>2</v>
      </c>
      <c r="K649">
        <v>0</v>
      </c>
      <c r="L649">
        <v>0</v>
      </c>
      <c r="M649" t="s">
        <v>60</v>
      </c>
      <c r="N649" t="s">
        <v>35</v>
      </c>
      <c r="O649" t="s">
        <v>64</v>
      </c>
      <c r="P649" t="s">
        <v>45</v>
      </c>
      <c r="Q649">
        <v>0</v>
      </c>
      <c r="R649">
        <v>0</v>
      </c>
      <c r="S649">
        <v>0</v>
      </c>
      <c r="T649" t="s">
        <v>46</v>
      </c>
      <c r="U649" t="s">
        <v>46</v>
      </c>
      <c r="V649">
        <v>0</v>
      </c>
      <c r="W649" t="s">
        <v>38</v>
      </c>
      <c r="Z649">
        <v>0</v>
      </c>
      <c r="AA649" t="s">
        <v>51</v>
      </c>
      <c r="AB649">
        <v>52.55</v>
      </c>
      <c r="AC649">
        <v>0</v>
      </c>
      <c r="AD649">
        <v>0</v>
      </c>
      <c r="AE649" t="s">
        <v>40</v>
      </c>
      <c r="AF649" s="1">
        <v>42817</v>
      </c>
    </row>
    <row r="650" spans="1:32" x14ac:dyDescent="0.25">
      <c r="A650" t="s">
        <v>32</v>
      </c>
      <c r="B650">
        <v>1</v>
      </c>
      <c r="C650">
        <v>172</v>
      </c>
      <c r="D650">
        <v>2017</v>
      </c>
      <c r="E650" t="s">
        <v>67</v>
      </c>
      <c r="F650">
        <v>34</v>
      </c>
      <c r="G650">
        <v>26</v>
      </c>
      <c r="H650">
        <v>0</v>
      </c>
      <c r="I650">
        <v>1</v>
      </c>
      <c r="J650">
        <v>3</v>
      </c>
      <c r="K650">
        <v>0</v>
      </c>
      <c r="L650">
        <v>0</v>
      </c>
      <c r="M650" t="s">
        <v>34</v>
      </c>
      <c r="N650" t="s">
        <v>43</v>
      </c>
      <c r="O650" t="s">
        <v>36</v>
      </c>
      <c r="P650" t="s">
        <v>36</v>
      </c>
      <c r="Q650">
        <v>0</v>
      </c>
      <c r="R650">
        <v>0</v>
      </c>
      <c r="S650">
        <v>0</v>
      </c>
      <c r="T650" t="s">
        <v>46</v>
      </c>
      <c r="U650" t="s">
        <v>46</v>
      </c>
      <c r="V650">
        <v>0</v>
      </c>
      <c r="W650" t="s">
        <v>38</v>
      </c>
      <c r="X650">
        <v>250</v>
      </c>
      <c r="Z650">
        <v>0</v>
      </c>
      <c r="AA650" t="s">
        <v>39</v>
      </c>
      <c r="AB650">
        <v>207</v>
      </c>
      <c r="AC650">
        <v>0</v>
      </c>
      <c r="AD650">
        <v>0</v>
      </c>
      <c r="AE650" t="s">
        <v>47</v>
      </c>
      <c r="AF650" s="1">
        <v>42802</v>
      </c>
    </row>
    <row r="651" spans="1:32" x14ac:dyDescent="0.25">
      <c r="A651" t="s">
        <v>41</v>
      </c>
      <c r="B651">
        <v>0</v>
      </c>
      <c r="C651">
        <v>39</v>
      </c>
      <c r="D651">
        <v>2015</v>
      </c>
      <c r="E651" t="s">
        <v>67</v>
      </c>
      <c r="F651">
        <v>33</v>
      </c>
      <c r="G651">
        <v>14</v>
      </c>
      <c r="H651">
        <v>0</v>
      </c>
      <c r="I651">
        <v>2</v>
      </c>
      <c r="J651">
        <v>2</v>
      </c>
      <c r="K651">
        <v>0</v>
      </c>
      <c r="L651">
        <v>0</v>
      </c>
      <c r="M651" t="s">
        <v>60</v>
      </c>
      <c r="N651" t="s">
        <v>56</v>
      </c>
      <c r="O651" t="s">
        <v>49</v>
      </c>
      <c r="P651" t="s">
        <v>45</v>
      </c>
      <c r="Q651">
        <v>0</v>
      </c>
      <c r="R651">
        <v>0</v>
      </c>
      <c r="S651">
        <v>0</v>
      </c>
      <c r="T651" t="s">
        <v>46</v>
      </c>
      <c r="U651" t="s">
        <v>46</v>
      </c>
      <c r="V651">
        <v>0</v>
      </c>
      <c r="W651" t="s">
        <v>38</v>
      </c>
      <c r="X651">
        <v>6</v>
      </c>
      <c r="Z651">
        <v>0</v>
      </c>
      <c r="AA651" t="s">
        <v>51</v>
      </c>
      <c r="AB651">
        <v>109</v>
      </c>
      <c r="AC651">
        <v>0</v>
      </c>
      <c r="AD651">
        <v>0</v>
      </c>
      <c r="AE651" t="s">
        <v>40</v>
      </c>
      <c r="AF651" s="1">
        <v>42232</v>
      </c>
    </row>
    <row r="652" spans="1:32" x14ac:dyDescent="0.25">
      <c r="A652" t="s">
        <v>41</v>
      </c>
      <c r="B652">
        <v>0</v>
      </c>
      <c r="C652">
        <v>65</v>
      </c>
      <c r="D652">
        <v>2016</v>
      </c>
      <c r="E652" t="s">
        <v>52</v>
      </c>
      <c r="F652">
        <v>14</v>
      </c>
      <c r="G652">
        <v>28</v>
      </c>
      <c r="H652">
        <v>1</v>
      </c>
      <c r="I652">
        <v>2</v>
      </c>
      <c r="J652">
        <v>2</v>
      </c>
      <c r="K652">
        <v>1</v>
      </c>
      <c r="L652">
        <v>0</v>
      </c>
      <c r="M652" t="s">
        <v>34</v>
      </c>
      <c r="N652" t="s">
        <v>43</v>
      </c>
      <c r="O652" t="s">
        <v>44</v>
      </c>
      <c r="P652" t="s">
        <v>45</v>
      </c>
      <c r="Q652">
        <v>0</v>
      </c>
      <c r="R652">
        <v>0</v>
      </c>
      <c r="S652">
        <v>0</v>
      </c>
      <c r="T652" t="s">
        <v>46</v>
      </c>
      <c r="U652" t="s">
        <v>57</v>
      </c>
      <c r="V652">
        <v>0</v>
      </c>
      <c r="W652" t="s">
        <v>38</v>
      </c>
      <c r="X652">
        <v>9</v>
      </c>
      <c r="Z652">
        <v>0</v>
      </c>
      <c r="AA652" t="s">
        <v>51</v>
      </c>
      <c r="AB652">
        <v>103.5</v>
      </c>
      <c r="AC652">
        <v>0</v>
      </c>
      <c r="AD652">
        <v>2</v>
      </c>
      <c r="AE652" t="s">
        <v>40</v>
      </c>
      <c r="AF652" s="1">
        <v>42460</v>
      </c>
    </row>
    <row r="653" spans="1:32" x14ac:dyDescent="0.25">
      <c r="A653" t="s">
        <v>41</v>
      </c>
      <c r="B653">
        <v>0</v>
      </c>
      <c r="C653">
        <v>0</v>
      </c>
      <c r="D653">
        <v>2016</v>
      </c>
      <c r="E653" t="s">
        <v>69</v>
      </c>
      <c r="F653">
        <v>20</v>
      </c>
      <c r="G653">
        <v>14</v>
      </c>
      <c r="H653">
        <v>0</v>
      </c>
      <c r="I653">
        <v>1</v>
      </c>
      <c r="J653">
        <v>2</v>
      </c>
      <c r="K653">
        <v>0</v>
      </c>
      <c r="L653">
        <v>0</v>
      </c>
      <c r="M653" t="s">
        <v>34</v>
      </c>
      <c r="N653" t="s">
        <v>43</v>
      </c>
      <c r="O653" t="s">
        <v>116</v>
      </c>
      <c r="P653" t="s">
        <v>36</v>
      </c>
      <c r="Q653">
        <v>0</v>
      </c>
      <c r="R653">
        <v>0</v>
      </c>
      <c r="S653">
        <v>0</v>
      </c>
      <c r="T653" t="s">
        <v>46</v>
      </c>
      <c r="U653" t="s">
        <v>86</v>
      </c>
      <c r="V653">
        <v>0</v>
      </c>
      <c r="W653" t="s">
        <v>38</v>
      </c>
      <c r="Z653">
        <v>0</v>
      </c>
      <c r="AA653" t="s">
        <v>39</v>
      </c>
      <c r="AB653">
        <v>0</v>
      </c>
      <c r="AC653">
        <v>0</v>
      </c>
      <c r="AD653">
        <v>0</v>
      </c>
      <c r="AE653" t="s">
        <v>40</v>
      </c>
      <c r="AF653" s="1">
        <v>42505</v>
      </c>
    </row>
    <row r="654" spans="1:32" x14ac:dyDescent="0.25">
      <c r="A654" t="s">
        <v>32</v>
      </c>
      <c r="B654">
        <v>0</v>
      </c>
      <c r="C654">
        <v>126</v>
      </c>
      <c r="D654">
        <v>2017</v>
      </c>
      <c r="E654" t="s">
        <v>69</v>
      </c>
      <c r="F654">
        <v>18</v>
      </c>
      <c r="G654">
        <v>2</v>
      </c>
      <c r="H654">
        <v>0</v>
      </c>
      <c r="I654">
        <v>2</v>
      </c>
      <c r="J654">
        <v>2</v>
      </c>
      <c r="K654">
        <v>0</v>
      </c>
      <c r="L654">
        <v>0</v>
      </c>
      <c r="M654" t="s">
        <v>34</v>
      </c>
      <c r="N654" t="s">
        <v>56</v>
      </c>
      <c r="O654" t="s">
        <v>49</v>
      </c>
      <c r="P654" t="s">
        <v>45</v>
      </c>
      <c r="Q654">
        <v>0</v>
      </c>
      <c r="R654">
        <v>0</v>
      </c>
      <c r="S654">
        <v>0</v>
      </c>
      <c r="T654" t="s">
        <v>72</v>
      </c>
      <c r="U654" t="s">
        <v>72</v>
      </c>
      <c r="V654">
        <v>0</v>
      </c>
      <c r="W654" t="s">
        <v>38</v>
      </c>
      <c r="X654">
        <v>6</v>
      </c>
      <c r="Z654">
        <v>0</v>
      </c>
      <c r="AA654" t="s">
        <v>39</v>
      </c>
      <c r="AB654">
        <v>64.8</v>
      </c>
      <c r="AC654">
        <v>1</v>
      </c>
      <c r="AD654">
        <v>0</v>
      </c>
      <c r="AE654" t="s">
        <v>40</v>
      </c>
      <c r="AF654" s="1">
        <v>42859</v>
      </c>
    </row>
    <row r="655" spans="1:32" x14ac:dyDescent="0.25">
      <c r="A655" t="s">
        <v>41</v>
      </c>
      <c r="B655">
        <v>1</v>
      </c>
      <c r="C655">
        <v>68</v>
      </c>
      <c r="D655">
        <v>2016</v>
      </c>
      <c r="E655" t="s">
        <v>66</v>
      </c>
      <c r="F655">
        <v>8</v>
      </c>
      <c r="G655">
        <v>17</v>
      </c>
      <c r="H655">
        <v>0</v>
      </c>
      <c r="I655">
        <v>2</v>
      </c>
      <c r="J655">
        <v>2</v>
      </c>
      <c r="K655">
        <v>0</v>
      </c>
      <c r="L655">
        <v>0</v>
      </c>
      <c r="M655" t="s">
        <v>34</v>
      </c>
      <c r="N655" t="s">
        <v>43</v>
      </c>
      <c r="O655" t="s">
        <v>64</v>
      </c>
      <c r="P655" t="s">
        <v>45</v>
      </c>
      <c r="Q655">
        <v>0</v>
      </c>
      <c r="R655">
        <v>1</v>
      </c>
      <c r="S655">
        <v>0</v>
      </c>
      <c r="T655" t="s">
        <v>46</v>
      </c>
      <c r="U655" t="s">
        <v>46</v>
      </c>
      <c r="V655">
        <v>0</v>
      </c>
      <c r="W655" t="s">
        <v>68</v>
      </c>
      <c r="X655">
        <v>37</v>
      </c>
      <c r="Z655">
        <v>0</v>
      </c>
      <c r="AA655" t="s">
        <v>39</v>
      </c>
      <c r="AB655">
        <v>75</v>
      </c>
      <c r="AC655">
        <v>0</v>
      </c>
      <c r="AD655">
        <v>0</v>
      </c>
      <c r="AE655" t="s">
        <v>47</v>
      </c>
      <c r="AF655" s="1">
        <v>42375</v>
      </c>
    </row>
    <row r="656" spans="1:32" x14ac:dyDescent="0.25">
      <c r="A656" t="s">
        <v>41</v>
      </c>
      <c r="B656">
        <v>0</v>
      </c>
      <c r="C656">
        <v>27</v>
      </c>
      <c r="D656">
        <v>2017</v>
      </c>
      <c r="E656" t="s">
        <v>42</v>
      </c>
      <c r="F656">
        <v>27</v>
      </c>
      <c r="G656">
        <v>2</v>
      </c>
      <c r="H656">
        <v>2</v>
      </c>
      <c r="I656">
        <v>0</v>
      </c>
      <c r="J656">
        <v>2</v>
      </c>
      <c r="K656">
        <v>2</v>
      </c>
      <c r="L656">
        <v>0</v>
      </c>
      <c r="M656" t="s">
        <v>34</v>
      </c>
      <c r="N656" t="s">
        <v>48</v>
      </c>
      <c r="O656" t="s">
        <v>44</v>
      </c>
      <c r="P656" t="s">
        <v>45</v>
      </c>
      <c r="Q656">
        <v>0</v>
      </c>
      <c r="R656">
        <v>0</v>
      </c>
      <c r="S656">
        <v>0</v>
      </c>
      <c r="T656" t="s">
        <v>37</v>
      </c>
      <c r="U656" t="s">
        <v>37</v>
      </c>
      <c r="V656">
        <v>2</v>
      </c>
      <c r="W656" t="s">
        <v>38</v>
      </c>
      <c r="X656">
        <v>9</v>
      </c>
      <c r="Z656">
        <v>0</v>
      </c>
      <c r="AA656" t="s">
        <v>39</v>
      </c>
      <c r="AB656">
        <v>250</v>
      </c>
      <c r="AC656">
        <v>0</v>
      </c>
      <c r="AD656">
        <v>0</v>
      </c>
      <c r="AE656" t="s">
        <v>40</v>
      </c>
      <c r="AF656" s="1">
        <v>42920</v>
      </c>
    </row>
    <row r="657" spans="1:32" x14ac:dyDescent="0.25">
      <c r="A657" t="s">
        <v>32</v>
      </c>
      <c r="B657">
        <v>0</v>
      </c>
      <c r="C657">
        <v>44</v>
      </c>
      <c r="D657">
        <v>2016</v>
      </c>
      <c r="E657" t="s">
        <v>69</v>
      </c>
      <c r="F657">
        <v>21</v>
      </c>
      <c r="G657">
        <v>18</v>
      </c>
      <c r="H657">
        <v>0</v>
      </c>
      <c r="I657">
        <v>2</v>
      </c>
      <c r="J657">
        <v>2</v>
      </c>
      <c r="K657">
        <v>0</v>
      </c>
      <c r="L657">
        <v>0</v>
      </c>
      <c r="M657" t="s">
        <v>34</v>
      </c>
      <c r="N657" t="s">
        <v>63</v>
      </c>
      <c r="O657" t="s">
        <v>44</v>
      </c>
      <c r="P657" t="s">
        <v>45</v>
      </c>
      <c r="Q657">
        <v>0</v>
      </c>
      <c r="R657">
        <v>0</v>
      </c>
      <c r="S657">
        <v>0</v>
      </c>
      <c r="T657" t="s">
        <v>46</v>
      </c>
      <c r="U657" t="s">
        <v>46</v>
      </c>
      <c r="V657">
        <v>0</v>
      </c>
      <c r="W657" t="s">
        <v>38</v>
      </c>
      <c r="X657">
        <v>240</v>
      </c>
      <c r="Z657">
        <v>0</v>
      </c>
      <c r="AA657" t="s">
        <v>39</v>
      </c>
      <c r="AB657">
        <v>81</v>
      </c>
      <c r="AC657">
        <v>1</v>
      </c>
      <c r="AD657">
        <v>1</v>
      </c>
      <c r="AE657" t="s">
        <v>40</v>
      </c>
      <c r="AF657" s="1">
        <v>42510</v>
      </c>
    </row>
    <row r="658" spans="1:32" x14ac:dyDescent="0.25">
      <c r="A658" t="s">
        <v>32</v>
      </c>
      <c r="B658">
        <v>1</v>
      </c>
      <c r="C658">
        <v>157</v>
      </c>
      <c r="D658">
        <v>2017</v>
      </c>
      <c r="E658" t="s">
        <v>67</v>
      </c>
      <c r="F658">
        <v>34</v>
      </c>
      <c r="G658">
        <v>22</v>
      </c>
      <c r="H658">
        <v>0</v>
      </c>
      <c r="I658">
        <v>4</v>
      </c>
      <c r="J658">
        <v>2</v>
      </c>
      <c r="K658">
        <v>0</v>
      </c>
      <c r="L658">
        <v>0</v>
      </c>
      <c r="M658" t="s">
        <v>34</v>
      </c>
      <c r="N658" t="s">
        <v>35</v>
      </c>
      <c r="O658" t="s">
        <v>36</v>
      </c>
      <c r="P658" t="s">
        <v>36</v>
      </c>
      <c r="Q658">
        <v>0</v>
      </c>
      <c r="R658">
        <v>0</v>
      </c>
      <c r="S658">
        <v>0</v>
      </c>
      <c r="T658" t="s">
        <v>37</v>
      </c>
      <c r="U658" t="s">
        <v>37</v>
      </c>
      <c r="V658">
        <v>0</v>
      </c>
      <c r="W658" t="s">
        <v>38</v>
      </c>
      <c r="X658">
        <v>250</v>
      </c>
      <c r="Z658">
        <v>0</v>
      </c>
      <c r="AA658" t="s">
        <v>39</v>
      </c>
      <c r="AB658">
        <v>237.5</v>
      </c>
      <c r="AC658">
        <v>0</v>
      </c>
      <c r="AD658">
        <v>0</v>
      </c>
      <c r="AE658" t="s">
        <v>47</v>
      </c>
      <c r="AF658" s="1">
        <v>42921</v>
      </c>
    </row>
    <row r="659" spans="1:32" x14ac:dyDescent="0.25">
      <c r="A659" t="s">
        <v>41</v>
      </c>
      <c r="B659">
        <v>1</v>
      </c>
      <c r="C659">
        <v>19</v>
      </c>
      <c r="D659">
        <v>2015</v>
      </c>
      <c r="E659" t="s">
        <v>62</v>
      </c>
      <c r="F659">
        <v>39</v>
      </c>
      <c r="G659">
        <v>21</v>
      </c>
      <c r="H659">
        <v>1</v>
      </c>
      <c r="I659">
        <v>1</v>
      </c>
      <c r="J659">
        <v>2</v>
      </c>
      <c r="K659">
        <v>0</v>
      </c>
      <c r="L659">
        <v>0</v>
      </c>
      <c r="M659" t="s">
        <v>34</v>
      </c>
      <c r="N659" t="s">
        <v>43</v>
      </c>
      <c r="O659" t="s">
        <v>49</v>
      </c>
      <c r="P659" t="s">
        <v>45</v>
      </c>
      <c r="Q659">
        <v>0</v>
      </c>
      <c r="R659">
        <v>0</v>
      </c>
      <c r="S659">
        <v>0</v>
      </c>
      <c r="T659" t="s">
        <v>46</v>
      </c>
      <c r="U659" t="s">
        <v>46</v>
      </c>
      <c r="V659">
        <v>0</v>
      </c>
      <c r="W659" t="s">
        <v>38</v>
      </c>
      <c r="X659">
        <v>20</v>
      </c>
      <c r="Z659">
        <v>0</v>
      </c>
      <c r="AA659" t="s">
        <v>51</v>
      </c>
      <c r="AB659">
        <v>48</v>
      </c>
      <c r="AC659">
        <v>0</v>
      </c>
      <c r="AD659">
        <v>0</v>
      </c>
      <c r="AE659" t="s">
        <v>47</v>
      </c>
      <c r="AF659" s="1">
        <v>42258</v>
      </c>
    </row>
    <row r="660" spans="1:32" x14ac:dyDescent="0.25">
      <c r="A660" t="s">
        <v>41</v>
      </c>
      <c r="B660">
        <v>0</v>
      </c>
      <c r="C660">
        <v>0</v>
      </c>
      <c r="D660">
        <v>2016</v>
      </c>
      <c r="E660" t="s">
        <v>54</v>
      </c>
      <c r="F660">
        <v>18</v>
      </c>
      <c r="G660">
        <v>29</v>
      </c>
      <c r="H660">
        <v>0</v>
      </c>
      <c r="I660">
        <v>2</v>
      </c>
      <c r="J660">
        <v>1</v>
      </c>
      <c r="K660">
        <v>0</v>
      </c>
      <c r="L660">
        <v>0</v>
      </c>
      <c r="M660" t="s">
        <v>34</v>
      </c>
      <c r="N660" t="s">
        <v>43</v>
      </c>
      <c r="O660" t="s">
        <v>64</v>
      </c>
      <c r="P660" t="s">
        <v>45</v>
      </c>
      <c r="Q660">
        <v>0</v>
      </c>
      <c r="R660">
        <v>0</v>
      </c>
      <c r="S660">
        <v>0</v>
      </c>
      <c r="T660" t="s">
        <v>46</v>
      </c>
      <c r="U660" t="s">
        <v>86</v>
      </c>
      <c r="V660">
        <v>0</v>
      </c>
      <c r="W660" t="s">
        <v>38</v>
      </c>
      <c r="X660">
        <v>29</v>
      </c>
      <c r="Z660">
        <v>0</v>
      </c>
      <c r="AA660" t="s">
        <v>51</v>
      </c>
      <c r="AB660">
        <v>100</v>
      </c>
      <c r="AC660">
        <v>0</v>
      </c>
      <c r="AD660">
        <v>0</v>
      </c>
      <c r="AE660" t="s">
        <v>40</v>
      </c>
      <c r="AF660" s="1">
        <v>42491</v>
      </c>
    </row>
    <row r="661" spans="1:32" x14ac:dyDescent="0.25">
      <c r="A661" t="s">
        <v>32</v>
      </c>
      <c r="B661">
        <v>0</v>
      </c>
      <c r="C661">
        <v>61</v>
      </c>
      <c r="D661">
        <v>2017</v>
      </c>
      <c r="E661" t="s">
        <v>69</v>
      </c>
      <c r="F661">
        <v>21</v>
      </c>
      <c r="G661">
        <v>26</v>
      </c>
      <c r="H661">
        <v>1</v>
      </c>
      <c r="I661">
        <v>2</v>
      </c>
      <c r="J661">
        <v>2</v>
      </c>
      <c r="K661">
        <v>0</v>
      </c>
      <c r="L661">
        <v>0</v>
      </c>
      <c r="M661" t="s">
        <v>34</v>
      </c>
      <c r="N661" t="s">
        <v>95</v>
      </c>
      <c r="O661" t="s">
        <v>44</v>
      </c>
      <c r="P661" t="s">
        <v>45</v>
      </c>
      <c r="Q661">
        <v>0</v>
      </c>
      <c r="R661">
        <v>0</v>
      </c>
      <c r="S661">
        <v>0</v>
      </c>
      <c r="T661" t="s">
        <v>46</v>
      </c>
      <c r="U661" t="s">
        <v>86</v>
      </c>
      <c r="V661">
        <v>0</v>
      </c>
      <c r="W661" t="s">
        <v>38</v>
      </c>
      <c r="X661">
        <v>241</v>
      </c>
      <c r="Z661">
        <v>0</v>
      </c>
      <c r="AA661" t="s">
        <v>39</v>
      </c>
      <c r="AB661">
        <v>68</v>
      </c>
      <c r="AC661">
        <v>0</v>
      </c>
      <c r="AD661">
        <v>1</v>
      </c>
      <c r="AE661" t="s">
        <v>40</v>
      </c>
      <c r="AF661" s="1">
        <v>42884</v>
      </c>
    </row>
    <row r="662" spans="1:32" x14ac:dyDescent="0.25">
      <c r="A662" t="s">
        <v>41</v>
      </c>
      <c r="B662">
        <v>0</v>
      </c>
      <c r="C662">
        <v>172</v>
      </c>
      <c r="D662">
        <v>2016</v>
      </c>
      <c r="E662" t="s">
        <v>42</v>
      </c>
      <c r="F662">
        <v>31</v>
      </c>
      <c r="G662">
        <v>26</v>
      </c>
      <c r="H662">
        <v>1</v>
      </c>
      <c r="I662">
        <v>5</v>
      </c>
      <c r="J662">
        <v>2</v>
      </c>
      <c r="K662">
        <v>0</v>
      </c>
      <c r="L662">
        <v>0</v>
      </c>
      <c r="M662" t="s">
        <v>34</v>
      </c>
      <c r="N662" t="s">
        <v>56</v>
      </c>
      <c r="O662" t="s">
        <v>49</v>
      </c>
      <c r="P662" t="s">
        <v>45</v>
      </c>
      <c r="Q662">
        <v>0</v>
      </c>
      <c r="R662">
        <v>0</v>
      </c>
      <c r="S662">
        <v>0</v>
      </c>
      <c r="T662" t="s">
        <v>46</v>
      </c>
      <c r="U662" t="s">
        <v>46</v>
      </c>
      <c r="V662">
        <v>0</v>
      </c>
      <c r="W662" t="s">
        <v>38</v>
      </c>
      <c r="X662">
        <v>27</v>
      </c>
      <c r="Z662">
        <v>0</v>
      </c>
      <c r="AA662" t="s">
        <v>39</v>
      </c>
      <c r="AB662">
        <v>72.25</v>
      </c>
      <c r="AC662">
        <v>0</v>
      </c>
      <c r="AD662">
        <v>0</v>
      </c>
      <c r="AE662" t="s">
        <v>40</v>
      </c>
      <c r="AF662" s="1">
        <v>42583</v>
      </c>
    </row>
    <row r="663" spans="1:32" x14ac:dyDescent="0.25">
      <c r="A663" t="s">
        <v>41</v>
      </c>
      <c r="B663">
        <v>1</v>
      </c>
      <c r="C663">
        <v>199</v>
      </c>
      <c r="D663">
        <v>2016</v>
      </c>
      <c r="E663" t="s">
        <v>59</v>
      </c>
      <c r="F663">
        <v>44</v>
      </c>
      <c r="G663">
        <v>28</v>
      </c>
      <c r="H663">
        <v>0</v>
      </c>
      <c r="I663">
        <v>2</v>
      </c>
      <c r="J663">
        <v>2</v>
      </c>
      <c r="K663">
        <v>0</v>
      </c>
      <c r="L663">
        <v>0</v>
      </c>
      <c r="M663" t="s">
        <v>34</v>
      </c>
      <c r="N663" t="s">
        <v>43</v>
      </c>
      <c r="O663" t="s">
        <v>64</v>
      </c>
      <c r="P663" t="s">
        <v>45</v>
      </c>
      <c r="Q663">
        <v>0</v>
      </c>
      <c r="R663">
        <v>0</v>
      </c>
      <c r="S663">
        <v>0</v>
      </c>
      <c r="T663" t="s">
        <v>46</v>
      </c>
      <c r="U663" t="s">
        <v>46</v>
      </c>
      <c r="V663">
        <v>0</v>
      </c>
      <c r="W663" t="s">
        <v>38</v>
      </c>
      <c r="X663">
        <v>29</v>
      </c>
      <c r="Z663">
        <v>0</v>
      </c>
      <c r="AA663" t="s">
        <v>51</v>
      </c>
      <c r="AB663">
        <v>95</v>
      </c>
      <c r="AC663">
        <v>0</v>
      </c>
      <c r="AD663">
        <v>0</v>
      </c>
      <c r="AE663" t="s">
        <v>47</v>
      </c>
      <c r="AF663" s="1">
        <v>42664</v>
      </c>
    </row>
    <row r="664" spans="1:32" x14ac:dyDescent="0.25">
      <c r="A664" t="s">
        <v>41</v>
      </c>
      <c r="B664">
        <v>1</v>
      </c>
      <c r="C664">
        <v>267</v>
      </c>
      <c r="D664">
        <v>2016</v>
      </c>
      <c r="E664" t="s">
        <v>52</v>
      </c>
      <c r="F664">
        <v>14</v>
      </c>
      <c r="G664">
        <v>31</v>
      </c>
      <c r="H664">
        <v>0</v>
      </c>
      <c r="I664">
        <v>2</v>
      </c>
      <c r="J664">
        <v>2</v>
      </c>
      <c r="K664">
        <v>0</v>
      </c>
      <c r="L664">
        <v>0</v>
      </c>
      <c r="M664" t="s">
        <v>34</v>
      </c>
      <c r="N664" t="s">
        <v>43</v>
      </c>
      <c r="O664" t="s">
        <v>64</v>
      </c>
      <c r="P664" t="s">
        <v>45</v>
      </c>
      <c r="Q664">
        <v>0</v>
      </c>
      <c r="R664">
        <v>0</v>
      </c>
      <c r="S664">
        <v>0</v>
      </c>
      <c r="T664" t="s">
        <v>46</v>
      </c>
      <c r="U664" t="s">
        <v>46</v>
      </c>
      <c r="V664">
        <v>0</v>
      </c>
      <c r="W664" t="s">
        <v>68</v>
      </c>
      <c r="X664">
        <v>1</v>
      </c>
      <c r="Z664">
        <v>0</v>
      </c>
      <c r="AA664" t="s">
        <v>39</v>
      </c>
      <c r="AB664">
        <v>62</v>
      </c>
      <c r="AC664">
        <v>0</v>
      </c>
      <c r="AD664">
        <v>0</v>
      </c>
      <c r="AE664" t="s">
        <v>47</v>
      </c>
      <c r="AF664" s="1">
        <v>42298</v>
      </c>
    </row>
    <row r="665" spans="1:32" x14ac:dyDescent="0.25">
      <c r="A665" t="s">
        <v>41</v>
      </c>
      <c r="B665">
        <v>0</v>
      </c>
      <c r="C665">
        <v>39</v>
      </c>
      <c r="D665">
        <v>2017</v>
      </c>
      <c r="E665" t="s">
        <v>83</v>
      </c>
      <c r="F665">
        <v>23</v>
      </c>
      <c r="G665">
        <v>9</v>
      </c>
      <c r="H665">
        <v>0</v>
      </c>
      <c r="I665">
        <v>2</v>
      </c>
      <c r="J665">
        <v>3</v>
      </c>
      <c r="K665">
        <v>0</v>
      </c>
      <c r="L665">
        <v>0</v>
      </c>
      <c r="M665" t="s">
        <v>34</v>
      </c>
      <c r="N665" t="s">
        <v>63</v>
      </c>
      <c r="O665" t="s">
        <v>44</v>
      </c>
      <c r="P665" t="s">
        <v>45</v>
      </c>
      <c r="Q665">
        <v>0</v>
      </c>
      <c r="R665">
        <v>0</v>
      </c>
      <c r="S665">
        <v>0</v>
      </c>
      <c r="T665" t="s">
        <v>72</v>
      </c>
      <c r="U665" t="s">
        <v>72</v>
      </c>
      <c r="V665">
        <v>0</v>
      </c>
      <c r="W665" t="s">
        <v>38</v>
      </c>
      <c r="X665">
        <v>9</v>
      </c>
      <c r="Z665">
        <v>0</v>
      </c>
      <c r="AA665" t="s">
        <v>39</v>
      </c>
      <c r="AB665">
        <v>220</v>
      </c>
      <c r="AC665">
        <v>0</v>
      </c>
      <c r="AD665">
        <v>1</v>
      </c>
      <c r="AE665" t="s">
        <v>40</v>
      </c>
      <c r="AF665" s="1">
        <v>42897</v>
      </c>
    </row>
    <row r="666" spans="1:32" x14ac:dyDescent="0.25">
      <c r="A666" t="s">
        <v>32</v>
      </c>
      <c r="B666">
        <v>0</v>
      </c>
      <c r="C666">
        <v>26</v>
      </c>
      <c r="D666">
        <v>2017</v>
      </c>
      <c r="E666" t="s">
        <v>54</v>
      </c>
      <c r="F666">
        <v>16</v>
      </c>
      <c r="G666">
        <v>17</v>
      </c>
      <c r="H666">
        <v>1</v>
      </c>
      <c r="I666">
        <v>0</v>
      </c>
      <c r="J666">
        <v>1</v>
      </c>
      <c r="K666">
        <v>0</v>
      </c>
      <c r="L666">
        <v>0</v>
      </c>
      <c r="M666" t="s">
        <v>34</v>
      </c>
      <c r="N666" t="s">
        <v>43</v>
      </c>
      <c r="O666" t="s">
        <v>76</v>
      </c>
      <c r="P666" t="s">
        <v>76</v>
      </c>
      <c r="Q666">
        <v>0</v>
      </c>
      <c r="R666">
        <v>1</v>
      </c>
      <c r="S666">
        <v>8</v>
      </c>
      <c r="T666" t="s">
        <v>46</v>
      </c>
      <c r="U666" t="s">
        <v>46</v>
      </c>
      <c r="V666">
        <v>0</v>
      </c>
      <c r="W666" t="s">
        <v>38</v>
      </c>
      <c r="Y666">
        <v>82</v>
      </c>
      <c r="Z666">
        <v>0</v>
      </c>
      <c r="AA666" t="s">
        <v>39</v>
      </c>
      <c r="AB666">
        <v>45</v>
      </c>
      <c r="AC666">
        <v>0</v>
      </c>
      <c r="AD666">
        <v>0</v>
      </c>
      <c r="AE666" t="s">
        <v>40</v>
      </c>
      <c r="AF666" s="1">
        <v>42843</v>
      </c>
    </row>
    <row r="667" spans="1:32" x14ac:dyDescent="0.25">
      <c r="A667" t="s">
        <v>32</v>
      </c>
      <c r="B667">
        <v>1</v>
      </c>
      <c r="C667">
        <v>82</v>
      </c>
      <c r="D667">
        <v>2016</v>
      </c>
      <c r="E667" t="s">
        <v>66</v>
      </c>
      <c r="F667">
        <v>7</v>
      </c>
      <c r="G667">
        <v>7</v>
      </c>
      <c r="H667">
        <v>2</v>
      </c>
      <c r="I667">
        <v>0</v>
      </c>
      <c r="J667">
        <v>2</v>
      </c>
      <c r="K667">
        <v>0</v>
      </c>
      <c r="L667">
        <v>0</v>
      </c>
      <c r="M667" t="s">
        <v>77</v>
      </c>
      <c r="N667" t="s">
        <v>43</v>
      </c>
      <c r="O667" t="s">
        <v>64</v>
      </c>
      <c r="P667" t="s">
        <v>45</v>
      </c>
      <c r="Q667">
        <v>1</v>
      </c>
      <c r="R667">
        <v>1</v>
      </c>
      <c r="S667">
        <v>0</v>
      </c>
      <c r="T667" t="s">
        <v>46</v>
      </c>
      <c r="U667" t="s">
        <v>46</v>
      </c>
      <c r="V667">
        <v>0</v>
      </c>
      <c r="W667" t="s">
        <v>38</v>
      </c>
      <c r="X667">
        <v>67</v>
      </c>
      <c r="Z667">
        <v>0</v>
      </c>
      <c r="AA667" t="s">
        <v>51</v>
      </c>
      <c r="AB667">
        <v>66</v>
      </c>
      <c r="AC667">
        <v>0</v>
      </c>
      <c r="AD667">
        <v>0</v>
      </c>
      <c r="AE667" t="s">
        <v>47</v>
      </c>
      <c r="AF667" s="1">
        <v>42395</v>
      </c>
    </row>
    <row r="668" spans="1:32" x14ac:dyDescent="0.25">
      <c r="A668" t="s">
        <v>41</v>
      </c>
      <c r="B668">
        <v>1</v>
      </c>
      <c r="C668">
        <v>350</v>
      </c>
      <c r="D668">
        <v>2016</v>
      </c>
      <c r="E668" t="s">
        <v>62</v>
      </c>
      <c r="F668">
        <v>40</v>
      </c>
      <c r="G668">
        <v>30</v>
      </c>
      <c r="H668">
        <v>1</v>
      </c>
      <c r="I668">
        <v>2</v>
      </c>
      <c r="J668">
        <v>2</v>
      </c>
      <c r="K668">
        <v>0</v>
      </c>
      <c r="L668">
        <v>0</v>
      </c>
      <c r="M668" t="s">
        <v>34</v>
      </c>
      <c r="N668" t="s">
        <v>43</v>
      </c>
      <c r="O668" t="s">
        <v>49</v>
      </c>
      <c r="P668" t="s">
        <v>45</v>
      </c>
      <c r="Q668">
        <v>0</v>
      </c>
      <c r="R668">
        <v>1</v>
      </c>
      <c r="S668">
        <v>0</v>
      </c>
      <c r="T668" t="s">
        <v>46</v>
      </c>
      <c r="U668" t="s">
        <v>46</v>
      </c>
      <c r="V668">
        <v>0</v>
      </c>
      <c r="W668" t="s">
        <v>68</v>
      </c>
      <c r="X668">
        <v>4</v>
      </c>
      <c r="Z668">
        <v>17</v>
      </c>
      <c r="AA668" t="s">
        <v>39</v>
      </c>
      <c r="AB668">
        <v>90</v>
      </c>
      <c r="AC668">
        <v>0</v>
      </c>
      <c r="AD668">
        <v>0</v>
      </c>
      <c r="AE668" t="s">
        <v>47</v>
      </c>
      <c r="AF668" s="1">
        <v>42310</v>
      </c>
    </row>
    <row r="669" spans="1:32" x14ac:dyDescent="0.25">
      <c r="A669" t="s">
        <v>41</v>
      </c>
      <c r="B669">
        <v>1</v>
      </c>
      <c r="C669">
        <v>82</v>
      </c>
      <c r="D669">
        <v>2017</v>
      </c>
      <c r="E669" t="s">
        <v>69</v>
      </c>
      <c r="F669">
        <v>19</v>
      </c>
      <c r="G669">
        <v>8</v>
      </c>
      <c r="H669">
        <v>1</v>
      </c>
      <c r="I669">
        <v>5</v>
      </c>
      <c r="J669">
        <v>2</v>
      </c>
      <c r="K669">
        <v>0</v>
      </c>
      <c r="L669">
        <v>0</v>
      </c>
      <c r="M669" t="s">
        <v>34</v>
      </c>
      <c r="N669" t="s">
        <v>56</v>
      </c>
      <c r="O669" t="s">
        <v>44</v>
      </c>
      <c r="P669" t="s">
        <v>45</v>
      </c>
      <c r="Q669">
        <v>0</v>
      </c>
      <c r="R669">
        <v>0</v>
      </c>
      <c r="S669">
        <v>0</v>
      </c>
      <c r="T669" t="s">
        <v>57</v>
      </c>
      <c r="U669" t="s">
        <v>57</v>
      </c>
      <c r="V669">
        <v>0</v>
      </c>
      <c r="W669" t="s">
        <v>38</v>
      </c>
      <c r="X669">
        <v>9</v>
      </c>
      <c r="Z669">
        <v>0</v>
      </c>
      <c r="AA669" t="s">
        <v>39</v>
      </c>
      <c r="AB669">
        <v>141</v>
      </c>
      <c r="AC669">
        <v>0</v>
      </c>
      <c r="AD669">
        <v>0</v>
      </c>
      <c r="AE669" t="s">
        <v>47</v>
      </c>
      <c r="AF669" s="1">
        <v>42781</v>
      </c>
    </row>
    <row r="670" spans="1:32" x14ac:dyDescent="0.25">
      <c r="A670" t="s">
        <v>41</v>
      </c>
      <c r="B670">
        <v>0</v>
      </c>
      <c r="C670">
        <v>84</v>
      </c>
      <c r="D670">
        <v>2017</v>
      </c>
      <c r="E670" t="s">
        <v>52</v>
      </c>
      <c r="F670">
        <v>12</v>
      </c>
      <c r="G670">
        <v>25</v>
      </c>
      <c r="H670">
        <v>2</v>
      </c>
      <c r="I670">
        <v>2</v>
      </c>
      <c r="J670">
        <v>2</v>
      </c>
      <c r="K670">
        <v>0</v>
      </c>
      <c r="L670">
        <v>0</v>
      </c>
      <c r="M670" t="s">
        <v>34</v>
      </c>
      <c r="N670" t="s">
        <v>70</v>
      </c>
      <c r="O670" t="s">
        <v>44</v>
      </c>
      <c r="P670" t="s">
        <v>45</v>
      </c>
      <c r="Q670">
        <v>0</v>
      </c>
      <c r="R670">
        <v>0</v>
      </c>
      <c r="S670">
        <v>0</v>
      </c>
      <c r="T670" t="s">
        <v>57</v>
      </c>
      <c r="U670" t="s">
        <v>57</v>
      </c>
      <c r="V670">
        <v>0</v>
      </c>
      <c r="W670" t="s">
        <v>38</v>
      </c>
      <c r="X670">
        <v>9</v>
      </c>
      <c r="Z670">
        <v>0</v>
      </c>
      <c r="AA670" t="s">
        <v>39</v>
      </c>
      <c r="AB670">
        <v>100.3</v>
      </c>
      <c r="AC670">
        <v>0</v>
      </c>
      <c r="AD670">
        <v>1</v>
      </c>
      <c r="AE670" t="s">
        <v>40</v>
      </c>
      <c r="AF670" s="1">
        <v>42823</v>
      </c>
    </row>
    <row r="671" spans="1:32" x14ac:dyDescent="0.25">
      <c r="A671" t="s">
        <v>41</v>
      </c>
      <c r="B671">
        <v>0</v>
      </c>
      <c r="C671">
        <v>0</v>
      </c>
      <c r="D671">
        <v>2016</v>
      </c>
      <c r="E671" t="s">
        <v>83</v>
      </c>
      <c r="F671">
        <v>26</v>
      </c>
      <c r="G671">
        <v>20</v>
      </c>
      <c r="H671">
        <v>1</v>
      </c>
      <c r="I671">
        <v>1</v>
      </c>
      <c r="J671">
        <v>1</v>
      </c>
      <c r="K671">
        <v>0</v>
      </c>
      <c r="L671">
        <v>0</v>
      </c>
      <c r="M671" t="s">
        <v>34</v>
      </c>
      <c r="N671" t="s">
        <v>106</v>
      </c>
      <c r="O671" t="s">
        <v>36</v>
      </c>
      <c r="P671" t="s">
        <v>36</v>
      </c>
      <c r="Q671">
        <v>0</v>
      </c>
      <c r="R671">
        <v>0</v>
      </c>
      <c r="S671">
        <v>0</v>
      </c>
      <c r="T671" t="s">
        <v>46</v>
      </c>
      <c r="U671" t="s">
        <v>57</v>
      </c>
      <c r="V671">
        <v>1</v>
      </c>
      <c r="W671" t="s">
        <v>38</v>
      </c>
      <c r="Z671">
        <v>0</v>
      </c>
      <c r="AA671" t="s">
        <v>39</v>
      </c>
      <c r="AB671">
        <v>123.25</v>
      </c>
      <c r="AC671">
        <v>0</v>
      </c>
      <c r="AD671">
        <v>0</v>
      </c>
      <c r="AE671" t="s">
        <v>40</v>
      </c>
      <c r="AF671" s="1">
        <v>42543</v>
      </c>
    </row>
    <row r="672" spans="1:32" x14ac:dyDescent="0.25">
      <c r="A672" t="s">
        <v>32</v>
      </c>
      <c r="B672">
        <v>0</v>
      </c>
      <c r="C672">
        <v>191</v>
      </c>
      <c r="D672">
        <v>2016</v>
      </c>
      <c r="E672" t="s">
        <v>54</v>
      </c>
      <c r="F672">
        <v>17</v>
      </c>
      <c r="G672">
        <v>22</v>
      </c>
      <c r="H672">
        <v>1</v>
      </c>
      <c r="I672">
        <v>2</v>
      </c>
      <c r="J672">
        <v>2</v>
      </c>
      <c r="K672">
        <v>0</v>
      </c>
      <c r="L672">
        <v>0</v>
      </c>
      <c r="M672" t="s">
        <v>77</v>
      </c>
      <c r="N672" t="s">
        <v>43</v>
      </c>
      <c r="O672" t="s">
        <v>49</v>
      </c>
      <c r="P672" t="s">
        <v>45</v>
      </c>
      <c r="Q672">
        <v>0</v>
      </c>
      <c r="R672">
        <v>0</v>
      </c>
      <c r="S672">
        <v>0</v>
      </c>
      <c r="T672" t="s">
        <v>46</v>
      </c>
      <c r="U672" t="s">
        <v>46</v>
      </c>
      <c r="V672">
        <v>1</v>
      </c>
      <c r="W672" t="s">
        <v>38</v>
      </c>
      <c r="Z672">
        <v>0</v>
      </c>
      <c r="AA672" t="s">
        <v>51</v>
      </c>
      <c r="AB672">
        <v>85.33</v>
      </c>
      <c r="AC672">
        <v>0</v>
      </c>
      <c r="AD672">
        <v>0</v>
      </c>
      <c r="AE672" t="s">
        <v>40</v>
      </c>
      <c r="AF672" s="1">
        <v>42485</v>
      </c>
    </row>
    <row r="673" spans="1:32" x14ac:dyDescent="0.25">
      <c r="A673" t="s">
        <v>32</v>
      </c>
      <c r="B673">
        <v>0</v>
      </c>
      <c r="C673">
        <v>272</v>
      </c>
      <c r="D673">
        <v>2015</v>
      </c>
      <c r="E673" t="s">
        <v>62</v>
      </c>
      <c r="F673">
        <v>40</v>
      </c>
      <c r="G673">
        <v>30</v>
      </c>
      <c r="H673">
        <v>0</v>
      </c>
      <c r="I673">
        <v>3</v>
      </c>
      <c r="J673">
        <v>1</v>
      </c>
      <c r="K673">
        <v>0</v>
      </c>
      <c r="L673">
        <v>0</v>
      </c>
      <c r="M673" t="s">
        <v>60</v>
      </c>
      <c r="N673" t="s">
        <v>70</v>
      </c>
      <c r="O673" t="s">
        <v>49</v>
      </c>
      <c r="P673" t="s">
        <v>45</v>
      </c>
      <c r="Q673">
        <v>0</v>
      </c>
      <c r="R673">
        <v>0</v>
      </c>
      <c r="S673">
        <v>0</v>
      </c>
      <c r="T673" t="s">
        <v>46</v>
      </c>
      <c r="U673" t="s">
        <v>46</v>
      </c>
      <c r="V673">
        <v>2</v>
      </c>
      <c r="W673" t="s">
        <v>38</v>
      </c>
      <c r="X673">
        <v>256</v>
      </c>
      <c r="Z673">
        <v>0</v>
      </c>
      <c r="AA673" t="s">
        <v>51</v>
      </c>
      <c r="AB673">
        <v>0</v>
      </c>
      <c r="AC673">
        <v>0</v>
      </c>
      <c r="AD673">
        <v>0</v>
      </c>
      <c r="AE673" t="s">
        <v>40</v>
      </c>
      <c r="AF673" s="1">
        <v>42280</v>
      </c>
    </row>
    <row r="674" spans="1:32" x14ac:dyDescent="0.25">
      <c r="A674" t="s">
        <v>41</v>
      </c>
      <c r="B674">
        <v>0</v>
      </c>
      <c r="C674">
        <v>49</v>
      </c>
      <c r="D674">
        <v>2016</v>
      </c>
      <c r="E674" t="s">
        <v>74</v>
      </c>
      <c r="F674">
        <v>3</v>
      </c>
      <c r="G674">
        <v>15</v>
      </c>
      <c r="H674">
        <v>0</v>
      </c>
      <c r="I674">
        <v>2</v>
      </c>
      <c r="J674">
        <v>2</v>
      </c>
      <c r="K674">
        <v>0</v>
      </c>
      <c r="L674">
        <v>0</v>
      </c>
      <c r="M674" t="s">
        <v>34</v>
      </c>
      <c r="N674" t="s">
        <v>70</v>
      </c>
      <c r="O674" t="s">
        <v>44</v>
      </c>
      <c r="P674" t="s">
        <v>45</v>
      </c>
      <c r="Q674">
        <v>0</v>
      </c>
      <c r="R674">
        <v>0</v>
      </c>
      <c r="S674">
        <v>0</v>
      </c>
      <c r="T674" t="s">
        <v>46</v>
      </c>
      <c r="U674" t="s">
        <v>46</v>
      </c>
      <c r="V674">
        <v>0</v>
      </c>
      <c r="W674" t="s">
        <v>38</v>
      </c>
      <c r="X674">
        <v>7</v>
      </c>
      <c r="Z674">
        <v>0</v>
      </c>
      <c r="AA674" t="s">
        <v>39</v>
      </c>
      <c r="AB674">
        <v>69.22</v>
      </c>
      <c r="AC674">
        <v>0</v>
      </c>
      <c r="AD674">
        <v>1</v>
      </c>
      <c r="AE674" t="s">
        <v>40</v>
      </c>
      <c r="AF674" s="1">
        <v>42386</v>
      </c>
    </row>
    <row r="675" spans="1:32" x14ac:dyDescent="0.25">
      <c r="A675" t="s">
        <v>41</v>
      </c>
      <c r="B675">
        <v>1</v>
      </c>
      <c r="C675">
        <v>364</v>
      </c>
      <c r="D675">
        <v>2015</v>
      </c>
      <c r="E675" t="s">
        <v>59</v>
      </c>
      <c r="F675">
        <v>42</v>
      </c>
      <c r="G675">
        <v>16</v>
      </c>
      <c r="H675">
        <v>0</v>
      </c>
      <c r="I675">
        <v>2</v>
      </c>
      <c r="J675">
        <v>2</v>
      </c>
      <c r="K675">
        <v>0</v>
      </c>
      <c r="L675">
        <v>0</v>
      </c>
      <c r="M675" t="s">
        <v>60</v>
      </c>
      <c r="N675" t="s">
        <v>43</v>
      </c>
      <c r="O675" t="s">
        <v>49</v>
      </c>
      <c r="P675" t="s">
        <v>45</v>
      </c>
      <c r="Q675">
        <v>0</v>
      </c>
      <c r="R675">
        <v>1</v>
      </c>
      <c r="S675">
        <v>0</v>
      </c>
      <c r="T675" t="s">
        <v>46</v>
      </c>
      <c r="U675" t="s">
        <v>46</v>
      </c>
      <c r="V675">
        <v>0</v>
      </c>
      <c r="W675" t="s">
        <v>68</v>
      </c>
      <c r="X675">
        <v>6</v>
      </c>
      <c r="Z675">
        <v>0</v>
      </c>
      <c r="AA675" t="s">
        <v>51</v>
      </c>
      <c r="AB675">
        <v>101.5</v>
      </c>
      <c r="AC675">
        <v>0</v>
      </c>
      <c r="AD675">
        <v>0</v>
      </c>
      <c r="AE675" t="s">
        <v>47</v>
      </c>
      <c r="AF675" s="1">
        <v>42191</v>
      </c>
    </row>
    <row r="676" spans="1:32" x14ac:dyDescent="0.25">
      <c r="A676" t="s">
        <v>41</v>
      </c>
      <c r="B676">
        <v>1</v>
      </c>
      <c r="C676">
        <v>300</v>
      </c>
      <c r="D676">
        <v>2016</v>
      </c>
      <c r="E676" t="s">
        <v>61</v>
      </c>
      <c r="F676">
        <v>46</v>
      </c>
      <c r="G676">
        <v>11</v>
      </c>
      <c r="H676">
        <v>0</v>
      </c>
      <c r="I676">
        <v>2</v>
      </c>
      <c r="J676">
        <v>2</v>
      </c>
      <c r="K676">
        <v>0</v>
      </c>
      <c r="L676">
        <v>0</v>
      </c>
      <c r="M676" t="s">
        <v>34</v>
      </c>
      <c r="N676" t="s">
        <v>43</v>
      </c>
      <c r="O676" t="s">
        <v>64</v>
      </c>
      <c r="P676" t="s">
        <v>45</v>
      </c>
      <c r="Q676">
        <v>0</v>
      </c>
      <c r="R676">
        <v>0</v>
      </c>
      <c r="S676">
        <v>0</v>
      </c>
      <c r="T676" t="s">
        <v>46</v>
      </c>
      <c r="U676" t="s">
        <v>46</v>
      </c>
      <c r="V676">
        <v>0</v>
      </c>
      <c r="W676" t="s">
        <v>68</v>
      </c>
      <c r="X676">
        <v>1</v>
      </c>
      <c r="Z676">
        <v>0</v>
      </c>
      <c r="AA676" t="s">
        <v>39</v>
      </c>
      <c r="AB676">
        <v>65</v>
      </c>
      <c r="AC676">
        <v>0</v>
      </c>
      <c r="AD676">
        <v>0</v>
      </c>
      <c r="AE676" t="s">
        <v>47</v>
      </c>
      <c r="AF676" s="1">
        <v>42443</v>
      </c>
    </row>
    <row r="677" spans="1:32" x14ac:dyDescent="0.25">
      <c r="A677" t="s">
        <v>41</v>
      </c>
      <c r="B677">
        <v>0</v>
      </c>
      <c r="C677">
        <v>78</v>
      </c>
      <c r="D677">
        <v>2016</v>
      </c>
      <c r="E677" t="s">
        <v>33</v>
      </c>
      <c r="F677">
        <v>52</v>
      </c>
      <c r="G677">
        <v>20</v>
      </c>
      <c r="H677">
        <v>1</v>
      </c>
      <c r="I677">
        <v>5</v>
      </c>
      <c r="J677">
        <v>3</v>
      </c>
      <c r="K677">
        <v>0</v>
      </c>
      <c r="L677">
        <v>0</v>
      </c>
      <c r="M677" t="s">
        <v>34</v>
      </c>
      <c r="N677" t="s">
        <v>91</v>
      </c>
      <c r="O677" t="s">
        <v>36</v>
      </c>
      <c r="P677" t="s">
        <v>36</v>
      </c>
      <c r="Q677">
        <v>0</v>
      </c>
      <c r="R677">
        <v>0</v>
      </c>
      <c r="S677">
        <v>0</v>
      </c>
      <c r="T677" t="s">
        <v>84</v>
      </c>
      <c r="U677" t="s">
        <v>46</v>
      </c>
      <c r="V677">
        <v>0</v>
      </c>
      <c r="W677" t="s">
        <v>38</v>
      </c>
      <c r="X677">
        <v>14</v>
      </c>
      <c r="Z677">
        <v>0</v>
      </c>
      <c r="AA677" t="s">
        <v>51</v>
      </c>
      <c r="AB677">
        <v>119.4</v>
      </c>
      <c r="AC677">
        <v>0</v>
      </c>
      <c r="AD677">
        <v>2</v>
      </c>
      <c r="AE677" t="s">
        <v>40</v>
      </c>
      <c r="AF677" s="1">
        <v>42730</v>
      </c>
    </row>
    <row r="678" spans="1:32" x14ac:dyDescent="0.25">
      <c r="A678" t="s">
        <v>41</v>
      </c>
      <c r="B678">
        <v>1</v>
      </c>
      <c r="C678">
        <v>50</v>
      </c>
      <c r="D678">
        <v>2016</v>
      </c>
      <c r="E678" t="s">
        <v>83</v>
      </c>
      <c r="F678">
        <v>26</v>
      </c>
      <c r="G678">
        <v>21</v>
      </c>
      <c r="H678">
        <v>0</v>
      </c>
      <c r="I678">
        <v>3</v>
      </c>
      <c r="J678">
        <v>2</v>
      </c>
      <c r="K678">
        <v>0</v>
      </c>
      <c r="L678">
        <v>0</v>
      </c>
      <c r="M678" t="s">
        <v>55</v>
      </c>
      <c r="N678" t="s">
        <v>35</v>
      </c>
      <c r="O678" t="s">
        <v>44</v>
      </c>
      <c r="P678" t="s">
        <v>45</v>
      </c>
      <c r="Q678">
        <v>0</v>
      </c>
      <c r="R678">
        <v>0</v>
      </c>
      <c r="S678">
        <v>0</v>
      </c>
      <c r="T678" t="s">
        <v>46</v>
      </c>
      <c r="U678" t="s">
        <v>46</v>
      </c>
      <c r="V678">
        <v>0</v>
      </c>
      <c r="W678" t="s">
        <v>38</v>
      </c>
      <c r="X678">
        <v>9</v>
      </c>
      <c r="Z678">
        <v>0</v>
      </c>
      <c r="AA678" t="s">
        <v>39</v>
      </c>
      <c r="AB678">
        <v>89.1</v>
      </c>
      <c r="AC678">
        <v>0</v>
      </c>
      <c r="AD678">
        <v>0</v>
      </c>
      <c r="AE678" t="s">
        <v>47</v>
      </c>
      <c r="AF678" s="1">
        <v>42514</v>
      </c>
    </row>
    <row r="679" spans="1:32" x14ac:dyDescent="0.25">
      <c r="A679" t="s">
        <v>41</v>
      </c>
      <c r="B679">
        <v>0</v>
      </c>
      <c r="C679">
        <v>67</v>
      </c>
      <c r="D679">
        <v>2017</v>
      </c>
      <c r="E679" t="s">
        <v>69</v>
      </c>
      <c r="F679">
        <v>18</v>
      </c>
      <c r="G679">
        <v>2</v>
      </c>
      <c r="H679">
        <v>0</v>
      </c>
      <c r="I679">
        <v>3</v>
      </c>
      <c r="J679">
        <v>2</v>
      </c>
      <c r="K679">
        <v>0</v>
      </c>
      <c r="L679">
        <v>0</v>
      </c>
      <c r="M679" t="s">
        <v>34</v>
      </c>
      <c r="N679" t="s">
        <v>98</v>
      </c>
      <c r="O679" t="s">
        <v>64</v>
      </c>
      <c r="P679" t="s">
        <v>76</v>
      </c>
      <c r="Q679">
        <v>0</v>
      </c>
      <c r="R679">
        <v>0</v>
      </c>
      <c r="S679">
        <v>0</v>
      </c>
      <c r="T679" t="s">
        <v>46</v>
      </c>
      <c r="U679" t="s">
        <v>46</v>
      </c>
      <c r="V679">
        <v>0</v>
      </c>
      <c r="W679" t="s">
        <v>38</v>
      </c>
      <c r="Y679">
        <v>409</v>
      </c>
      <c r="Z679">
        <v>0</v>
      </c>
      <c r="AA679" t="s">
        <v>51</v>
      </c>
      <c r="AB679">
        <v>120</v>
      </c>
      <c r="AC679">
        <v>0</v>
      </c>
      <c r="AD679">
        <v>0</v>
      </c>
      <c r="AE679" t="s">
        <v>40</v>
      </c>
      <c r="AF679" s="1">
        <v>42860</v>
      </c>
    </row>
    <row r="680" spans="1:32" x14ac:dyDescent="0.25">
      <c r="A680" t="s">
        <v>41</v>
      </c>
      <c r="B680">
        <v>0</v>
      </c>
      <c r="C680">
        <v>39</v>
      </c>
      <c r="D680">
        <v>2017</v>
      </c>
      <c r="E680" t="s">
        <v>83</v>
      </c>
      <c r="F680">
        <v>23</v>
      </c>
      <c r="G680">
        <v>9</v>
      </c>
      <c r="H680">
        <v>0</v>
      </c>
      <c r="I680">
        <v>2</v>
      </c>
      <c r="J680">
        <v>2</v>
      </c>
      <c r="K680">
        <v>0</v>
      </c>
      <c r="L680">
        <v>0</v>
      </c>
      <c r="M680" t="s">
        <v>55</v>
      </c>
      <c r="N680" t="s">
        <v>78</v>
      </c>
      <c r="O680" t="s">
        <v>49</v>
      </c>
      <c r="P680" t="s">
        <v>45</v>
      </c>
      <c r="Q680">
        <v>0</v>
      </c>
      <c r="R680">
        <v>0</v>
      </c>
      <c r="S680">
        <v>0</v>
      </c>
      <c r="T680" t="s">
        <v>46</v>
      </c>
      <c r="U680" t="s">
        <v>46</v>
      </c>
      <c r="V680">
        <v>0</v>
      </c>
      <c r="W680" t="s">
        <v>38</v>
      </c>
      <c r="X680">
        <v>28</v>
      </c>
      <c r="Z680">
        <v>0</v>
      </c>
      <c r="AA680" t="s">
        <v>39</v>
      </c>
      <c r="AB680">
        <v>89</v>
      </c>
      <c r="AC680">
        <v>0</v>
      </c>
      <c r="AD680">
        <v>0</v>
      </c>
      <c r="AE680" t="s">
        <v>40</v>
      </c>
      <c r="AF680" s="1">
        <v>42897</v>
      </c>
    </row>
    <row r="681" spans="1:32" x14ac:dyDescent="0.25">
      <c r="A681" t="s">
        <v>41</v>
      </c>
      <c r="B681">
        <v>0</v>
      </c>
      <c r="C681">
        <v>8</v>
      </c>
      <c r="D681">
        <v>2016</v>
      </c>
      <c r="E681" t="s">
        <v>62</v>
      </c>
      <c r="F681">
        <v>38</v>
      </c>
      <c r="G681">
        <v>15</v>
      </c>
      <c r="H681">
        <v>0</v>
      </c>
      <c r="I681">
        <v>1</v>
      </c>
      <c r="J681">
        <v>1</v>
      </c>
      <c r="K681">
        <v>0</v>
      </c>
      <c r="L681">
        <v>0</v>
      </c>
      <c r="M681" t="s">
        <v>34</v>
      </c>
      <c r="N681" t="s">
        <v>43</v>
      </c>
      <c r="O681" t="s">
        <v>36</v>
      </c>
      <c r="P681" t="s">
        <v>36</v>
      </c>
      <c r="Q681">
        <v>0</v>
      </c>
      <c r="R681">
        <v>0</v>
      </c>
      <c r="S681">
        <v>0</v>
      </c>
      <c r="T681" t="s">
        <v>46</v>
      </c>
      <c r="U681" t="s">
        <v>46</v>
      </c>
      <c r="V681">
        <v>0</v>
      </c>
      <c r="W681" t="s">
        <v>38</v>
      </c>
      <c r="X681">
        <v>14</v>
      </c>
      <c r="Z681">
        <v>0</v>
      </c>
      <c r="AA681" t="s">
        <v>39</v>
      </c>
      <c r="AB681">
        <v>159</v>
      </c>
      <c r="AC681">
        <v>0</v>
      </c>
      <c r="AD681">
        <v>0</v>
      </c>
      <c r="AE681" t="s">
        <v>40</v>
      </c>
      <c r="AF681" s="1">
        <v>42629</v>
      </c>
    </row>
    <row r="682" spans="1:32" x14ac:dyDescent="0.25">
      <c r="A682" t="s">
        <v>41</v>
      </c>
      <c r="B682">
        <v>1</v>
      </c>
      <c r="C682">
        <v>32</v>
      </c>
      <c r="D682">
        <v>2017</v>
      </c>
      <c r="E682" t="s">
        <v>83</v>
      </c>
      <c r="F682">
        <v>26</v>
      </c>
      <c r="G682">
        <v>28</v>
      </c>
      <c r="H682">
        <v>0</v>
      </c>
      <c r="I682">
        <v>3</v>
      </c>
      <c r="J682">
        <v>3</v>
      </c>
      <c r="K682">
        <v>0</v>
      </c>
      <c r="L682">
        <v>0</v>
      </c>
      <c r="M682" t="s">
        <v>34</v>
      </c>
      <c r="N682" t="s">
        <v>95</v>
      </c>
      <c r="O682" t="s">
        <v>44</v>
      </c>
      <c r="P682" t="s">
        <v>45</v>
      </c>
      <c r="Q682">
        <v>0</v>
      </c>
      <c r="R682">
        <v>0</v>
      </c>
      <c r="S682">
        <v>0</v>
      </c>
      <c r="T682" t="s">
        <v>57</v>
      </c>
      <c r="U682" t="s">
        <v>57</v>
      </c>
      <c r="V682">
        <v>0</v>
      </c>
      <c r="W682" t="s">
        <v>38</v>
      </c>
      <c r="X682">
        <v>9</v>
      </c>
      <c r="Z682">
        <v>0</v>
      </c>
      <c r="AA682" t="s">
        <v>39</v>
      </c>
      <c r="AB682">
        <v>216.67</v>
      </c>
      <c r="AC682">
        <v>0</v>
      </c>
      <c r="AD682">
        <v>0</v>
      </c>
      <c r="AE682" t="s">
        <v>47</v>
      </c>
      <c r="AF682" s="1">
        <v>42882</v>
      </c>
    </row>
    <row r="683" spans="1:32" x14ac:dyDescent="0.25">
      <c r="A683" t="s">
        <v>32</v>
      </c>
      <c r="B683">
        <v>0</v>
      </c>
      <c r="C683">
        <v>7</v>
      </c>
      <c r="D683">
        <v>2017</v>
      </c>
      <c r="E683" t="s">
        <v>52</v>
      </c>
      <c r="F683">
        <v>9</v>
      </c>
      <c r="G683">
        <v>2</v>
      </c>
      <c r="H683">
        <v>1</v>
      </c>
      <c r="I683">
        <v>3</v>
      </c>
      <c r="J683">
        <v>2</v>
      </c>
      <c r="K683">
        <v>0</v>
      </c>
      <c r="L683">
        <v>0</v>
      </c>
      <c r="M683" t="s">
        <v>34</v>
      </c>
      <c r="N683" t="s">
        <v>35</v>
      </c>
      <c r="O683" t="s">
        <v>64</v>
      </c>
      <c r="P683" t="s">
        <v>76</v>
      </c>
      <c r="Q683">
        <v>0</v>
      </c>
      <c r="R683">
        <v>0</v>
      </c>
      <c r="S683">
        <v>0</v>
      </c>
      <c r="T683" t="s">
        <v>57</v>
      </c>
      <c r="U683" t="s">
        <v>57</v>
      </c>
      <c r="V683">
        <v>0</v>
      </c>
      <c r="W683" t="s">
        <v>38</v>
      </c>
      <c r="Y683">
        <v>223</v>
      </c>
      <c r="Z683">
        <v>0</v>
      </c>
      <c r="AA683" t="s">
        <v>51</v>
      </c>
      <c r="AB683">
        <v>47</v>
      </c>
      <c r="AC683">
        <v>0</v>
      </c>
      <c r="AD683">
        <v>0</v>
      </c>
      <c r="AE683" t="s">
        <v>40</v>
      </c>
      <c r="AF683" s="1">
        <v>42800</v>
      </c>
    </row>
    <row r="684" spans="1:32" x14ac:dyDescent="0.25">
      <c r="A684" t="s">
        <v>32</v>
      </c>
      <c r="B684">
        <v>0</v>
      </c>
      <c r="C684">
        <v>96</v>
      </c>
      <c r="D684">
        <v>2017</v>
      </c>
      <c r="E684" t="s">
        <v>52</v>
      </c>
      <c r="F684">
        <v>12</v>
      </c>
      <c r="G684">
        <v>19</v>
      </c>
      <c r="H684">
        <v>2</v>
      </c>
      <c r="I684">
        <v>5</v>
      </c>
      <c r="J684">
        <v>2</v>
      </c>
      <c r="K684">
        <v>0</v>
      </c>
      <c r="L684">
        <v>0</v>
      </c>
      <c r="M684" t="s">
        <v>34</v>
      </c>
      <c r="N684" t="s">
        <v>56</v>
      </c>
      <c r="O684" t="s">
        <v>64</v>
      </c>
      <c r="P684" t="s">
        <v>45</v>
      </c>
      <c r="Q684">
        <v>0</v>
      </c>
      <c r="R684">
        <v>0</v>
      </c>
      <c r="S684">
        <v>0</v>
      </c>
      <c r="T684" t="s">
        <v>46</v>
      </c>
      <c r="U684" t="s">
        <v>46</v>
      </c>
      <c r="V684">
        <v>1</v>
      </c>
      <c r="W684" t="s">
        <v>38</v>
      </c>
      <c r="X684">
        <v>177</v>
      </c>
      <c r="Z684">
        <v>0</v>
      </c>
      <c r="AA684" t="s">
        <v>51</v>
      </c>
      <c r="AB684">
        <v>34</v>
      </c>
      <c r="AC684">
        <v>0</v>
      </c>
      <c r="AD684">
        <v>0</v>
      </c>
      <c r="AE684" t="s">
        <v>40</v>
      </c>
      <c r="AF684" s="1">
        <v>42820</v>
      </c>
    </row>
    <row r="685" spans="1:32" x14ac:dyDescent="0.25">
      <c r="A685" t="s">
        <v>41</v>
      </c>
      <c r="B685">
        <v>0</v>
      </c>
      <c r="C685">
        <v>1</v>
      </c>
      <c r="D685">
        <v>2015</v>
      </c>
      <c r="E685" t="s">
        <v>59</v>
      </c>
      <c r="F685">
        <v>41</v>
      </c>
      <c r="G685">
        <v>9</v>
      </c>
      <c r="H685">
        <v>2</v>
      </c>
      <c r="I685">
        <v>2</v>
      </c>
      <c r="J685">
        <v>2</v>
      </c>
      <c r="K685">
        <v>0</v>
      </c>
      <c r="L685">
        <v>0</v>
      </c>
      <c r="M685" t="s">
        <v>34</v>
      </c>
      <c r="N685" t="s">
        <v>71</v>
      </c>
      <c r="O685" t="s">
        <v>44</v>
      </c>
      <c r="P685" t="s">
        <v>45</v>
      </c>
      <c r="Q685">
        <v>0</v>
      </c>
      <c r="R685">
        <v>0</v>
      </c>
      <c r="S685">
        <v>0</v>
      </c>
      <c r="T685" t="s">
        <v>46</v>
      </c>
      <c r="U685" t="s">
        <v>46</v>
      </c>
      <c r="V685">
        <v>0</v>
      </c>
      <c r="W685" t="s">
        <v>38</v>
      </c>
      <c r="X685">
        <v>9</v>
      </c>
      <c r="Z685">
        <v>0</v>
      </c>
      <c r="AA685" t="s">
        <v>39</v>
      </c>
      <c r="AB685">
        <v>145</v>
      </c>
      <c r="AC685">
        <v>0</v>
      </c>
      <c r="AD685">
        <v>2</v>
      </c>
      <c r="AE685" t="s">
        <v>40</v>
      </c>
      <c r="AF685" s="1">
        <v>42290</v>
      </c>
    </row>
    <row r="686" spans="1:32" x14ac:dyDescent="0.25">
      <c r="A686" t="s">
        <v>41</v>
      </c>
      <c r="B686">
        <v>1</v>
      </c>
      <c r="C686">
        <v>42</v>
      </c>
      <c r="D686">
        <v>2016</v>
      </c>
      <c r="E686" t="s">
        <v>33</v>
      </c>
      <c r="F686">
        <v>51</v>
      </c>
      <c r="G686">
        <v>11</v>
      </c>
      <c r="H686">
        <v>2</v>
      </c>
      <c r="I686">
        <v>3</v>
      </c>
      <c r="J686">
        <v>2</v>
      </c>
      <c r="K686">
        <v>0</v>
      </c>
      <c r="L686">
        <v>0</v>
      </c>
      <c r="M686" t="s">
        <v>34</v>
      </c>
      <c r="N686" t="s">
        <v>48</v>
      </c>
      <c r="O686" t="s">
        <v>44</v>
      </c>
      <c r="P686" t="s">
        <v>45</v>
      </c>
      <c r="Q686">
        <v>0</v>
      </c>
      <c r="R686">
        <v>0</v>
      </c>
      <c r="S686">
        <v>0</v>
      </c>
      <c r="T686" t="s">
        <v>46</v>
      </c>
      <c r="U686" t="s">
        <v>46</v>
      </c>
      <c r="V686">
        <v>0</v>
      </c>
      <c r="W686" t="s">
        <v>38</v>
      </c>
      <c r="X686">
        <v>9</v>
      </c>
      <c r="Z686">
        <v>0</v>
      </c>
      <c r="AA686" t="s">
        <v>39</v>
      </c>
      <c r="AB686">
        <v>88.4</v>
      </c>
      <c r="AC686">
        <v>0</v>
      </c>
      <c r="AD686">
        <v>2</v>
      </c>
      <c r="AE686" t="s">
        <v>47</v>
      </c>
      <c r="AF686" s="1">
        <v>42676</v>
      </c>
    </row>
    <row r="687" spans="1:32" x14ac:dyDescent="0.25">
      <c r="A687" t="s">
        <v>41</v>
      </c>
      <c r="B687">
        <v>0</v>
      </c>
      <c r="C687">
        <v>36</v>
      </c>
      <c r="D687">
        <v>2015</v>
      </c>
      <c r="E687" t="s">
        <v>59</v>
      </c>
      <c r="F687">
        <v>42</v>
      </c>
      <c r="G687">
        <v>13</v>
      </c>
      <c r="H687">
        <v>0</v>
      </c>
      <c r="I687">
        <v>3</v>
      </c>
      <c r="J687">
        <v>2</v>
      </c>
      <c r="K687">
        <v>0</v>
      </c>
      <c r="L687">
        <v>0</v>
      </c>
      <c r="M687" t="s">
        <v>60</v>
      </c>
      <c r="N687" t="s">
        <v>43</v>
      </c>
      <c r="O687" t="s">
        <v>49</v>
      </c>
      <c r="P687" t="s">
        <v>45</v>
      </c>
      <c r="Q687">
        <v>0</v>
      </c>
      <c r="R687">
        <v>0</v>
      </c>
      <c r="S687">
        <v>0</v>
      </c>
      <c r="T687" t="s">
        <v>46</v>
      </c>
      <c r="U687" t="s">
        <v>57</v>
      </c>
      <c r="V687">
        <v>0</v>
      </c>
      <c r="W687" t="s">
        <v>38</v>
      </c>
      <c r="X687">
        <v>26</v>
      </c>
      <c r="Z687">
        <v>0</v>
      </c>
      <c r="AA687" t="s">
        <v>51</v>
      </c>
      <c r="AB687">
        <v>112</v>
      </c>
      <c r="AC687">
        <v>0</v>
      </c>
      <c r="AD687">
        <v>0</v>
      </c>
      <c r="AE687" t="s">
        <v>40</v>
      </c>
      <c r="AF687" s="1">
        <v>42293</v>
      </c>
    </row>
    <row r="688" spans="1:32" x14ac:dyDescent="0.25">
      <c r="A688" t="s">
        <v>41</v>
      </c>
      <c r="B688">
        <v>0</v>
      </c>
      <c r="C688">
        <v>0</v>
      </c>
      <c r="D688">
        <v>2015</v>
      </c>
      <c r="E688" t="s">
        <v>61</v>
      </c>
      <c r="F688">
        <v>46</v>
      </c>
      <c r="G688">
        <v>14</v>
      </c>
      <c r="H688">
        <v>0</v>
      </c>
      <c r="I688">
        <v>1</v>
      </c>
      <c r="J688">
        <v>2</v>
      </c>
      <c r="K688">
        <v>0</v>
      </c>
      <c r="L688">
        <v>0</v>
      </c>
      <c r="M688" t="s">
        <v>55</v>
      </c>
      <c r="N688" t="s">
        <v>56</v>
      </c>
      <c r="O688" t="s">
        <v>44</v>
      </c>
      <c r="P688" t="s">
        <v>45</v>
      </c>
      <c r="Q688">
        <v>0</v>
      </c>
      <c r="R688">
        <v>0</v>
      </c>
      <c r="S688">
        <v>0</v>
      </c>
      <c r="T688" t="s">
        <v>46</v>
      </c>
      <c r="U688" t="s">
        <v>46</v>
      </c>
      <c r="V688">
        <v>3</v>
      </c>
      <c r="W688" t="s">
        <v>38</v>
      </c>
      <c r="X688">
        <v>9</v>
      </c>
      <c r="Z688">
        <v>0</v>
      </c>
      <c r="AA688" t="s">
        <v>73</v>
      </c>
      <c r="AB688">
        <v>85</v>
      </c>
      <c r="AC688">
        <v>0</v>
      </c>
      <c r="AD688">
        <v>2</v>
      </c>
      <c r="AE688" t="s">
        <v>40</v>
      </c>
      <c r="AF688" s="1">
        <v>42323</v>
      </c>
    </row>
    <row r="689" spans="1:32" x14ac:dyDescent="0.25">
      <c r="A689" t="s">
        <v>32</v>
      </c>
      <c r="B689">
        <v>0</v>
      </c>
      <c r="C689">
        <v>317</v>
      </c>
      <c r="D689">
        <v>2017</v>
      </c>
      <c r="E689" t="s">
        <v>54</v>
      </c>
      <c r="F689">
        <v>17</v>
      </c>
      <c r="G689">
        <v>23</v>
      </c>
      <c r="H689">
        <v>2</v>
      </c>
      <c r="I689">
        <v>5</v>
      </c>
      <c r="J689">
        <v>2</v>
      </c>
      <c r="K689">
        <v>0</v>
      </c>
      <c r="L689">
        <v>0</v>
      </c>
      <c r="M689" t="s">
        <v>60</v>
      </c>
      <c r="N689" t="s">
        <v>35</v>
      </c>
      <c r="O689" t="s">
        <v>64</v>
      </c>
      <c r="P689" t="s">
        <v>45</v>
      </c>
      <c r="Q689">
        <v>0</v>
      </c>
      <c r="R689">
        <v>0</v>
      </c>
      <c r="S689">
        <v>0</v>
      </c>
      <c r="T689" t="s">
        <v>57</v>
      </c>
      <c r="U689" t="s">
        <v>57</v>
      </c>
      <c r="V689">
        <v>1</v>
      </c>
      <c r="W689" t="s">
        <v>38</v>
      </c>
      <c r="X689">
        <v>273</v>
      </c>
      <c r="Z689">
        <v>64</v>
      </c>
      <c r="AA689" t="s">
        <v>51</v>
      </c>
      <c r="AB689">
        <v>78.94</v>
      </c>
      <c r="AC689">
        <v>0</v>
      </c>
      <c r="AD689">
        <v>0</v>
      </c>
      <c r="AE689" t="s">
        <v>40</v>
      </c>
      <c r="AF689" s="1">
        <v>42855</v>
      </c>
    </row>
    <row r="690" spans="1:32" x14ac:dyDescent="0.25">
      <c r="A690" t="s">
        <v>41</v>
      </c>
      <c r="B690">
        <v>0</v>
      </c>
      <c r="C690">
        <v>12</v>
      </c>
      <c r="D690">
        <v>2016</v>
      </c>
      <c r="E690" t="s">
        <v>59</v>
      </c>
      <c r="F690">
        <v>42</v>
      </c>
      <c r="G690">
        <v>12</v>
      </c>
      <c r="H690">
        <v>0</v>
      </c>
      <c r="I690">
        <v>1</v>
      </c>
      <c r="J690">
        <v>1</v>
      </c>
      <c r="K690">
        <v>0</v>
      </c>
      <c r="L690">
        <v>0</v>
      </c>
      <c r="M690" t="s">
        <v>34</v>
      </c>
      <c r="N690" t="s">
        <v>43</v>
      </c>
      <c r="O690" t="s">
        <v>76</v>
      </c>
      <c r="P690" t="s">
        <v>76</v>
      </c>
      <c r="Q690">
        <v>1</v>
      </c>
      <c r="R690">
        <v>3</v>
      </c>
      <c r="S690">
        <v>18</v>
      </c>
      <c r="T690" t="s">
        <v>46</v>
      </c>
      <c r="U690" t="s">
        <v>57</v>
      </c>
      <c r="V690">
        <v>0</v>
      </c>
      <c r="W690" t="s">
        <v>38</v>
      </c>
      <c r="Y690">
        <v>40</v>
      </c>
      <c r="Z690">
        <v>0</v>
      </c>
      <c r="AA690" t="s">
        <v>39</v>
      </c>
      <c r="AB690">
        <v>67</v>
      </c>
      <c r="AC690">
        <v>1</v>
      </c>
      <c r="AD690">
        <v>0</v>
      </c>
      <c r="AE690" t="s">
        <v>40</v>
      </c>
      <c r="AF690" s="1">
        <v>42656</v>
      </c>
    </row>
    <row r="691" spans="1:32" x14ac:dyDescent="0.25">
      <c r="A691" t="s">
        <v>41</v>
      </c>
      <c r="B691">
        <v>0</v>
      </c>
      <c r="C691">
        <v>87</v>
      </c>
      <c r="D691">
        <v>2016</v>
      </c>
      <c r="E691" t="s">
        <v>67</v>
      </c>
      <c r="F691">
        <v>35</v>
      </c>
      <c r="G691">
        <v>27</v>
      </c>
      <c r="H691">
        <v>2</v>
      </c>
      <c r="I691">
        <v>4</v>
      </c>
      <c r="J691">
        <v>3</v>
      </c>
      <c r="K691">
        <v>0</v>
      </c>
      <c r="L691">
        <v>0</v>
      </c>
      <c r="M691" t="s">
        <v>34</v>
      </c>
      <c r="N691" t="s">
        <v>56</v>
      </c>
      <c r="O691" t="s">
        <v>44</v>
      </c>
      <c r="P691" t="s">
        <v>45</v>
      </c>
      <c r="Q691">
        <v>0</v>
      </c>
      <c r="R691">
        <v>0</v>
      </c>
      <c r="S691">
        <v>0</v>
      </c>
      <c r="T691" t="s">
        <v>46</v>
      </c>
      <c r="U691" t="s">
        <v>46</v>
      </c>
      <c r="V691">
        <v>0</v>
      </c>
      <c r="W691" t="s">
        <v>38</v>
      </c>
      <c r="X691">
        <v>7</v>
      </c>
      <c r="Z691">
        <v>0</v>
      </c>
      <c r="AA691" t="s">
        <v>39</v>
      </c>
      <c r="AB691">
        <v>112.03</v>
      </c>
      <c r="AC691">
        <v>0</v>
      </c>
      <c r="AD691">
        <v>2</v>
      </c>
      <c r="AE691" t="s">
        <v>40</v>
      </c>
      <c r="AF691" s="1">
        <v>42615</v>
      </c>
    </row>
    <row r="692" spans="1:32" x14ac:dyDescent="0.25">
      <c r="A692" t="s">
        <v>32</v>
      </c>
      <c r="B692">
        <v>1</v>
      </c>
      <c r="C692">
        <v>67</v>
      </c>
      <c r="D692">
        <v>2016</v>
      </c>
      <c r="E692" t="s">
        <v>59</v>
      </c>
      <c r="F692">
        <v>41</v>
      </c>
      <c r="G692">
        <v>6</v>
      </c>
      <c r="H692">
        <v>1</v>
      </c>
      <c r="I692">
        <v>3</v>
      </c>
      <c r="J692">
        <v>2</v>
      </c>
      <c r="K692">
        <v>2</v>
      </c>
      <c r="L692">
        <v>0</v>
      </c>
      <c r="M692" t="s">
        <v>34</v>
      </c>
      <c r="N692" t="s">
        <v>35</v>
      </c>
      <c r="O692" t="s">
        <v>44</v>
      </c>
      <c r="P692" t="s">
        <v>45</v>
      </c>
      <c r="Q692">
        <v>0</v>
      </c>
      <c r="R692">
        <v>0</v>
      </c>
      <c r="S692">
        <v>0</v>
      </c>
      <c r="T692" t="s">
        <v>84</v>
      </c>
      <c r="U692" t="s">
        <v>84</v>
      </c>
      <c r="V692">
        <v>0</v>
      </c>
      <c r="W692" t="s">
        <v>38</v>
      </c>
      <c r="X692">
        <v>240</v>
      </c>
      <c r="Z692">
        <v>0</v>
      </c>
      <c r="AA692" t="s">
        <v>39</v>
      </c>
      <c r="AB692">
        <v>139</v>
      </c>
      <c r="AC692">
        <v>0</v>
      </c>
      <c r="AD692">
        <v>0</v>
      </c>
      <c r="AE692" t="s">
        <v>47</v>
      </c>
      <c r="AF692" s="1">
        <v>42585</v>
      </c>
    </row>
    <row r="693" spans="1:32" x14ac:dyDescent="0.25">
      <c r="A693" t="s">
        <v>41</v>
      </c>
      <c r="B693">
        <v>0</v>
      </c>
      <c r="C693">
        <v>34</v>
      </c>
      <c r="D693">
        <v>2016</v>
      </c>
      <c r="E693" t="s">
        <v>66</v>
      </c>
      <c r="F693">
        <v>7</v>
      </c>
      <c r="G693">
        <v>8</v>
      </c>
      <c r="H693">
        <v>1</v>
      </c>
      <c r="I693">
        <v>4</v>
      </c>
      <c r="J693">
        <v>1</v>
      </c>
      <c r="K693">
        <v>0</v>
      </c>
      <c r="L693">
        <v>0</v>
      </c>
      <c r="M693" t="s">
        <v>34</v>
      </c>
      <c r="N693" t="s">
        <v>70</v>
      </c>
      <c r="O693" t="s">
        <v>44</v>
      </c>
      <c r="P693" t="s">
        <v>45</v>
      </c>
      <c r="Q693">
        <v>0</v>
      </c>
      <c r="R693">
        <v>0</v>
      </c>
      <c r="S693">
        <v>0</v>
      </c>
      <c r="T693" t="s">
        <v>46</v>
      </c>
      <c r="U693" t="s">
        <v>46</v>
      </c>
      <c r="V693">
        <v>0</v>
      </c>
      <c r="W693" t="s">
        <v>38</v>
      </c>
      <c r="X693">
        <v>9</v>
      </c>
      <c r="Z693">
        <v>0</v>
      </c>
      <c r="AA693" t="s">
        <v>39</v>
      </c>
      <c r="AB693">
        <v>73.900000000000006</v>
      </c>
      <c r="AC693">
        <v>0</v>
      </c>
      <c r="AD693">
        <v>0</v>
      </c>
      <c r="AE693" t="s">
        <v>40</v>
      </c>
      <c r="AF693" s="1">
        <v>42413</v>
      </c>
    </row>
    <row r="694" spans="1:32" x14ac:dyDescent="0.25">
      <c r="A694" t="s">
        <v>41</v>
      </c>
      <c r="B694">
        <v>0</v>
      </c>
      <c r="C694">
        <v>176</v>
      </c>
      <c r="D694">
        <v>2017</v>
      </c>
      <c r="E694" t="s">
        <v>52</v>
      </c>
      <c r="F694">
        <v>10</v>
      </c>
      <c r="G694">
        <v>9</v>
      </c>
      <c r="H694">
        <v>0</v>
      </c>
      <c r="I694">
        <v>3</v>
      </c>
      <c r="J694">
        <v>2</v>
      </c>
      <c r="K694">
        <v>0</v>
      </c>
      <c r="L694">
        <v>0</v>
      </c>
      <c r="M694" t="s">
        <v>34</v>
      </c>
      <c r="N694" t="s">
        <v>70</v>
      </c>
      <c r="O694" t="s">
        <v>49</v>
      </c>
      <c r="P694" t="s">
        <v>45</v>
      </c>
      <c r="Q694">
        <v>0</v>
      </c>
      <c r="R694">
        <v>0</v>
      </c>
      <c r="S694">
        <v>0</v>
      </c>
      <c r="T694" t="s">
        <v>46</v>
      </c>
      <c r="U694" t="s">
        <v>57</v>
      </c>
      <c r="V694">
        <v>0</v>
      </c>
      <c r="W694" t="s">
        <v>38</v>
      </c>
      <c r="X694">
        <v>28</v>
      </c>
      <c r="Z694">
        <v>0</v>
      </c>
      <c r="AA694" t="s">
        <v>39</v>
      </c>
      <c r="AB694">
        <v>75</v>
      </c>
      <c r="AC694">
        <v>0</v>
      </c>
      <c r="AD694">
        <v>0</v>
      </c>
      <c r="AE694" t="s">
        <v>40</v>
      </c>
      <c r="AF694" s="1">
        <v>42806</v>
      </c>
    </row>
    <row r="695" spans="1:32" x14ac:dyDescent="0.25">
      <c r="A695" t="s">
        <v>41</v>
      </c>
      <c r="B695">
        <v>0</v>
      </c>
      <c r="C695">
        <v>6</v>
      </c>
      <c r="D695">
        <v>2017</v>
      </c>
      <c r="E695" t="s">
        <v>83</v>
      </c>
      <c r="F695">
        <v>24</v>
      </c>
      <c r="G695">
        <v>13</v>
      </c>
      <c r="H695">
        <v>0</v>
      </c>
      <c r="I695">
        <v>2</v>
      </c>
      <c r="J695">
        <v>2</v>
      </c>
      <c r="K695">
        <v>0</v>
      </c>
      <c r="L695">
        <v>0</v>
      </c>
      <c r="M695" t="s">
        <v>34</v>
      </c>
      <c r="N695" t="s">
        <v>85</v>
      </c>
      <c r="O695" t="s">
        <v>44</v>
      </c>
      <c r="P695" t="s">
        <v>45</v>
      </c>
      <c r="Q695">
        <v>0</v>
      </c>
      <c r="R695">
        <v>0</v>
      </c>
      <c r="S695">
        <v>0</v>
      </c>
      <c r="T695" t="s">
        <v>46</v>
      </c>
      <c r="U695" t="s">
        <v>46</v>
      </c>
      <c r="V695">
        <v>0</v>
      </c>
      <c r="W695" t="s">
        <v>38</v>
      </c>
      <c r="X695">
        <v>85</v>
      </c>
      <c r="Z695">
        <v>0</v>
      </c>
      <c r="AA695" t="s">
        <v>39</v>
      </c>
      <c r="AB695">
        <v>99</v>
      </c>
      <c r="AC695">
        <v>0</v>
      </c>
      <c r="AD695">
        <v>0</v>
      </c>
      <c r="AE695" t="s">
        <v>40</v>
      </c>
      <c r="AF695" s="1">
        <v>42901</v>
      </c>
    </row>
    <row r="696" spans="1:32" x14ac:dyDescent="0.25">
      <c r="A696" t="s">
        <v>41</v>
      </c>
      <c r="B696">
        <v>0</v>
      </c>
      <c r="C696">
        <v>6</v>
      </c>
      <c r="D696">
        <v>2015</v>
      </c>
      <c r="E696" t="s">
        <v>33</v>
      </c>
      <c r="F696">
        <v>50</v>
      </c>
      <c r="G696">
        <v>10</v>
      </c>
      <c r="H696">
        <v>0</v>
      </c>
      <c r="I696">
        <v>2</v>
      </c>
      <c r="J696">
        <v>2</v>
      </c>
      <c r="K696">
        <v>0</v>
      </c>
      <c r="L696">
        <v>0</v>
      </c>
      <c r="M696" t="s">
        <v>60</v>
      </c>
      <c r="N696" t="s">
        <v>56</v>
      </c>
      <c r="O696" t="s">
        <v>49</v>
      </c>
      <c r="P696" t="s">
        <v>45</v>
      </c>
      <c r="Q696">
        <v>0</v>
      </c>
      <c r="R696">
        <v>0</v>
      </c>
      <c r="S696">
        <v>0</v>
      </c>
      <c r="T696" t="s">
        <v>46</v>
      </c>
      <c r="U696" t="s">
        <v>46</v>
      </c>
      <c r="V696">
        <v>0</v>
      </c>
      <c r="W696" t="s">
        <v>38</v>
      </c>
      <c r="X696">
        <v>6</v>
      </c>
      <c r="Z696">
        <v>0</v>
      </c>
      <c r="AA696" t="s">
        <v>51</v>
      </c>
      <c r="AB696">
        <v>0</v>
      </c>
      <c r="AC696">
        <v>0</v>
      </c>
      <c r="AD696">
        <v>1</v>
      </c>
      <c r="AE696" t="s">
        <v>40</v>
      </c>
      <c r="AF696" s="1">
        <v>42350</v>
      </c>
    </row>
    <row r="697" spans="1:32" x14ac:dyDescent="0.25">
      <c r="A697" t="s">
        <v>41</v>
      </c>
      <c r="B697">
        <v>0</v>
      </c>
      <c r="C697">
        <v>221</v>
      </c>
      <c r="D697">
        <v>2017</v>
      </c>
      <c r="E697" t="s">
        <v>83</v>
      </c>
      <c r="F697">
        <v>25</v>
      </c>
      <c r="G697">
        <v>23</v>
      </c>
      <c r="H697">
        <v>0</v>
      </c>
      <c r="I697">
        <v>2</v>
      </c>
      <c r="J697">
        <v>2</v>
      </c>
      <c r="K697">
        <v>0</v>
      </c>
      <c r="L697">
        <v>0</v>
      </c>
      <c r="M697" t="s">
        <v>34</v>
      </c>
      <c r="N697" t="s">
        <v>43</v>
      </c>
      <c r="O697" t="s">
        <v>49</v>
      </c>
      <c r="P697" t="s">
        <v>45</v>
      </c>
      <c r="Q697">
        <v>0</v>
      </c>
      <c r="R697">
        <v>0</v>
      </c>
      <c r="S697">
        <v>0</v>
      </c>
      <c r="T697" t="s">
        <v>46</v>
      </c>
      <c r="U697" t="s">
        <v>46</v>
      </c>
      <c r="V697">
        <v>0</v>
      </c>
      <c r="W697" t="s">
        <v>38</v>
      </c>
      <c r="X697">
        <v>138</v>
      </c>
      <c r="Z697">
        <v>0</v>
      </c>
      <c r="AA697" t="s">
        <v>39</v>
      </c>
      <c r="AB697">
        <v>89.1</v>
      </c>
      <c r="AC697">
        <v>0</v>
      </c>
      <c r="AD697">
        <v>2</v>
      </c>
      <c r="AE697" t="s">
        <v>40</v>
      </c>
      <c r="AF697" s="1">
        <v>42911</v>
      </c>
    </row>
    <row r="698" spans="1:32" x14ac:dyDescent="0.25">
      <c r="A698" t="s">
        <v>41</v>
      </c>
      <c r="B698">
        <v>0</v>
      </c>
      <c r="C698">
        <v>104</v>
      </c>
      <c r="D698">
        <v>2017</v>
      </c>
      <c r="E698" t="s">
        <v>52</v>
      </c>
      <c r="F698">
        <v>12</v>
      </c>
      <c r="G698">
        <v>19</v>
      </c>
      <c r="H698">
        <v>2</v>
      </c>
      <c r="I698">
        <v>5</v>
      </c>
      <c r="J698">
        <v>2</v>
      </c>
      <c r="K698">
        <v>0</v>
      </c>
      <c r="L698">
        <v>0</v>
      </c>
      <c r="M698" t="s">
        <v>34</v>
      </c>
      <c r="N698" t="s">
        <v>43</v>
      </c>
      <c r="O698" t="s">
        <v>49</v>
      </c>
      <c r="P698" t="s">
        <v>45</v>
      </c>
      <c r="Q698">
        <v>0</v>
      </c>
      <c r="R698">
        <v>0</v>
      </c>
      <c r="S698">
        <v>0</v>
      </c>
      <c r="T698" t="s">
        <v>46</v>
      </c>
      <c r="U698" t="s">
        <v>46</v>
      </c>
      <c r="V698">
        <v>0</v>
      </c>
      <c r="W698" t="s">
        <v>38</v>
      </c>
      <c r="X698">
        <v>20</v>
      </c>
      <c r="Z698">
        <v>0</v>
      </c>
      <c r="AA698" t="s">
        <v>51</v>
      </c>
      <c r="AB698">
        <v>75</v>
      </c>
      <c r="AC698">
        <v>0</v>
      </c>
      <c r="AD698">
        <v>1</v>
      </c>
      <c r="AE698" t="s">
        <v>40</v>
      </c>
      <c r="AF698" s="1">
        <v>42820</v>
      </c>
    </row>
    <row r="699" spans="1:32" x14ac:dyDescent="0.25">
      <c r="A699" t="s">
        <v>41</v>
      </c>
      <c r="B699">
        <v>1</v>
      </c>
      <c r="C699">
        <v>56</v>
      </c>
      <c r="D699">
        <v>2017</v>
      </c>
      <c r="E699" t="s">
        <v>66</v>
      </c>
      <c r="F699">
        <v>5</v>
      </c>
      <c r="G699">
        <v>1</v>
      </c>
      <c r="H699">
        <v>0</v>
      </c>
      <c r="I699">
        <v>3</v>
      </c>
      <c r="J699">
        <v>2</v>
      </c>
      <c r="K699">
        <v>0</v>
      </c>
      <c r="L699">
        <v>0</v>
      </c>
      <c r="M699" t="s">
        <v>34</v>
      </c>
      <c r="N699" t="s">
        <v>43</v>
      </c>
      <c r="O699" t="s">
        <v>64</v>
      </c>
      <c r="P699" t="s">
        <v>45</v>
      </c>
      <c r="Q699">
        <v>0</v>
      </c>
      <c r="R699">
        <v>0</v>
      </c>
      <c r="S699">
        <v>0</v>
      </c>
      <c r="T699" t="s">
        <v>46</v>
      </c>
      <c r="U699" t="s">
        <v>46</v>
      </c>
      <c r="V699">
        <v>0</v>
      </c>
      <c r="W699" t="s">
        <v>68</v>
      </c>
      <c r="X699">
        <v>29</v>
      </c>
      <c r="Z699">
        <v>0</v>
      </c>
      <c r="AA699" t="s">
        <v>39</v>
      </c>
      <c r="AB699">
        <v>60</v>
      </c>
      <c r="AC699">
        <v>0</v>
      </c>
      <c r="AD699">
        <v>0</v>
      </c>
      <c r="AE699" t="s">
        <v>47</v>
      </c>
      <c r="AF699" s="1">
        <v>42711</v>
      </c>
    </row>
    <row r="700" spans="1:32" x14ac:dyDescent="0.25">
      <c r="A700" t="s">
        <v>41</v>
      </c>
      <c r="B700">
        <v>0</v>
      </c>
      <c r="C700">
        <v>0</v>
      </c>
      <c r="D700">
        <v>2016</v>
      </c>
      <c r="E700" t="s">
        <v>52</v>
      </c>
      <c r="F700">
        <v>11</v>
      </c>
      <c r="G700">
        <v>7</v>
      </c>
      <c r="H700">
        <v>1</v>
      </c>
      <c r="I700">
        <v>0</v>
      </c>
      <c r="J700">
        <v>1</v>
      </c>
      <c r="K700">
        <v>0</v>
      </c>
      <c r="L700">
        <v>0</v>
      </c>
      <c r="M700" t="s">
        <v>34</v>
      </c>
      <c r="N700" t="s">
        <v>63</v>
      </c>
      <c r="O700" t="s">
        <v>76</v>
      </c>
      <c r="P700" t="s">
        <v>76</v>
      </c>
      <c r="Q700">
        <v>0</v>
      </c>
      <c r="R700">
        <v>0</v>
      </c>
      <c r="S700">
        <v>0</v>
      </c>
      <c r="T700" t="s">
        <v>46</v>
      </c>
      <c r="U700" t="s">
        <v>46</v>
      </c>
      <c r="V700">
        <v>0</v>
      </c>
      <c r="W700" t="s">
        <v>38</v>
      </c>
      <c r="X700">
        <v>91</v>
      </c>
      <c r="Z700">
        <v>0</v>
      </c>
      <c r="AA700" t="s">
        <v>39</v>
      </c>
      <c r="AB700">
        <v>80</v>
      </c>
      <c r="AC700">
        <v>0</v>
      </c>
      <c r="AD700">
        <v>0</v>
      </c>
      <c r="AE700" t="s">
        <v>40</v>
      </c>
      <c r="AF700" s="1">
        <v>42437</v>
      </c>
    </row>
    <row r="701" spans="1:32" x14ac:dyDescent="0.25">
      <c r="A701" t="s">
        <v>32</v>
      </c>
      <c r="B701">
        <v>0</v>
      </c>
      <c r="C701">
        <v>243</v>
      </c>
      <c r="D701">
        <v>2016</v>
      </c>
      <c r="E701" t="s">
        <v>59</v>
      </c>
      <c r="F701">
        <v>41</v>
      </c>
      <c r="G701">
        <v>6</v>
      </c>
      <c r="H701">
        <v>2</v>
      </c>
      <c r="I701">
        <v>3</v>
      </c>
      <c r="J701">
        <v>1</v>
      </c>
      <c r="K701">
        <v>0</v>
      </c>
      <c r="L701">
        <v>0</v>
      </c>
      <c r="M701" t="s">
        <v>34</v>
      </c>
      <c r="N701" t="s">
        <v>95</v>
      </c>
      <c r="O701" t="s">
        <v>64</v>
      </c>
      <c r="P701" t="s">
        <v>45</v>
      </c>
      <c r="Q701">
        <v>0</v>
      </c>
      <c r="R701">
        <v>0</v>
      </c>
      <c r="S701">
        <v>0</v>
      </c>
      <c r="T701" t="s">
        <v>57</v>
      </c>
      <c r="U701" t="s">
        <v>57</v>
      </c>
      <c r="V701">
        <v>1</v>
      </c>
      <c r="W701" t="s">
        <v>38</v>
      </c>
      <c r="X701">
        <v>91</v>
      </c>
      <c r="Z701">
        <v>0</v>
      </c>
      <c r="AA701" t="s">
        <v>51</v>
      </c>
      <c r="AB701">
        <v>53.1</v>
      </c>
      <c r="AC701">
        <v>0</v>
      </c>
      <c r="AD701">
        <v>0</v>
      </c>
      <c r="AE701" t="s">
        <v>40</v>
      </c>
      <c r="AF701" s="1">
        <v>42654</v>
      </c>
    </row>
    <row r="702" spans="1:32" x14ac:dyDescent="0.25">
      <c r="A702" t="s">
        <v>32</v>
      </c>
      <c r="B702">
        <v>1</v>
      </c>
      <c r="C702">
        <v>35</v>
      </c>
      <c r="D702">
        <v>2016</v>
      </c>
      <c r="E702" t="s">
        <v>33</v>
      </c>
      <c r="F702">
        <v>50</v>
      </c>
      <c r="G702">
        <v>7</v>
      </c>
      <c r="H702">
        <v>0</v>
      </c>
      <c r="I702">
        <v>4</v>
      </c>
      <c r="J702">
        <v>2</v>
      </c>
      <c r="K702">
        <v>1</v>
      </c>
      <c r="L702">
        <v>0</v>
      </c>
      <c r="M702" t="s">
        <v>90</v>
      </c>
      <c r="N702" t="s">
        <v>43</v>
      </c>
      <c r="O702" t="s">
        <v>44</v>
      </c>
      <c r="P702" t="s">
        <v>45</v>
      </c>
      <c r="Q702">
        <v>0</v>
      </c>
      <c r="R702">
        <v>0</v>
      </c>
      <c r="S702">
        <v>0</v>
      </c>
      <c r="T702" t="s">
        <v>72</v>
      </c>
      <c r="U702" t="s">
        <v>72</v>
      </c>
      <c r="V702">
        <v>1</v>
      </c>
      <c r="W702" t="s">
        <v>38</v>
      </c>
      <c r="X702">
        <v>314</v>
      </c>
      <c r="Z702">
        <v>0</v>
      </c>
      <c r="AA702" t="s">
        <v>39</v>
      </c>
      <c r="AB702">
        <v>120.5</v>
      </c>
      <c r="AC702">
        <v>0</v>
      </c>
      <c r="AD702">
        <v>0</v>
      </c>
      <c r="AE702" t="s">
        <v>47</v>
      </c>
      <c r="AF702" s="1">
        <v>42698</v>
      </c>
    </row>
    <row r="703" spans="1:32" x14ac:dyDescent="0.25">
      <c r="A703" t="s">
        <v>32</v>
      </c>
      <c r="B703">
        <v>0</v>
      </c>
      <c r="C703">
        <v>4</v>
      </c>
      <c r="D703">
        <v>2015</v>
      </c>
      <c r="E703" t="s">
        <v>42</v>
      </c>
      <c r="F703">
        <v>30</v>
      </c>
      <c r="G703">
        <v>19</v>
      </c>
      <c r="H703">
        <v>2</v>
      </c>
      <c r="I703">
        <v>0</v>
      </c>
      <c r="J703">
        <v>2</v>
      </c>
      <c r="K703">
        <v>0</v>
      </c>
      <c r="L703">
        <v>0</v>
      </c>
      <c r="M703" t="s">
        <v>34</v>
      </c>
      <c r="N703" t="s">
        <v>43</v>
      </c>
      <c r="O703" t="s">
        <v>44</v>
      </c>
      <c r="P703" t="s">
        <v>45</v>
      </c>
      <c r="Q703">
        <v>0</v>
      </c>
      <c r="R703">
        <v>0</v>
      </c>
      <c r="S703">
        <v>0</v>
      </c>
      <c r="T703" t="s">
        <v>72</v>
      </c>
      <c r="U703" t="s">
        <v>72</v>
      </c>
      <c r="V703">
        <v>0</v>
      </c>
      <c r="W703" t="s">
        <v>38</v>
      </c>
      <c r="X703">
        <v>240</v>
      </c>
      <c r="Z703">
        <v>0</v>
      </c>
      <c r="AA703" t="s">
        <v>39</v>
      </c>
      <c r="AB703">
        <v>154.5</v>
      </c>
      <c r="AC703">
        <v>1</v>
      </c>
      <c r="AD703">
        <v>2</v>
      </c>
      <c r="AE703" t="s">
        <v>40</v>
      </c>
      <c r="AF703" s="1">
        <v>42206</v>
      </c>
    </row>
    <row r="704" spans="1:32" x14ac:dyDescent="0.25">
      <c r="A704" t="s">
        <v>41</v>
      </c>
      <c r="B704">
        <v>0</v>
      </c>
      <c r="C704">
        <v>1</v>
      </c>
      <c r="D704">
        <v>2016</v>
      </c>
      <c r="E704" t="s">
        <v>74</v>
      </c>
      <c r="F704">
        <v>1</v>
      </c>
      <c r="G704">
        <v>2</v>
      </c>
      <c r="H704">
        <v>2</v>
      </c>
      <c r="I704">
        <v>1</v>
      </c>
      <c r="J704">
        <v>2</v>
      </c>
      <c r="K704">
        <v>0</v>
      </c>
      <c r="L704">
        <v>0</v>
      </c>
      <c r="M704" t="s">
        <v>34</v>
      </c>
      <c r="N704" t="s">
        <v>43</v>
      </c>
      <c r="O704" t="s">
        <v>44</v>
      </c>
      <c r="P704" t="s">
        <v>45</v>
      </c>
      <c r="Q704">
        <v>0</v>
      </c>
      <c r="R704">
        <v>0</v>
      </c>
      <c r="S704">
        <v>0</v>
      </c>
      <c r="T704" t="s">
        <v>46</v>
      </c>
      <c r="U704" t="s">
        <v>46</v>
      </c>
      <c r="V704">
        <v>0</v>
      </c>
      <c r="W704" t="s">
        <v>38</v>
      </c>
      <c r="X704">
        <v>9</v>
      </c>
      <c r="Z704">
        <v>0</v>
      </c>
      <c r="AA704" t="s">
        <v>39</v>
      </c>
      <c r="AB704">
        <v>74.930000000000007</v>
      </c>
      <c r="AC704">
        <v>0</v>
      </c>
      <c r="AD704">
        <v>0</v>
      </c>
      <c r="AE704" t="s">
        <v>40</v>
      </c>
      <c r="AF704" s="1">
        <v>42374</v>
      </c>
    </row>
    <row r="705" spans="1:32" x14ac:dyDescent="0.25">
      <c r="A705" t="s">
        <v>41</v>
      </c>
      <c r="B705">
        <v>0</v>
      </c>
      <c r="C705">
        <v>65</v>
      </c>
      <c r="D705">
        <v>2016</v>
      </c>
      <c r="E705" t="s">
        <v>61</v>
      </c>
      <c r="F705">
        <v>48</v>
      </c>
      <c r="G705">
        <v>20</v>
      </c>
      <c r="H705">
        <v>1</v>
      </c>
      <c r="I705">
        <v>0</v>
      </c>
      <c r="J705">
        <v>1</v>
      </c>
      <c r="K705">
        <v>0</v>
      </c>
      <c r="L705">
        <v>0</v>
      </c>
      <c r="M705" t="s">
        <v>55</v>
      </c>
      <c r="N705" t="s">
        <v>98</v>
      </c>
      <c r="O705" t="s">
        <v>44</v>
      </c>
      <c r="P705" t="s">
        <v>45</v>
      </c>
      <c r="Q705">
        <v>0</v>
      </c>
      <c r="R705">
        <v>0</v>
      </c>
      <c r="S705">
        <v>0</v>
      </c>
      <c r="T705" t="s">
        <v>46</v>
      </c>
      <c r="U705" t="s">
        <v>46</v>
      </c>
      <c r="V705">
        <v>0</v>
      </c>
      <c r="W705" t="s">
        <v>38</v>
      </c>
      <c r="X705">
        <v>9</v>
      </c>
      <c r="Z705">
        <v>0</v>
      </c>
      <c r="AA705" t="s">
        <v>39</v>
      </c>
      <c r="AB705">
        <v>79.2</v>
      </c>
      <c r="AC705">
        <v>0</v>
      </c>
      <c r="AD705">
        <v>0</v>
      </c>
      <c r="AE705" t="s">
        <v>40</v>
      </c>
      <c r="AF705" s="1">
        <v>42695</v>
      </c>
    </row>
    <row r="706" spans="1:32" x14ac:dyDescent="0.25">
      <c r="A706" t="s">
        <v>41</v>
      </c>
      <c r="B706">
        <v>0</v>
      </c>
      <c r="C706">
        <v>9</v>
      </c>
      <c r="D706">
        <v>2017</v>
      </c>
      <c r="E706" t="s">
        <v>42</v>
      </c>
      <c r="F706">
        <v>28</v>
      </c>
      <c r="G706">
        <v>14</v>
      </c>
      <c r="H706">
        <v>0</v>
      </c>
      <c r="I706">
        <v>2</v>
      </c>
      <c r="J706">
        <v>2</v>
      </c>
      <c r="K706">
        <v>0</v>
      </c>
      <c r="L706">
        <v>0</v>
      </c>
      <c r="M706" t="s">
        <v>34</v>
      </c>
      <c r="N706" t="s">
        <v>78</v>
      </c>
      <c r="O706" t="s">
        <v>44</v>
      </c>
      <c r="P706" t="s">
        <v>45</v>
      </c>
      <c r="Q706">
        <v>0</v>
      </c>
      <c r="R706">
        <v>0</v>
      </c>
      <c r="S706">
        <v>0</v>
      </c>
      <c r="T706" t="s">
        <v>57</v>
      </c>
      <c r="U706" t="s">
        <v>57</v>
      </c>
      <c r="V706">
        <v>0</v>
      </c>
      <c r="W706" t="s">
        <v>38</v>
      </c>
      <c r="X706">
        <v>9</v>
      </c>
      <c r="Z706">
        <v>0</v>
      </c>
      <c r="AA706" t="s">
        <v>39</v>
      </c>
      <c r="AB706">
        <v>149</v>
      </c>
      <c r="AC706">
        <v>0</v>
      </c>
      <c r="AD706">
        <v>1</v>
      </c>
      <c r="AE706" t="s">
        <v>40</v>
      </c>
      <c r="AF706" s="1">
        <v>42932</v>
      </c>
    </row>
    <row r="707" spans="1:32" x14ac:dyDescent="0.25">
      <c r="A707" t="s">
        <v>32</v>
      </c>
      <c r="B707">
        <v>0</v>
      </c>
      <c r="C707">
        <v>153</v>
      </c>
      <c r="D707">
        <v>2016</v>
      </c>
      <c r="E707" t="s">
        <v>54</v>
      </c>
      <c r="F707">
        <v>16</v>
      </c>
      <c r="G707">
        <v>14</v>
      </c>
      <c r="H707">
        <v>0</v>
      </c>
      <c r="I707">
        <v>3</v>
      </c>
      <c r="J707">
        <v>3</v>
      </c>
      <c r="K707">
        <v>1</v>
      </c>
      <c r="L707">
        <v>0</v>
      </c>
      <c r="M707" t="s">
        <v>34</v>
      </c>
      <c r="N707" t="s">
        <v>43</v>
      </c>
      <c r="O707" t="s">
        <v>44</v>
      </c>
      <c r="P707" t="s">
        <v>45</v>
      </c>
      <c r="Q707">
        <v>0</v>
      </c>
      <c r="R707">
        <v>0</v>
      </c>
      <c r="S707">
        <v>0</v>
      </c>
      <c r="T707" t="s">
        <v>92</v>
      </c>
      <c r="U707" t="s">
        <v>92</v>
      </c>
      <c r="V707">
        <v>0</v>
      </c>
      <c r="W707" t="s">
        <v>38</v>
      </c>
      <c r="X707">
        <v>240</v>
      </c>
      <c r="Z707">
        <v>0</v>
      </c>
      <c r="AA707" t="s">
        <v>51</v>
      </c>
      <c r="AB707">
        <v>123</v>
      </c>
      <c r="AC707">
        <v>0</v>
      </c>
      <c r="AD707">
        <v>2</v>
      </c>
      <c r="AE707" t="s">
        <v>40</v>
      </c>
      <c r="AF707" s="1">
        <v>42477</v>
      </c>
    </row>
    <row r="708" spans="1:32" x14ac:dyDescent="0.25">
      <c r="A708" t="s">
        <v>41</v>
      </c>
      <c r="B708">
        <v>1</v>
      </c>
      <c r="C708">
        <v>132</v>
      </c>
      <c r="D708">
        <v>2016</v>
      </c>
      <c r="E708" t="s">
        <v>42</v>
      </c>
      <c r="F708">
        <v>28</v>
      </c>
      <c r="G708">
        <v>5</v>
      </c>
      <c r="H708">
        <v>0</v>
      </c>
      <c r="I708">
        <v>4</v>
      </c>
      <c r="J708">
        <v>2</v>
      </c>
      <c r="K708">
        <v>0</v>
      </c>
      <c r="L708">
        <v>0</v>
      </c>
      <c r="M708" t="s">
        <v>34</v>
      </c>
      <c r="N708" t="s">
        <v>103</v>
      </c>
      <c r="O708" t="s">
        <v>44</v>
      </c>
      <c r="P708" t="s">
        <v>45</v>
      </c>
      <c r="Q708">
        <v>0</v>
      </c>
      <c r="R708">
        <v>0</v>
      </c>
      <c r="S708">
        <v>0</v>
      </c>
      <c r="T708" t="s">
        <v>46</v>
      </c>
      <c r="U708" t="s">
        <v>46</v>
      </c>
      <c r="V708">
        <v>0</v>
      </c>
      <c r="W708" t="s">
        <v>38</v>
      </c>
      <c r="X708">
        <v>9</v>
      </c>
      <c r="Z708">
        <v>0</v>
      </c>
      <c r="AA708" t="s">
        <v>39</v>
      </c>
      <c r="AB708">
        <v>105.83</v>
      </c>
      <c r="AC708">
        <v>0</v>
      </c>
      <c r="AD708">
        <v>0</v>
      </c>
      <c r="AE708" t="s">
        <v>47</v>
      </c>
      <c r="AF708" s="1">
        <v>42434</v>
      </c>
    </row>
    <row r="709" spans="1:32" x14ac:dyDescent="0.25">
      <c r="A709" t="s">
        <v>41</v>
      </c>
      <c r="B709">
        <v>1</v>
      </c>
      <c r="C709">
        <v>104</v>
      </c>
      <c r="D709">
        <v>2016</v>
      </c>
      <c r="E709" t="s">
        <v>83</v>
      </c>
      <c r="F709">
        <v>24</v>
      </c>
      <c r="G709">
        <v>9</v>
      </c>
      <c r="H709">
        <v>0</v>
      </c>
      <c r="I709">
        <v>3</v>
      </c>
      <c r="J709">
        <v>2</v>
      </c>
      <c r="K709">
        <v>0</v>
      </c>
      <c r="L709">
        <v>0</v>
      </c>
      <c r="M709" t="s">
        <v>34</v>
      </c>
      <c r="N709" t="s">
        <v>48</v>
      </c>
      <c r="O709" t="s">
        <v>44</v>
      </c>
      <c r="P709" t="s">
        <v>45</v>
      </c>
      <c r="Q709">
        <v>0</v>
      </c>
      <c r="R709">
        <v>0</v>
      </c>
      <c r="S709">
        <v>0</v>
      </c>
      <c r="T709" t="s">
        <v>46</v>
      </c>
      <c r="U709" t="s">
        <v>46</v>
      </c>
      <c r="V709">
        <v>0</v>
      </c>
      <c r="W709" t="s">
        <v>38</v>
      </c>
      <c r="X709">
        <v>9</v>
      </c>
      <c r="Z709">
        <v>0</v>
      </c>
      <c r="AA709" t="s">
        <v>39</v>
      </c>
      <c r="AB709">
        <v>126.9</v>
      </c>
      <c r="AC709">
        <v>0</v>
      </c>
      <c r="AD709">
        <v>0</v>
      </c>
      <c r="AE709" t="s">
        <v>47</v>
      </c>
      <c r="AF709" s="1">
        <v>42430</v>
      </c>
    </row>
    <row r="710" spans="1:32" x14ac:dyDescent="0.25">
      <c r="A710" t="s">
        <v>32</v>
      </c>
      <c r="B710">
        <v>1</v>
      </c>
      <c r="C710">
        <v>41</v>
      </c>
      <c r="D710">
        <v>2015</v>
      </c>
      <c r="E710" t="s">
        <v>61</v>
      </c>
      <c r="F710">
        <v>46</v>
      </c>
      <c r="G710">
        <v>12</v>
      </c>
      <c r="H710">
        <v>1</v>
      </c>
      <c r="I710">
        <v>3</v>
      </c>
      <c r="J710">
        <v>1</v>
      </c>
      <c r="K710">
        <v>0</v>
      </c>
      <c r="L710">
        <v>0</v>
      </c>
      <c r="M710" t="s">
        <v>34</v>
      </c>
      <c r="N710" t="s">
        <v>43</v>
      </c>
      <c r="O710" t="s">
        <v>76</v>
      </c>
      <c r="P710" t="s">
        <v>76</v>
      </c>
      <c r="Q710">
        <v>0</v>
      </c>
      <c r="R710">
        <v>0</v>
      </c>
      <c r="S710">
        <v>0</v>
      </c>
      <c r="T710" t="s">
        <v>46</v>
      </c>
      <c r="U710" t="s">
        <v>46</v>
      </c>
      <c r="V710">
        <v>1</v>
      </c>
      <c r="W710" t="s">
        <v>38</v>
      </c>
      <c r="X710">
        <v>185</v>
      </c>
      <c r="Y710">
        <v>281</v>
      </c>
      <c r="Z710">
        <v>0</v>
      </c>
      <c r="AA710" t="s">
        <v>51</v>
      </c>
      <c r="AB710">
        <v>36</v>
      </c>
      <c r="AC710">
        <v>0</v>
      </c>
      <c r="AD710">
        <v>0</v>
      </c>
      <c r="AE710" t="s">
        <v>47</v>
      </c>
      <c r="AF710" s="1">
        <v>42317</v>
      </c>
    </row>
    <row r="711" spans="1:32" x14ac:dyDescent="0.25">
      <c r="A711" t="s">
        <v>41</v>
      </c>
      <c r="B711">
        <v>0</v>
      </c>
      <c r="C711">
        <v>14</v>
      </c>
      <c r="D711">
        <v>2017</v>
      </c>
      <c r="E711" t="s">
        <v>66</v>
      </c>
      <c r="F711">
        <v>7</v>
      </c>
      <c r="G711">
        <v>13</v>
      </c>
      <c r="H711">
        <v>1</v>
      </c>
      <c r="I711">
        <v>0</v>
      </c>
      <c r="J711">
        <v>3</v>
      </c>
      <c r="K711">
        <v>0</v>
      </c>
      <c r="L711">
        <v>0</v>
      </c>
      <c r="M711" t="s">
        <v>34</v>
      </c>
      <c r="N711" t="s">
        <v>87</v>
      </c>
      <c r="O711" t="s">
        <v>36</v>
      </c>
      <c r="P711" t="s">
        <v>36</v>
      </c>
      <c r="Q711">
        <v>0</v>
      </c>
      <c r="R711">
        <v>0</v>
      </c>
      <c r="S711">
        <v>0</v>
      </c>
      <c r="T711" t="s">
        <v>46</v>
      </c>
      <c r="U711" t="s">
        <v>57</v>
      </c>
      <c r="V711">
        <v>2</v>
      </c>
      <c r="W711" t="s">
        <v>38</v>
      </c>
      <c r="X711">
        <v>14</v>
      </c>
      <c r="Z711">
        <v>0</v>
      </c>
      <c r="AA711" t="s">
        <v>39</v>
      </c>
      <c r="AB711">
        <v>98</v>
      </c>
      <c r="AC711">
        <v>0</v>
      </c>
      <c r="AD711">
        <v>1</v>
      </c>
      <c r="AE711" t="s">
        <v>40</v>
      </c>
      <c r="AF711" s="1">
        <v>42780</v>
      </c>
    </row>
    <row r="712" spans="1:32" x14ac:dyDescent="0.25">
      <c r="A712" t="s">
        <v>41</v>
      </c>
      <c r="B712">
        <v>1</v>
      </c>
      <c r="C712">
        <v>178</v>
      </c>
      <c r="D712">
        <v>2016</v>
      </c>
      <c r="E712" t="s">
        <v>62</v>
      </c>
      <c r="F712">
        <v>37</v>
      </c>
      <c r="G712">
        <v>9</v>
      </c>
      <c r="H712">
        <v>0</v>
      </c>
      <c r="I712">
        <v>2</v>
      </c>
      <c r="J712">
        <v>1</v>
      </c>
      <c r="K712">
        <v>0</v>
      </c>
      <c r="L712">
        <v>0</v>
      </c>
      <c r="M712" t="s">
        <v>34</v>
      </c>
      <c r="N712" t="s">
        <v>43</v>
      </c>
      <c r="O712" t="s">
        <v>64</v>
      </c>
      <c r="P712" t="s">
        <v>45</v>
      </c>
      <c r="Q712">
        <v>0</v>
      </c>
      <c r="R712">
        <v>0</v>
      </c>
      <c r="S712">
        <v>0</v>
      </c>
      <c r="T712" t="s">
        <v>46</v>
      </c>
      <c r="U712" t="s">
        <v>46</v>
      </c>
      <c r="V712">
        <v>0</v>
      </c>
      <c r="W712" t="s">
        <v>68</v>
      </c>
      <c r="X712">
        <v>29</v>
      </c>
      <c r="Z712">
        <v>0</v>
      </c>
      <c r="AA712" t="s">
        <v>39</v>
      </c>
      <c r="AB712">
        <v>135</v>
      </c>
      <c r="AC712">
        <v>0</v>
      </c>
      <c r="AD712">
        <v>0</v>
      </c>
      <c r="AE712" t="s">
        <v>47</v>
      </c>
      <c r="AF712" s="1">
        <v>42452</v>
      </c>
    </row>
    <row r="713" spans="1:32" x14ac:dyDescent="0.25">
      <c r="A713" t="s">
        <v>32</v>
      </c>
      <c r="B713">
        <v>0</v>
      </c>
      <c r="C713">
        <v>77</v>
      </c>
      <c r="D713">
        <v>2015</v>
      </c>
      <c r="E713" t="s">
        <v>59</v>
      </c>
      <c r="F713">
        <v>41</v>
      </c>
      <c r="G713">
        <v>9</v>
      </c>
      <c r="H713">
        <v>0</v>
      </c>
      <c r="I713">
        <v>2</v>
      </c>
      <c r="J713">
        <v>2</v>
      </c>
      <c r="K713">
        <v>0</v>
      </c>
      <c r="L713">
        <v>0</v>
      </c>
      <c r="M713" t="s">
        <v>34</v>
      </c>
      <c r="N713" t="s">
        <v>43</v>
      </c>
      <c r="O713" t="s">
        <v>36</v>
      </c>
      <c r="P713" t="s">
        <v>36</v>
      </c>
      <c r="Q713">
        <v>0</v>
      </c>
      <c r="R713">
        <v>0</v>
      </c>
      <c r="S713">
        <v>0</v>
      </c>
      <c r="T713" t="s">
        <v>46</v>
      </c>
      <c r="U713" t="s">
        <v>46</v>
      </c>
      <c r="V713">
        <v>0</v>
      </c>
      <c r="W713" t="s">
        <v>38</v>
      </c>
      <c r="X713">
        <v>250</v>
      </c>
      <c r="Z713">
        <v>0</v>
      </c>
      <c r="AA713" t="s">
        <v>73</v>
      </c>
      <c r="AB713">
        <v>56</v>
      </c>
      <c r="AC713">
        <v>1</v>
      </c>
      <c r="AD713">
        <v>1</v>
      </c>
      <c r="AE713" t="s">
        <v>40</v>
      </c>
      <c r="AF713" s="1">
        <v>42288</v>
      </c>
    </row>
    <row r="714" spans="1:32" x14ac:dyDescent="0.25">
      <c r="A714" t="s">
        <v>41</v>
      </c>
      <c r="B714">
        <v>0</v>
      </c>
      <c r="C714">
        <v>0</v>
      </c>
      <c r="D714">
        <v>2017</v>
      </c>
      <c r="E714" t="s">
        <v>52</v>
      </c>
      <c r="F714">
        <v>11</v>
      </c>
      <c r="G714">
        <v>14</v>
      </c>
      <c r="H714">
        <v>0</v>
      </c>
      <c r="I714">
        <v>1</v>
      </c>
      <c r="J714">
        <v>2</v>
      </c>
      <c r="K714">
        <v>0</v>
      </c>
      <c r="L714">
        <v>0</v>
      </c>
      <c r="M714" t="s">
        <v>34</v>
      </c>
      <c r="N714" t="s">
        <v>43</v>
      </c>
      <c r="O714" t="s">
        <v>49</v>
      </c>
      <c r="P714" t="s">
        <v>45</v>
      </c>
      <c r="Q714">
        <v>0</v>
      </c>
      <c r="R714">
        <v>0</v>
      </c>
      <c r="S714">
        <v>0</v>
      </c>
      <c r="T714" t="s">
        <v>37</v>
      </c>
      <c r="U714" t="s">
        <v>37</v>
      </c>
      <c r="V714">
        <v>0</v>
      </c>
      <c r="W714" t="s">
        <v>38</v>
      </c>
      <c r="X714">
        <v>28</v>
      </c>
      <c r="Z714">
        <v>0</v>
      </c>
      <c r="AA714" t="s">
        <v>39</v>
      </c>
      <c r="AB714">
        <v>65</v>
      </c>
      <c r="AC714">
        <v>0</v>
      </c>
      <c r="AD714">
        <v>0</v>
      </c>
      <c r="AE714" t="s">
        <v>40</v>
      </c>
      <c r="AF714" s="1">
        <v>42809</v>
      </c>
    </row>
    <row r="715" spans="1:32" x14ac:dyDescent="0.25">
      <c r="A715" t="s">
        <v>41</v>
      </c>
      <c r="B715">
        <v>0</v>
      </c>
      <c r="C715">
        <v>36</v>
      </c>
      <c r="D715">
        <v>2016</v>
      </c>
      <c r="E715" t="s">
        <v>52</v>
      </c>
      <c r="F715">
        <v>10</v>
      </c>
      <c r="G715">
        <v>1</v>
      </c>
      <c r="H715">
        <v>0</v>
      </c>
      <c r="I715">
        <v>1</v>
      </c>
      <c r="J715">
        <v>1</v>
      </c>
      <c r="K715">
        <v>0</v>
      </c>
      <c r="L715">
        <v>0</v>
      </c>
      <c r="M715" t="s">
        <v>34</v>
      </c>
      <c r="N715" t="s">
        <v>56</v>
      </c>
      <c r="O715" t="s">
        <v>76</v>
      </c>
      <c r="P715" t="s">
        <v>76</v>
      </c>
      <c r="Q715">
        <v>0</v>
      </c>
      <c r="R715">
        <v>0</v>
      </c>
      <c r="S715">
        <v>0</v>
      </c>
      <c r="T715" t="s">
        <v>46</v>
      </c>
      <c r="U715" t="s">
        <v>46</v>
      </c>
      <c r="V715">
        <v>0</v>
      </c>
      <c r="W715" t="s">
        <v>38</v>
      </c>
      <c r="Y715">
        <v>185</v>
      </c>
      <c r="Z715">
        <v>0</v>
      </c>
      <c r="AA715" t="s">
        <v>51</v>
      </c>
      <c r="AB715">
        <v>86.5</v>
      </c>
      <c r="AC715">
        <v>0</v>
      </c>
      <c r="AD715">
        <v>0</v>
      </c>
      <c r="AE715" t="s">
        <v>40</v>
      </c>
      <c r="AF715" s="1">
        <v>42431</v>
      </c>
    </row>
    <row r="716" spans="1:32" x14ac:dyDescent="0.25">
      <c r="A716" t="s">
        <v>32</v>
      </c>
      <c r="B716">
        <v>0</v>
      </c>
      <c r="C716">
        <v>83</v>
      </c>
      <c r="D716">
        <v>2016</v>
      </c>
      <c r="E716" t="s">
        <v>61</v>
      </c>
      <c r="F716">
        <v>46</v>
      </c>
      <c r="G716">
        <v>12</v>
      </c>
      <c r="H716">
        <v>2</v>
      </c>
      <c r="I716">
        <v>5</v>
      </c>
      <c r="J716">
        <v>1</v>
      </c>
      <c r="K716">
        <v>0</v>
      </c>
      <c r="L716">
        <v>0</v>
      </c>
      <c r="M716" t="s">
        <v>60</v>
      </c>
      <c r="N716" t="s">
        <v>56</v>
      </c>
      <c r="O716" t="s">
        <v>44</v>
      </c>
      <c r="P716" t="s">
        <v>45</v>
      </c>
      <c r="Q716">
        <v>0</v>
      </c>
      <c r="R716">
        <v>0</v>
      </c>
      <c r="S716">
        <v>0</v>
      </c>
      <c r="T716" t="s">
        <v>72</v>
      </c>
      <c r="U716" t="s">
        <v>72</v>
      </c>
      <c r="V716">
        <v>1</v>
      </c>
      <c r="W716" t="s">
        <v>38</v>
      </c>
      <c r="X716">
        <v>314</v>
      </c>
      <c r="Z716">
        <v>0</v>
      </c>
      <c r="AA716" t="s">
        <v>39</v>
      </c>
      <c r="AB716">
        <v>57.64</v>
      </c>
      <c r="AC716">
        <v>0</v>
      </c>
      <c r="AD716">
        <v>0</v>
      </c>
      <c r="AE716" t="s">
        <v>40</v>
      </c>
      <c r="AF716" s="1">
        <v>42693</v>
      </c>
    </row>
    <row r="717" spans="1:32" x14ac:dyDescent="0.25">
      <c r="A717" t="s">
        <v>41</v>
      </c>
      <c r="B717">
        <v>1</v>
      </c>
      <c r="C717">
        <v>3</v>
      </c>
      <c r="D717">
        <v>2016</v>
      </c>
      <c r="E717" t="s">
        <v>66</v>
      </c>
      <c r="F717">
        <v>9</v>
      </c>
      <c r="G717">
        <v>25</v>
      </c>
      <c r="H717">
        <v>0</v>
      </c>
      <c r="I717">
        <v>1</v>
      </c>
      <c r="J717">
        <v>1</v>
      </c>
      <c r="K717">
        <v>0</v>
      </c>
      <c r="L717">
        <v>0</v>
      </c>
      <c r="M717" t="s">
        <v>34</v>
      </c>
      <c r="N717" t="s">
        <v>43</v>
      </c>
      <c r="O717" t="s">
        <v>76</v>
      </c>
      <c r="P717" t="s">
        <v>76</v>
      </c>
      <c r="Q717">
        <v>1</v>
      </c>
      <c r="R717">
        <v>0</v>
      </c>
      <c r="S717">
        <v>3</v>
      </c>
      <c r="T717" t="s">
        <v>46</v>
      </c>
      <c r="U717" t="s">
        <v>46</v>
      </c>
      <c r="V717">
        <v>0</v>
      </c>
      <c r="W717" t="s">
        <v>38</v>
      </c>
      <c r="Y717">
        <v>40</v>
      </c>
      <c r="Z717">
        <v>0</v>
      </c>
      <c r="AA717" t="s">
        <v>51</v>
      </c>
      <c r="AB717">
        <v>66</v>
      </c>
      <c r="AC717">
        <v>0</v>
      </c>
      <c r="AD717">
        <v>1</v>
      </c>
      <c r="AE717" t="s">
        <v>47</v>
      </c>
      <c r="AF717" s="1">
        <v>42425</v>
      </c>
    </row>
    <row r="718" spans="1:32" x14ac:dyDescent="0.25">
      <c r="A718" t="s">
        <v>32</v>
      </c>
      <c r="B718">
        <v>1</v>
      </c>
      <c r="C718">
        <v>96</v>
      </c>
      <c r="D718">
        <v>2016</v>
      </c>
      <c r="E718" t="s">
        <v>59</v>
      </c>
      <c r="F718">
        <v>42</v>
      </c>
      <c r="G718">
        <v>9</v>
      </c>
      <c r="H718">
        <v>2</v>
      </c>
      <c r="I718">
        <v>1</v>
      </c>
      <c r="J718">
        <v>2</v>
      </c>
      <c r="K718">
        <v>0</v>
      </c>
      <c r="L718">
        <v>0</v>
      </c>
      <c r="M718" t="s">
        <v>34</v>
      </c>
      <c r="N718" t="s">
        <v>43</v>
      </c>
      <c r="O718" t="s">
        <v>64</v>
      </c>
      <c r="P718" t="s">
        <v>76</v>
      </c>
      <c r="Q718">
        <v>0</v>
      </c>
      <c r="R718">
        <v>0</v>
      </c>
      <c r="S718">
        <v>0</v>
      </c>
      <c r="T718" t="s">
        <v>46</v>
      </c>
      <c r="U718" t="s">
        <v>46</v>
      </c>
      <c r="V718">
        <v>0</v>
      </c>
      <c r="W718" t="s">
        <v>38</v>
      </c>
      <c r="Z718">
        <v>0</v>
      </c>
      <c r="AA718" t="s">
        <v>51</v>
      </c>
      <c r="AB718">
        <v>55</v>
      </c>
      <c r="AC718">
        <v>0</v>
      </c>
      <c r="AD718">
        <v>0</v>
      </c>
      <c r="AE718" t="s">
        <v>47</v>
      </c>
      <c r="AF718" s="1">
        <v>42620</v>
      </c>
    </row>
    <row r="719" spans="1:32" x14ac:dyDescent="0.25">
      <c r="A719" t="s">
        <v>32</v>
      </c>
      <c r="B719">
        <v>0</v>
      </c>
      <c r="C719">
        <v>22</v>
      </c>
      <c r="D719">
        <v>2015</v>
      </c>
      <c r="E719" t="s">
        <v>59</v>
      </c>
      <c r="F719">
        <v>41</v>
      </c>
      <c r="G719">
        <v>9</v>
      </c>
      <c r="H719">
        <v>2</v>
      </c>
      <c r="I719">
        <v>2</v>
      </c>
      <c r="J719">
        <v>2</v>
      </c>
      <c r="K719">
        <v>0</v>
      </c>
      <c r="L719">
        <v>0</v>
      </c>
      <c r="M719" t="s">
        <v>34</v>
      </c>
      <c r="N719" t="s">
        <v>43</v>
      </c>
      <c r="O719" t="s">
        <v>44</v>
      </c>
      <c r="P719" t="s">
        <v>45</v>
      </c>
      <c r="Q719">
        <v>0</v>
      </c>
      <c r="R719">
        <v>0</v>
      </c>
      <c r="S719">
        <v>0</v>
      </c>
      <c r="T719" t="s">
        <v>57</v>
      </c>
      <c r="U719" t="s">
        <v>57</v>
      </c>
      <c r="V719">
        <v>0</v>
      </c>
      <c r="W719" t="s">
        <v>38</v>
      </c>
      <c r="X719">
        <v>240</v>
      </c>
      <c r="Z719">
        <v>0</v>
      </c>
      <c r="AA719" t="s">
        <v>39</v>
      </c>
      <c r="AB719">
        <v>83</v>
      </c>
      <c r="AC719">
        <v>1</v>
      </c>
      <c r="AD719">
        <v>2</v>
      </c>
      <c r="AE719" t="s">
        <v>40</v>
      </c>
      <c r="AF719" s="1">
        <v>42290</v>
      </c>
    </row>
    <row r="720" spans="1:32" x14ac:dyDescent="0.25">
      <c r="A720" t="s">
        <v>41</v>
      </c>
      <c r="B720">
        <v>0</v>
      </c>
      <c r="C720">
        <v>40</v>
      </c>
      <c r="D720">
        <v>2016</v>
      </c>
      <c r="E720" t="s">
        <v>59</v>
      </c>
      <c r="F720">
        <v>42</v>
      </c>
      <c r="G720">
        <v>10</v>
      </c>
      <c r="H720">
        <v>1</v>
      </c>
      <c r="I720">
        <v>2</v>
      </c>
      <c r="J720">
        <v>2</v>
      </c>
      <c r="K720">
        <v>0</v>
      </c>
      <c r="L720">
        <v>0</v>
      </c>
      <c r="M720" t="s">
        <v>34</v>
      </c>
      <c r="N720" t="s">
        <v>78</v>
      </c>
      <c r="O720" t="s">
        <v>49</v>
      </c>
      <c r="P720" t="s">
        <v>45</v>
      </c>
      <c r="Q720">
        <v>0</v>
      </c>
      <c r="R720">
        <v>0</v>
      </c>
      <c r="S720">
        <v>0</v>
      </c>
      <c r="T720" t="s">
        <v>46</v>
      </c>
      <c r="U720" t="s">
        <v>46</v>
      </c>
      <c r="V720">
        <v>0</v>
      </c>
      <c r="W720" t="s">
        <v>38</v>
      </c>
      <c r="X720">
        <v>85</v>
      </c>
      <c r="Z720">
        <v>0</v>
      </c>
      <c r="AA720" t="s">
        <v>39</v>
      </c>
      <c r="AB720">
        <v>85.5</v>
      </c>
      <c r="AC720">
        <v>0</v>
      </c>
      <c r="AD720">
        <v>0</v>
      </c>
      <c r="AE720" t="s">
        <v>40</v>
      </c>
      <c r="AF720" s="1">
        <v>42656</v>
      </c>
    </row>
    <row r="721" spans="1:32" x14ac:dyDescent="0.25">
      <c r="A721" t="s">
        <v>41</v>
      </c>
      <c r="B721">
        <v>1</v>
      </c>
      <c r="C721">
        <v>437</v>
      </c>
      <c r="D721">
        <v>2016</v>
      </c>
      <c r="E721" t="s">
        <v>69</v>
      </c>
      <c r="F721">
        <v>19</v>
      </c>
      <c r="G721">
        <v>2</v>
      </c>
      <c r="H721">
        <v>1</v>
      </c>
      <c r="I721">
        <v>2</v>
      </c>
      <c r="J721">
        <v>2</v>
      </c>
      <c r="K721">
        <v>0</v>
      </c>
      <c r="L721">
        <v>0</v>
      </c>
      <c r="M721" t="s">
        <v>34</v>
      </c>
      <c r="N721" t="s">
        <v>43</v>
      </c>
      <c r="O721" t="s">
        <v>64</v>
      </c>
      <c r="P721" t="s">
        <v>45</v>
      </c>
      <c r="Q721">
        <v>0</v>
      </c>
      <c r="R721">
        <v>0</v>
      </c>
      <c r="S721">
        <v>0</v>
      </c>
      <c r="T721" t="s">
        <v>46</v>
      </c>
      <c r="U721" t="s">
        <v>46</v>
      </c>
      <c r="V721">
        <v>0</v>
      </c>
      <c r="W721" t="s">
        <v>68</v>
      </c>
      <c r="X721">
        <v>1</v>
      </c>
      <c r="Z721">
        <v>0</v>
      </c>
      <c r="AA721" t="s">
        <v>39</v>
      </c>
      <c r="AB721">
        <v>60</v>
      </c>
      <c r="AC721">
        <v>0</v>
      </c>
      <c r="AD721">
        <v>0</v>
      </c>
      <c r="AE721" t="s">
        <v>47</v>
      </c>
      <c r="AF721" s="1">
        <v>42443</v>
      </c>
    </row>
    <row r="722" spans="1:32" x14ac:dyDescent="0.25">
      <c r="A722" t="s">
        <v>41</v>
      </c>
      <c r="B722">
        <v>0</v>
      </c>
      <c r="C722">
        <v>66</v>
      </c>
      <c r="D722">
        <v>2015</v>
      </c>
      <c r="E722" t="s">
        <v>61</v>
      </c>
      <c r="F722">
        <v>47</v>
      </c>
      <c r="G722">
        <v>19</v>
      </c>
      <c r="H722">
        <v>0</v>
      </c>
      <c r="I722">
        <v>1</v>
      </c>
      <c r="J722">
        <v>2</v>
      </c>
      <c r="K722">
        <v>0</v>
      </c>
      <c r="L722">
        <v>0</v>
      </c>
      <c r="M722" t="s">
        <v>34</v>
      </c>
      <c r="N722" t="s">
        <v>123</v>
      </c>
      <c r="O722" t="s">
        <v>44</v>
      </c>
      <c r="P722" t="s">
        <v>45</v>
      </c>
      <c r="Q722">
        <v>0</v>
      </c>
      <c r="R722">
        <v>0</v>
      </c>
      <c r="S722">
        <v>0</v>
      </c>
      <c r="T722" t="s">
        <v>57</v>
      </c>
      <c r="U722" t="s">
        <v>57</v>
      </c>
      <c r="V722">
        <v>0</v>
      </c>
      <c r="W722" t="s">
        <v>38</v>
      </c>
      <c r="X722">
        <v>9</v>
      </c>
      <c r="Z722">
        <v>0</v>
      </c>
      <c r="AA722" t="s">
        <v>73</v>
      </c>
      <c r="AB722">
        <v>81.900000000000006</v>
      </c>
      <c r="AC722">
        <v>0</v>
      </c>
      <c r="AD722">
        <v>2</v>
      </c>
      <c r="AE722" t="s">
        <v>40</v>
      </c>
      <c r="AF722" s="1">
        <v>42328</v>
      </c>
    </row>
    <row r="723" spans="1:32" x14ac:dyDescent="0.25">
      <c r="A723" t="s">
        <v>41</v>
      </c>
      <c r="B723">
        <v>1</v>
      </c>
      <c r="C723">
        <v>323</v>
      </c>
      <c r="D723">
        <v>2015</v>
      </c>
      <c r="E723" t="s">
        <v>62</v>
      </c>
      <c r="F723">
        <v>36</v>
      </c>
      <c r="G723">
        <v>5</v>
      </c>
      <c r="H723">
        <v>1</v>
      </c>
      <c r="I723">
        <v>1</v>
      </c>
      <c r="J723">
        <v>2</v>
      </c>
      <c r="K723">
        <v>0</v>
      </c>
      <c r="L723">
        <v>0</v>
      </c>
      <c r="M723" t="s">
        <v>34</v>
      </c>
      <c r="N723" t="s">
        <v>43</v>
      </c>
      <c r="O723" t="s">
        <v>64</v>
      </c>
      <c r="P723" t="s">
        <v>45</v>
      </c>
      <c r="Q723">
        <v>0</v>
      </c>
      <c r="R723">
        <v>1</v>
      </c>
      <c r="S723">
        <v>0</v>
      </c>
      <c r="T723" t="s">
        <v>46</v>
      </c>
      <c r="U723" t="s">
        <v>46</v>
      </c>
      <c r="V723">
        <v>0</v>
      </c>
      <c r="W723" t="s">
        <v>68</v>
      </c>
      <c r="X723">
        <v>1</v>
      </c>
      <c r="Z723">
        <v>0</v>
      </c>
      <c r="AA723" t="s">
        <v>51</v>
      </c>
      <c r="AB723">
        <v>62</v>
      </c>
      <c r="AC723">
        <v>0</v>
      </c>
      <c r="AD723">
        <v>0</v>
      </c>
      <c r="AE723" t="s">
        <v>47</v>
      </c>
      <c r="AF723" s="1">
        <v>42187</v>
      </c>
    </row>
    <row r="724" spans="1:32" x14ac:dyDescent="0.25">
      <c r="A724" t="s">
        <v>32</v>
      </c>
      <c r="B724">
        <v>1</v>
      </c>
      <c r="C724">
        <v>31</v>
      </c>
      <c r="D724">
        <v>2017</v>
      </c>
      <c r="E724" t="s">
        <v>67</v>
      </c>
      <c r="F724">
        <v>34</v>
      </c>
      <c r="G724">
        <v>25</v>
      </c>
      <c r="H724">
        <v>2</v>
      </c>
      <c r="I724">
        <v>2</v>
      </c>
      <c r="J724">
        <v>2</v>
      </c>
      <c r="K724">
        <v>0</v>
      </c>
      <c r="L724">
        <v>0</v>
      </c>
      <c r="M724" t="s">
        <v>34</v>
      </c>
      <c r="N724" t="s">
        <v>124</v>
      </c>
      <c r="O724" t="s">
        <v>44</v>
      </c>
      <c r="P724" t="s">
        <v>45</v>
      </c>
      <c r="Q724">
        <v>0</v>
      </c>
      <c r="R724">
        <v>0</v>
      </c>
      <c r="S724">
        <v>0</v>
      </c>
      <c r="T724" t="s">
        <v>72</v>
      </c>
      <c r="U724" t="s">
        <v>72</v>
      </c>
      <c r="V724">
        <v>1</v>
      </c>
      <c r="W724" t="s">
        <v>38</v>
      </c>
      <c r="X724">
        <v>240</v>
      </c>
      <c r="Z724">
        <v>0</v>
      </c>
      <c r="AA724" t="s">
        <v>39</v>
      </c>
      <c r="AB724">
        <v>250</v>
      </c>
      <c r="AC724">
        <v>0</v>
      </c>
      <c r="AD724">
        <v>2</v>
      </c>
      <c r="AE724" t="s">
        <v>47</v>
      </c>
      <c r="AF724" s="1">
        <v>42960</v>
      </c>
    </row>
    <row r="725" spans="1:32" x14ac:dyDescent="0.25">
      <c r="A725" t="s">
        <v>41</v>
      </c>
      <c r="B725">
        <v>1</v>
      </c>
      <c r="C725">
        <v>89</v>
      </c>
      <c r="D725">
        <v>2015</v>
      </c>
      <c r="E725" t="s">
        <v>59</v>
      </c>
      <c r="F725">
        <v>40</v>
      </c>
      <c r="G725">
        <v>3</v>
      </c>
      <c r="H725">
        <v>2</v>
      </c>
      <c r="I725">
        <v>2</v>
      </c>
      <c r="J725">
        <v>2</v>
      </c>
      <c r="K725">
        <v>0</v>
      </c>
      <c r="L725">
        <v>0</v>
      </c>
      <c r="M725" t="s">
        <v>34</v>
      </c>
      <c r="N725" t="s">
        <v>43</v>
      </c>
      <c r="O725" t="s">
        <v>64</v>
      </c>
      <c r="P725" t="s">
        <v>45</v>
      </c>
      <c r="Q725">
        <v>0</v>
      </c>
      <c r="R725">
        <v>0</v>
      </c>
      <c r="S725">
        <v>0</v>
      </c>
      <c r="T725" t="s">
        <v>46</v>
      </c>
      <c r="U725" t="s">
        <v>46</v>
      </c>
      <c r="V725">
        <v>0</v>
      </c>
      <c r="W725" t="s">
        <v>68</v>
      </c>
      <c r="X725">
        <v>1</v>
      </c>
      <c r="Z725">
        <v>0</v>
      </c>
      <c r="AA725" t="s">
        <v>39</v>
      </c>
      <c r="AB725">
        <v>62</v>
      </c>
      <c r="AC725">
        <v>0</v>
      </c>
      <c r="AD725">
        <v>0</v>
      </c>
      <c r="AE725" t="s">
        <v>47</v>
      </c>
      <c r="AF725" s="1">
        <v>42256</v>
      </c>
    </row>
    <row r="726" spans="1:32" x14ac:dyDescent="0.25">
      <c r="A726" t="s">
        <v>41</v>
      </c>
      <c r="B726">
        <v>0</v>
      </c>
      <c r="C726">
        <v>17</v>
      </c>
      <c r="D726">
        <v>2015</v>
      </c>
      <c r="E726" t="s">
        <v>67</v>
      </c>
      <c r="F726">
        <v>35</v>
      </c>
      <c r="G726">
        <v>29</v>
      </c>
      <c r="H726">
        <v>0</v>
      </c>
      <c r="I726">
        <v>1</v>
      </c>
      <c r="J726">
        <v>2</v>
      </c>
      <c r="K726">
        <v>0</v>
      </c>
      <c r="L726">
        <v>0</v>
      </c>
      <c r="M726" t="s">
        <v>34</v>
      </c>
      <c r="N726" t="s">
        <v>43</v>
      </c>
      <c r="O726" t="s">
        <v>44</v>
      </c>
      <c r="P726" t="s">
        <v>45</v>
      </c>
      <c r="Q726">
        <v>0</v>
      </c>
      <c r="R726">
        <v>0</v>
      </c>
      <c r="S726">
        <v>0</v>
      </c>
      <c r="T726" t="s">
        <v>46</v>
      </c>
      <c r="U726" t="s">
        <v>57</v>
      </c>
      <c r="V726">
        <v>0</v>
      </c>
      <c r="W726" t="s">
        <v>38</v>
      </c>
      <c r="X726">
        <v>9</v>
      </c>
      <c r="Z726">
        <v>0</v>
      </c>
      <c r="AA726" t="s">
        <v>51</v>
      </c>
      <c r="AB726">
        <v>90</v>
      </c>
      <c r="AC726">
        <v>0</v>
      </c>
      <c r="AD726">
        <v>1</v>
      </c>
      <c r="AE726" t="s">
        <v>40</v>
      </c>
      <c r="AF726" s="1">
        <v>42246</v>
      </c>
    </row>
    <row r="727" spans="1:32" x14ac:dyDescent="0.25">
      <c r="A727" t="s">
        <v>32</v>
      </c>
      <c r="B727">
        <v>0</v>
      </c>
      <c r="C727">
        <v>89</v>
      </c>
      <c r="D727">
        <v>2017</v>
      </c>
      <c r="E727" t="s">
        <v>54</v>
      </c>
      <c r="F727">
        <v>15</v>
      </c>
      <c r="G727">
        <v>14</v>
      </c>
      <c r="H727">
        <v>0</v>
      </c>
      <c r="I727">
        <v>2</v>
      </c>
      <c r="J727">
        <v>3</v>
      </c>
      <c r="K727">
        <v>0</v>
      </c>
      <c r="L727">
        <v>0</v>
      </c>
      <c r="M727" t="s">
        <v>34</v>
      </c>
      <c r="N727" t="s">
        <v>43</v>
      </c>
      <c r="O727" t="s">
        <v>44</v>
      </c>
      <c r="P727" t="s">
        <v>45</v>
      </c>
      <c r="Q727">
        <v>0</v>
      </c>
      <c r="R727">
        <v>0</v>
      </c>
      <c r="S727">
        <v>0</v>
      </c>
      <c r="T727" t="s">
        <v>72</v>
      </c>
      <c r="U727" t="s">
        <v>72</v>
      </c>
      <c r="V727">
        <v>1</v>
      </c>
      <c r="W727" t="s">
        <v>38</v>
      </c>
      <c r="X727">
        <v>240</v>
      </c>
      <c r="Z727">
        <v>0</v>
      </c>
      <c r="AA727" t="s">
        <v>51</v>
      </c>
      <c r="AB727">
        <v>122</v>
      </c>
      <c r="AC727">
        <v>0</v>
      </c>
      <c r="AD727">
        <v>3</v>
      </c>
      <c r="AE727" t="s">
        <v>40</v>
      </c>
      <c r="AF727" s="1">
        <v>42841</v>
      </c>
    </row>
    <row r="728" spans="1:32" x14ac:dyDescent="0.25">
      <c r="A728" t="s">
        <v>41</v>
      </c>
      <c r="B728">
        <v>0</v>
      </c>
      <c r="C728">
        <v>41</v>
      </c>
      <c r="D728">
        <v>2016</v>
      </c>
      <c r="E728" t="s">
        <v>54</v>
      </c>
      <c r="F728">
        <v>16</v>
      </c>
      <c r="G728">
        <v>12</v>
      </c>
      <c r="H728">
        <v>0</v>
      </c>
      <c r="I728">
        <v>3</v>
      </c>
      <c r="J728">
        <v>2</v>
      </c>
      <c r="K728">
        <v>0</v>
      </c>
      <c r="L728">
        <v>0</v>
      </c>
      <c r="M728" t="s">
        <v>34</v>
      </c>
      <c r="N728" t="s">
        <v>70</v>
      </c>
      <c r="O728" t="s">
        <v>44</v>
      </c>
      <c r="P728" t="s">
        <v>45</v>
      </c>
      <c r="Q728">
        <v>0</v>
      </c>
      <c r="R728">
        <v>0</v>
      </c>
      <c r="S728">
        <v>0</v>
      </c>
      <c r="T728" t="s">
        <v>46</v>
      </c>
      <c r="U728" t="s">
        <v>46</v>
      </c>
      <c r="V728">
        <v>0</v>
      </c>
      <c r="W728" t="s">
        <v>38</v>
      </c>
      <c r="X728">
        <v>9</v>
      </c>
      <c r="Z728">
        <v>0</v>
      </c>
      <c r="AA728" t="s">
        <v>39</v>
      </c>
      <c r="AB728">
        <v>105.3</v>
      </c>
      <c r="AC728">
        <v>0</v>
      </c>
      <c r="AD728">
        <v>0</v>
      </c>
      <c r="AE728" t="s">
        <v>40</v>
      </c>
      <c r="AF728" s="1">
        <v>42475</v>
      </c>
    </row>
    <row r="729" spans="1:32" x14ac:dyDescent="0.25">
      <c r="A729" t="s">
        <v>41</v>
      </c>
      <c r="B729">
        <v>1</v>
      </c>
      <c r="C729">
        <v>88</v>
      </c>
      <c r="D729">
        <v>2017</v>
      </c>
      <c r="E729" t="s">
        <v>69</v>
      </c>
      <c r="F729">
        <v>20</v>
      </c>
      <c r="G729">
        <v>17</v>
      </c>
      <c r="H729">
        <v>0</v>
      </c>
      <c r="I729">
        <v>3</v>
      </c>
      <c r="J729">
        <v>2</v>
      </c>
      <c r="K729">
        <v>0</v>
      </c>
      <c r="L729">
        <v>0</v>
      </c>
      <c r="M729" t="s">
        <v>55</v>
      </c>
      <c r="N729" t="s">
        <v>106</v>
      </c>
      <c r="O729" t="s">
        <v>44</v>
      </c>
      <c r="P729" t="s">
        <v>45</v>
      </c>
      <c r="Q729">
        <v>0</v>
      </c>
      <c r="R729">
        <v>0</v>
      </c>
      <c r="S729">
        <v>0</v>
      </c>
      <c r="T729" t="s">
        <v>46</v>
      </c>
      <c r="U729" t="s">
        <v>46</v>
      </c>
      <c r="V729">
        <v>0</v>
      </c>
      <c r="W729" t="s">
        <v>38</v>
      </c>
      <c r="X729">
        <v>9</v>
      </c>
      <c r="Z729">
        <v>0</v>
      </c>
      <c r="AA729" t="s">
        <v>39</v>
      </c>
      <c r="AB729">
        <v>117</v>
      </c>
      <c r="AC729">
        <v>0</v>
      </c>
      <c r="AD729">
        <v>0</v>
      </c>
      <c r="AE729" t="s">
        <v>47</v>
      </c>
      <c r="AF729" s="1">
        <v>42784</v>
      </c>
    </row>
    <row r="730" spans="1:32" x14ac:dyDescent="0.25">
      <c r="A730" t="s">
        <v>41</v>
      </c>
      <c r="B730">
        <v>0</v>
      </c>
      <c r="C730">
        <v>56</v>
      </c>
      <c r="D730">
        <v>2016</v>
      </c>
      <c r="E730" t="s">
        <v>61</v>
      </c>
      <c r="F730">
        <v>46</v>
      </c>
      <c r="G730">
        <v>11</v>
      </c>
      <c r="H730">
        <v>2</v>
      </c>
      <c r="I730">
        <v>2</v>
      </c>
      <c r="J730">
        <v>2</v>
      </c>
      <c r="K730">
        <v>0</v>
      </c>
      <c r="L730">
        <v>0</v>
      </c>
      <c r="M730" t="s">
        <v>55</v>
      </c>
      <c r="N730" t="s">
        <v>63</v>
      </c>
      <c r="O730" t="s">
        <v>44</v>
      </c>
      <c r="P730" t="s">
        <v>45</v>
      </c>
      <c r="Q730">
        <v>0</v>
      </c>
      <c r="R730">
        <v>0</v>
      </c>
      <c r="S730">
        <v>0</v>
      </c>
      <c r="T730" t="s">
        <v>46</v>
      </c>
      <c r="U730" t="s">
        <v>46</v>
      </c>
      <c r="V730">
        <v>0</v>
      </c>
      <c r="W730" t="s">
        <v>38</v>
      </c>
      <c r="X730">
        <v>9</v>
      </c>
      <c r="Z730">
        <v>0</v>
      </c>
      <c r="AA730" t="s">
        <v>39</v>
      </c>
      <c r="AB730">
        <v>74.8</v>
      </c>
      <c r="AC730">
        <v>0</v>
      </c>
      <c r="AD730">
        <v>3</v>
      </c>
      <c r="AE730" t="s">
        <v>40</v>
      </c>
      <c r="AF730" s="1">
        <v>42689</v>
      </c>
    </row>
    <row r="731" spans="1:32" x14ac:dyDescent="0.25">
      <c r="A731" t="s">
        <v>41</v>
      </c>
      <c r="B731">
        <v>0</v>
      </c>
      <c r="C731">
        <v>225</v>
      </c>
      <c r="D731">
        <v>2017</v>
      </c>
      <c r="E731" t="s">
        <v>83</v>
      </c>
      <c r="F731">
        <v>26</v>
      </c>
      <c r="G731">
        <v>29</v>
      </c>
      <c r="H731">
        <v>0</v>
      </c>
      <c r="I731">
        <v>3</v>
      </c>
      <c r="J731">
        <v>2</v>
      </c>
      <c r="K731">
        <v>0</v>
      </c>
      <c r="L731">
        <v>0</v>
      </c>
      <c r="M731" t="s">
        <v>55</v>
      </c>
      <c r="N731" t="s">
        <v>35</v>
      </c>
      <c r="O731" t="s">
        <v>44</v>
      </c>
      <c r="P731" t="s">
        <v>45</v>
      </c>
      <c r="Q731">
        <v>0</v>
      </c>
      <c r="R731">
        <v>0</v>
      </c>
      <c r="S731">
        <v>0</v>
      </c>
      <c r="T731" t="s">
        <v>46</v>
      </c>
      <c r="U731" t="s">
        <v>46</v>
      </c>
      <c r="V731">
        <v>0</v>
      </c>
      <c r="W731" t="s">
        <v>38</v>
      </c>
      <c r="X731">
        <v>9</v>
      </c>
      <c r="Z731">
        <v>0</v>
      </c>
      <c r="AA731" t="s">
        <v>39</v>
      </c>
      <c r="AB731">
        <v>95.7</v>
      </c>
      <c r="AC731">
        <v>0</v>
      </c>
      <c r="AD731">
        <v>3</v>
      </c>
      <c r="AE731" t="s">
        <v>40</v>
      </c>
      <c r="AF731" s="1">
        <v>42918</v>
      </c>
    </row>
    <row r="732" spans="1:32" x14ac:dyDescent="0.25">
      <c r="A732" t="s">
        <v>41</v>
      </c>
      <c r="B732">
        <v>1</v>
      </c>
      <c r="C732">
        <v>1</v>
      </c>
      <c r="D732">
        <v>2016</v>
      </c>
      <c r="E732" t="s">
        <v>74</v>
      </c>
      <c r="F732">
        <v>4</v>
      </c>
      <c r="G732">
        <v>23</v>
      </c>
      <c r="H732">
        <v>2</v>
      </c>
      <c r="I732">
        <v>1</v>
      </c>
      <c r="J732">
        <v>2</v>
      </c>
      <c r="K732">
        <v>0</v>
      </c>
      <c r="L732">
        <v>0</v>
      </c>
      <c r="M732" t="s">
        <v>55</v>
      </c>
      <c r="N732" t="s">
        <v>97</v>
      </c>
      <c r="O732" t="s">
        <v>44</v>
      </c>
      <c r="P732" t="s">
        <v>45</v>
      </c>
      <c r="Q732">
        <v>0</v>
      </c>
      <c r="R732">
        <v>0</v>
      </c>
      <c r="S732">
        <v>0</v>
      </c>
      <c r="T732" t="s">
        <v>46</v>
      </c>
      <c r="U732" t="s">
        <v>46</v>
      </c>
      <c r="V732">
        <v>0</v>
      </c>
      <c r="W732" t="s">
        <v>38</v>
      </c>
      <c r="X732">
        <v>9</v>
      </c>
      <c r="Z732">
        <v>0</v>
      </c>
      <c r="AA732" t="s">
        <v>39</v>
      </c>
      <c r="AB732">
        <v>79</v>
      </c>
      <c r="AC732">
        <v>0</v>
      </c>
      <c r="AD732">
        <v>0</v>
      </c>
      <c r="AE732" t="s">
        <v>89</v>
      </c>
      <c r="AF732" s="1">
        <v>42392</v>
      </c>
    </row>
    <row r="733" spans="1:32" x14ac:dyDescent="0.25">
      <c r="A733" t="s">
        <v>32</v>
      </c>
      <c r="B733">
        <v>0</v>
      </c>
      <c r="C733">
        <v>0</v>
      </c>
      <c r="D733">
        <v>2015</v>
      </c>
      <c r="E733" t="s">
        <v>59</v>
      </c>
      <c r="F733">
        <v>44</v>
      </c>
      <c r="G733">
        <v>27</v>
      </c>
      <c r="H733">
        <v>0</v>
      </c>
      <c r="I733">
        <v>1</v>
      </c>
      <c r="J733">
        <v>1</v>
      </c>
      <c r="K733">
        <v>0</v>
      </c>
      <c r="L733">
        <v>0</v>
      </c>
      <c r="M733" t="s">
        <v>34</v>
      </c>
      <c r="N733" t="s">
        <v>43</v>
      </c>
      <c r="O733" t="s">
        <v>36</v>
      </c>
      <c r="P733" t="s">
        <v>36</v>
      </c>
      <c r="Q733">
        <v>0</v>
      </c>
      <c r="R733">
        <v>0</v>
      </c>
      <c r="S733">
        <v>0</v>
      </c>
      <c r="T733" t="s">
        <v>57</v>
      </c>
      <c r="U733" t="s">
        <v>57</v>
      </c>
      <c r="V733">
        <v>0</v>
      </c>
      <c r="W733" t="s">
        <v>38</v>
      </c>
      <c r="Z733">
        <v>0</v>
      </c>
      <c r="AA733" t="s">
        <v>39</v>
      </c>
      <c r="AB733">
        <v>45</v>
      </c>
      <c r="AC733">
        <v>0</v>
      </c>
      <c r="AD733">
        <v>0</v>
      </c>
      <c r="AE733" t="s">
        <v>40</v>
      </c>
      <c r="AF733" s="1">
        <v>42305</v>
      </c>
    </row>
    <row r="734" spans="1:32" x14ac:dyDescent="0.25">
      <c r="A734" t="s">
        <v>32</v>
      </c>
      <c r="B734">
        <v>1</v>
      </c>
      <c r="C734">
        <v>209</v>
      </c>
      <c r="D734">
        <v>2016</v>
      </c>
      <c r="E734" t="s">
        <v>42</v>
      </c>
      <c r="F734">
        <v>28</v>
      </c>
      <c r="G734">
        <v>8</v>
      </c>
      <c r="H734">
        <v>2</v>
      </c>
      <c r="I734">
        <v>5</v>
      </c>
      <c r="J734">
        <v>2</v>
      </c>
      <c r="K734">
        <v>2</v>
      </c>
      <c r="L734">
        <v>0</v>
      </c>
      <c r="M734" t="s">
        <v>34</v>
      </c>
      <c r="N734" t="s">
        <v>43</v>
      </c>
      <c r="O734" t="s">
        <v>44</v>
      </c>
      <c r="P734" t="s">
        <v>45</v>
      </c>
      <c r="Q734">
        <v>0</v>
      </c>
      <c r="R734">
        <v>0</v>
      </c>
      <c r="S734">
        <v>0</v>
      </c>
      <c r="T734" t="s">
        <v>84</v>
      </c>
      <c r="U734" t="s">
        <v>84</v>
      </c>
      <c r="V734">
        <v>0</v>
      </c>
      <c r="W734" t="s">
        <v>38</v>
      </c>
      <c r="X734">
        <v>240</v>
      </c>
      <c r="Z734">
        <v>0</v>
      </c>
      <c r="AA734" t="s">
        <v>39</v>
      </c>
      <c r="AB734">
        <v>163</v>
      </c>
      <c r="AC734">
        <v>0</v>
      </c>
      <c r="AD734">
        <v>0</v>
      </c>
      <c r="AE734" t="s">
        <v>47</v>
      </c>
      <c r="AF734" s="1">
        <v>42461</v>
      </c>
    </row>
    <row r="735" spans="1:32" x14ac:dyDescent="0.25">
      <c r="A735" t="s">
        <v>32</v>
      </c>
      <c r="B735">
        <v>0</v>
      </c>
      <c r="C735">
        <v>0</v>
      </c>
      <c r="D735">
        <v>2017</v>
      </c>
      <c r="E735" t="s">
        <v>66</v>
      </c>
      <c r="F735">
        <v>9</v>
      </c>
      <c r="G735">
        <v>27</v>
      </c>
      <c r="H735">
        <v>1</v>
      </c>
      <c r="I735">
        <v>1</v>
      </c>
      <c r="J735">
        <v>2</v>
      </c>
      <c r="K735">
        <v>0</v>
      </c>
      <c r="L735">
        <v>0</v>
      </c>
      <c r="M735" t="s">
        <v>34</v>
      </c>
      <c r="N735" t="s">
        <v>43</v>
      </c>
      <c r="O735" t="s">
        <v>36</v>
      </c>
      <c r="P735" t="s">
        <v>36</v>
      </c>
      <c r="Q735">
        <v>0</v>
      </c>
      <c r="R735">
        <v>0</v>
      </c>
      <c r="S735">
        <v>0</v>
      </c>
      <c r="T735" t="s">
        <v>57</v>
      </c>
      <c r="U735" t="s">
        <v>57</v>
      </c>
      <c r="V735">
        <v>0</v>
      </c>
      <c r="W735" t="s">
        <v>38</v>
      </c>
      <c r="Z735">
        <v>0</v>
      </c>
      <c r="AA735" t="s">
        <v>51</v>
      </c>
      <c r="AB735">
        <v>62</v>
      </c>
      <c r="AC735">
        <v>1</v>
      </c>
      <c r="AD735">
        <v>0</v>
      </c>
      <c r="AE735" t="s">
        <v>40</v>
      </c>
      <c r="AF735" s="1">
        <v>42795</v>
      </c>
    </row>
    <row r="736" spans="1:32" x14ac:dyDescent="0.25">
      <c r="A736" t="s">
        <v>41</v>
      </c>
      <c r="B736">
        <v>1</v>
      </c>
      <c r="C736">
        <v>96</v>
      </c>
      <c r="D736">
        <v>2017</v>
      </c>
      <c r="E736" t="s">
        <v>69</v>
      </c>
      <c r="F736">
        <v>19</v>
      </c>
      <c r="G736">
        <v>11</v>
      </c>
      <c r="H736">
        <v>0</v>
      </c>
      <c r="I736">
        <v>3</v>
      </c>
      <c r="J736">
        <v>2</v>
      </c>
      <c r="K736">
        <v>0</v>
      </c>
      <c r="L736">
        <v>0</v>
      </c>
      <c r="M736" t="s">
        <v>34</v>
      </c>
      <c r="N736" t="s">
        <v>95</v>
      </c>
      <c r="O736" t="s">
        <v>44</v>
      </c>
      <c r="P736" t="s">
        <v>45</v>
      </c>
      <c r="Q736">
        <v>0</v>
      </c>
      <c r="R736">
        <v>0</v>
      </c>
      <c r="S736">
        <v>0</v>
      </c>
      <c r="T736" t="s">
        <v>57</v>
      </c>
      <c r="U736" t="s">
        <v>57</v>
      </c>
      <c r="V736">
        <v>0</v>
      </c>
      <c r="W736" t="s">
        <v>38</v>
      </c>
      <c r="X736">
        <v>9</v>
      </c>
      <c r="Z736">
        <v>0</v>
      </c>
      <c r="AA736" t="s">
        <v>39</v>
      </c>
      <c r="AB736">
        <v>147</v>
      </c>
      <c r="AC736">
        <v>0</v>
      </c>
      <c r="AD736">
        <v>0</v>
      </c>
      <c r="AE736" t="s">
        <v>47</v>
      </c>
      <c r="AF736" s="1">
        <v>42781</v>
      </c>
    </row>
    <row r="737" spans="1:32" x14ac:dyDescent="0.25">
      <c r="A737" t="s">
        <v>41</v>
      </c>
      <c r="B737">
        <v>0</v>
      </c>
      <c r="C737">
        <v>113</v>
      </c>
      <c r="D737">
        <v>2016</v>
      </c>
      <c r="E737" t="s">
        <v>54</v>
      </c>
      <c r="F737">
        <v>16</v>
      </c>
      <c r="G737">
        <v>15</v>
      </c>
      <c r="H737">
        <v>0</v>
      </c>
      <c r="I737">
        <v>2</v>
      </c>
      <c r="J737">
        <v>2</v>
      </c>
      <c r="K737">
        <v>0</v>
      </c>
      <c r="L737">
        <v>0</v>
      </c>
      <c r="M737" t="s">
        <v>34</v>
      </c>
      <c r="N737" t="s">
        <v>70</v>
      </c>
      <c r="O737" t="s">
        <v>44</v>
      </c>
      <c r="P737" t="s">
        <v>45</v>
      </c>
      <c r="Q737">
        <v>0</v>
      </c>
      <c r="R737">
        <v>0</v>
      </c>
      <c r="S737">
        <v>0</v>
      </c>
      <c r="T737" t="s">
        <v>46</v>
      </c>
      <c r="U737" t="s">
        <v>46</v>
      </c>
      <c r="V737">
        <v>0</v>
      </c>
      <c r="W737" t="s">
        <v>38</v>
      </c>
      <c r="X737">
        <v>9</v>
      </c>
      <c r="Z737">
        <v>0</v>
      </c>
      <c r="AA737" t="s">
        <v>39</v>
      </c>
      <c r="AB737">
        <v>96.3</v>
      </c>
      <c r="AC737">
        <v>0</v>
      </c>
      <c r="AD737">
        <v>1</v>
      </c>
      <c r="AE737" t="s">
        <v>40</v>
      </c>
      <c r="AF737" s="1">
        <v>42477</v>
      </c>
    </row>
    <row r="738" spans="1:32" x14ac:dyDescent="0.25">
      <c r="A738" t="s">
        <v>41</v>
      </c>
      <c r="B738">
        <v>0</v>
      </c>
      <c r="C738">
        <v>32</v>
      </c>
      <c r="D738">
        <v>2017</v>
      </c>
      <c r="E738" t="s">
        <v>66</v>
      </c>
      <c r="F738">
        <v>9</v>
      </c>
      <c r="G738">
        <v>26</v>
      </c>
      <c r="H738">
        <v>2</v>
      </c>
      <c r="I738">
        <v>2</v>
      </c>
      <c r="J738">
        <v>2</v>
      </c>
      <c r="K738">
        <v>0</v>
      </c>
      <c r="L738">
        <v>0</v>
      </c>
      <c r="M738" t="s">
        <v>55</v>
      </c>
      <c r="N738" t="s">
        <v>65</v>
      </c>
      <c r="O738" t="s">
        <v>44</v>
      </c>
      <c r="P738" t="s">
        <v>45</v>
      </c>
      <c r="Q738">
        <v>0</v>
      </c>
      <c r="R738">
        <v>0</v>
      </c>
      <c r="S738">
        <v>0</v>
      </c>
      <c r="T738" t="s">
        <v>46</v>
      </c>
      <c r="U738" t="s">
        <v>46</v>
      </c>
      <c r="V738">
        <v>0</v>
      </c>
      <c r="W738" t="s">
        <v>38</v>
      </c>
      <c r="X738">
        <v>9</v>
      </c>
      <c r="Z738">
        <v>0</v>
      </c>
      <c r="AA738" t="s">
        <v>39</v>
      </c>
      <c r="AB738">
        <v>74.8</v>
      </c>
      <c r="AC738">
        <v>0</v>
      </c>
      <c r="AD738">
        <v>2</v>
      </c>
      <c r="AE738" t="s">
        <v>40</v>
      </c>
      <c r="AF738" s="1">
        <v>42796</v>
      </c>
    </row>
    <row r="739" spans="1:32" x14ac:dyDescent="0.25">
      <c r="A739" t="s">
        <v>41</v>
      </c>
      <c r="B739">
        <v>1</v>
      </c>
      <c r="C739">
        <v>326</v>
      </c>
      <c r="D739">
        <v>2015</v>
      </c>
      <c r="E739" t="s">
        <v>62</v>
      </c>
      <c r="F739">
        <v>37</v>
      </c>
      <c r="G739">
        <v>8</v>
      </c>
      <c r="H739">
        <v>0</v>
      </c>
      <c r="I739">
        <v>1</v>
      </c>
      <c r="J739">
        <v>2</v>
      </c>
      <c r="K739">
        <v>0</v>
      </c>
      <c r="L739">
        <v>0</v>
      </c>
      <c r="M739" t="s">
        <v>34</v>
      </c>
      <c r="N739" t="s">
        <v>43</v>
      </c>
      <c r="O739" t="s">
        <v>64</v>
      </c>
      <c r="P739" t="s">
        <v>45</v>
      </c>
      <c r="Q739">
        <v>0</v>
      </c>
      <c r="R739">
        <v>1</v>
      </c>
      <c r="S739">
        <v>0</v>
      </c>
      <c r="T739" t="s">
        <v>46</v>
      </c>
      <c r="U739" t="s">
        <v>46</v>
      </c>
      <c r="V739">
        <v>0</v>
      </c>
      <c r="W739" t="s">
        <v>68</v>
      </c>
      <c r="X739">
        <v>1</v>
      </c>
      <c r="Z739">
        <v>0</v>
      </c>
      <c r="AA739" t="s">
        <v>39</v>
      </c>
      <c r="AB739">
        <v>60</v>
      </c>
      <c r="AC739">
        <v>0</v>
      </c>
      <c r="AD739">
        <v>0</v>
      </c>
      <c r="AE739" t="s">
        <v>47</v>
      </c>
      <c r="AF739" s="1">
        <v>42152</v>
      </c>
    </row>
    <row r="740" spans="1:32" x14ac:dyDescent="0.25">
      <c r="A740" t="s">
        <v>41</v>
      </c>
      <c r="B740">
        <v>1</v>
      </c>
      <c r="C740">
        <v>405</v>
      </c>
      <c r="D740">
        <v>2016</v>
      </c>
      <c r="E740" t="s">
        <v>67</v>
      </c>
      <c r="F740">
        <v>34</v>
      </c>
      <c r="G740">
        <v>18</v>
      </c>
      <c r="H740">
        <v>0</v>
      </c>
      <c r="I740">
        <v>2</v>
      </c>
      <c r="J740">
        <v>2</v>
      </c>
      <c r="K740">
        <v>0</v>
      </c>
      <c r="L740">
        <v>0</v>
      </c>
      <c r="M740" t="s">
        <v>34</v>
      </c>
      <c r="N740" t="s">
        <v>43</v>
      </c>
      <c r="O740" t="s">
        <v>64</v>
      </c>
      <c r="P740" t="s">
        <v>45</v>
      </c>
      <c r="Q740">
        <v>0</v>
      </c>
      <c r="R740">
        <v>0</v>
      </c>
      <c r="S740">
        <v>0</v>
      </c>
      <c r="T740" t="s">
        <v>46</v>
      </c>
      <c r="U740" t="s">
        <v>46</v>
      </c>
      <c r="V740">
        <v>0</v>
      </c>
      <c r="W740" t="s">
        <v>68</v>
      </c>
      <c r="X740">
        <v>1</v>
      </c>
      <c r="Z740">
        <v>0</v>
      </c>
      <c r="AA740" t="s">
        <v>39</v>
      </c>
      <c r="AB740">
        <v>62</v>
      </c>
      <c r="AC740">
        <v>0</v>
      </c>
      <c r="AD740">
        <v>0</v>
      </c>
      <c r="AE740" t="s">
        <v>47</v>
      </c>
      <c r="AF740" s="1">
        <v>42298</v>
      </c>
    </row>
    <row r="741" spans="1:32" x14ac:dyDescent="0.25">
      <c r="A741" t="s">
        <v>41</v>
      </c>
      <c r="B741">
        <v>0</v>
      </c>
      <c r="C741">
        <v>6</v>
      </c>
      <c r="D741">
        <v>2017</v>
      </c>
      <c r="E741" t="s">
        <v>66</v>
      </c>
      <c r="F741">
        <v>5</v>
      </c>
      <c r="G741">
        <v>4</v>
      </c>
      <c r="H741">
        <v>2</v>
      </c>
      <c r="I741">
        <v>3</v>
      </c>
      <c r="J741">
        <v>2</v>
      </c>
      <c r="K741">
        <v>0</v>
      </c>
      <c r="L741">
        <v>0</v>
      </c>
      <c r="M741" t="s">
        <v>34</v>
      </c>
      <c r="N741" t="s">
        <v>70</v>
      </c>
      <c r="O741" t="s">
        <v>44</v>
      </c>
      <c r="P741" t="s">
        <v>45</v>
      </c>
      <c r="Q741">
        <v>0</v>
      </c>
      <c r="R741">
        <v>0</v>
      </c>
      <c r="S741">
        <v>0</v>
      </c>
      <c r="T741" t="s">
        <v>57</v>
      </c>
      <c r="U741" t="s">
        <v>57</v>
      </c>
      <c r="V741">
        <v>0</v>
      </c>
      <c r="W741" t="s">
        <v>38</v>
      </c>
      <c r="X741">
        <v>9</v>
      </c>
      <c r="Z741">
        <v>0</v>
      </c>
      <c r="AA741" t="s">
        <v>39</v>
      </c>
      <c r="AB741">
        <v>100.3</v>
      </c>
      <c r="AC741">
        <v>0</v>
      </c>
      <c r="AD741">
        <v>3</v>
      </c>
      <c r="AE741" t="s">
        <v>40</v>
      </c>
      <c r="AF741" s="1">
        <v>42775</v>
      </c>
    </row>
    <row r="742" spans="1:32" x14ac:dyDescent="0.25">
      <c r="A742" t="s">
        <v>41</v>
      </c>
      <c r="B742">
        <v>1</v>
      </c>
      <c r="C742">
        <v>396</v>
      </c>
      <c r="D742">
        <v>2017</v>
      </c>
      <c r="E742" t="s">
        <v>54</v>
      </c>
      <c r="F742">
        <v>17</v>
      </c>
      <c r="G742">
        <v>25</v>
      </c>
      <c r="H742">
        <v>0</v>
      </c>
      <c r="I742">
        <v>1</v>
      </c>
      <c r="J742">
        <v>2</v>
      </c>
      <c r="K742">
        <v>0</v>
      </c>
      <c r="L742">
        <v>0</v>
      </c>
      <c r="M742" t="s">
        <v>34</v>
      </c>
      <c r="N742" t="s">
        <v>43</v>
      </c>
      <c r="O742" t="s">
        <v>49</v>
      </c>
      <c r="P742" t="s">
        <v>45</v>
      </c>
      <c r="Q742">
        <v>0</v>
      </c>
      <c r="R742">
        <v>0</v>
      </c>
      <c r="S742">
        <v>0</v>
      </c>
      <c r="T742" t="s">
        <v>46</v>
      </c>
      <c r="U742" t="s">
        <v>46</v>
      </c>
      <c r="V742">
        <v>0</v>
      </c>
      <c r="W742" t="s">
        <v>68</v>
      </c>
      <c r="X742">
        <v>229</v>
      </c>
      <c r="Z742">
        <v>0</v>
      </c>
      <c r="AA742" t="s">
        <v>39</v>
      </c>
      <c r="AB742">
        <v>90</v>
      </c>
      <c r="AC742">
        <v>0</v>
      </c>
      <c r="AD742">
        <v>0</v>
      </c>
      <c r="AE742" t="s">
        <v>47</v>
      </c>
      <c r="AF742" s="1">
        <v>42477</v>
      </c>
    </row>
    <row r="743" spans="1:32" x14ac:dyDescent="0.25">
      <c r="A743" t="s">
        <v>32</v>
      </c>
      <c r="B743">
        <v>0</v>
      </c>
      <c r="C743">
        <v>128</v>
      </c>
      <c r="D743">
        <v>2016</v>
      </c>
      <c r="E743" t="s">
        <v>62</v>
      </c>
      <c r="F743">
        <v>40</v>
      </c>
      <c r="G743">
        <v>30</v>
      </c>
      <c r="H743">
        <v>2</v>
      </c>
      <c r="I743">
        <v>5</v>
      </c>
      <c r="J743">
        <v>2</v>
      </c>
      <c r="K743">
        <v>0</v>
      </c>
      <c r="L743">
        <v>0</v>
      </c>
      <c r="M743" t="s">
        <v>34</v>
      </c>
      <c r="N743" t="s">
        <v>95</v>
      </c>
      <c r="O743" t="s">
        <v>36</v>
      </c>
      <c r="P743" t="s">
        <v>36</v>
      </c>
      <c r="Q743">
        <v>0</v>
      </c>
      <c r="R743">
        <v>0</v>
      </c>
      <c r="S743">
        <v>0</v>
      </c>
      <c r="T743" t="s">
        <v>37</v>
      </c>
      <c r="U743" t="s">
        <v>37</v>
      </c>
      <c r="V743">
        <v>0</v>
      </c>
      <c r="W743" t="s">
        <v>38</v>
      </c>
      <c r="X743">
        <v>250</v>
      </c>
      <c r="Z743">
        <v>0</v>
      </c>
      <c r="AA743" t="s">
        <v>39</v>
      </c>
      <c r="AB743">
        <v>96.23</v>
      </c>
      <c r="AC743">
        <v>0</v>
      </c>
      <c r="AD743">
        <v>0</v>
      </c>
      <c r="AE743" t="s">
        <v>40</v>
      </c>
      <c r="AF743" s="1">
        <v>42650</v>
      </c>
    </row>
    <row r="744" spans="1:32" x14ac:dyDescent="0.25">
      <c r="A744" t="s">
        <v>41</v>
      </c>
      <c r="B744">
        <v>1</v>
      </c>
      <c r="C744">
        <v>4</v>
      </c>
      <c r="D744">
        <v>2017</v>
      </c>
      <c r="E744" t="s">
        <v>66</v>
      </c>
      <c r="F744">
        <v>8</v>
      </c>
      <c r="G744">
        <v>21</v>
      </c>
      <c r="H744">
        <v>0</v>
      </c>
      <c r="I744">
        <v>3</v>
      </c>
      <c r="J744">
        <v>0</v>
      </c>
      <c r="K744">
        <v>0</v>
      </c>
      <c r="L744">
        <v>0</v>
      </c>
      <c r="M744" t="s">
        <v>55</v>
      </c>
      <c r="N744" t="s">
        <v>43</v>
      </c>
      <c r="O744" t="s">
        <v>64</v>
      </c>
      <c r="P744" t="s">
        <v>45</v>
      </c>
      <c r="Q744">
        <v>0</v>
      </c>
      <c r="R744">
        <v>0</v>
      </c>
      <c r="S744">
        <v>0</v>
      </c>
      <c r="T744" t="s">
        <v>46</v>
      </c>
      <c r="U744" t="s">
        <v>46</v>
      </c>
      <c r="V744">
        <v>0</v>
      </c>
      <c r="W744" t="s">
        <v>38</v>
      </c>
      <c r="Z744">
        <v>0</v>
      </c>
      <c r="AA744" t="s">
        <v>51</v>
      </c>
      <c r="AB744">
        <v>0</v>
      </c>
      <c r="AC744">
        <v>0</v>
      </c>
      <c r="AD744">
        <v>0</v>
      </c>
      <c r="AE744" t="s">
        <v>47</v>
      </c>
      <c r="AF744" s="1">
        <v>42783</v>
      </c>
    </row>
    <row r="745" spans="1:32" x14ac:dyDescent="0.25">
      <c r="A745" t="s">
        <v>41</v>
      </c>
      <c r="B745">
        <v>0</v>
      </c>
      <c r="C745">
        <v>111</v>
      </c>
      <c r="D745">
        <v>2017</v>
      </c>
      <c r="E745" t="s">
        <v>54</v>
      </c>
      <c r="F745">
        <v>14</v>
      </c>
      <c r="G745">
        <v>3</v>
      </c>
      <c r="H745">
        <v>1</v>
      </c>
      <c r="I745">
        <v>1</v>
      </c>
      <c r="J745">
        <v>2</v>
      </c>
      <c r="K745">
        <v>0</v>
      </c>
      <c r="L745">
        <v>0</v>
      </c>
      <c r="M745" t="s">
        <v>34</v>
      </c>
      <c r="N745" t="s">
        <v>100</v>
      </c>
      <c r="O745" t="s">
        <v>64</v>
      </c>
      <c r="P745" t="s">
        <v>45</v>
      </c>
      <c r="Q745">
        <v>0</v>
      </c>
      <c r="R745">
        <v>0</v>
      </c>
      <c r="S745">
        <v>0</v>
      </c>
      <c r="T745" t="s">
        <v>46</v>
      </c>
      <c r="U745" t="s">
        <v>46</v>
      </c>
      <c r="V745">
        <v>0</v>
      </c>
      <c r="W745" t="s">
        <v>38</v>
      </c>
      <c r="X745">
        <v>37</v>
      </c>
      <c r="Z745">
        <v>0</v>
      </c>
      <c r="AA745" t="s">
        <v>51</v>
      </c>
      <c r="AB745">
        <v>95</v>
      </c>
      <c r="AC745">
        <v>0</v>
      </c>
      <c r="AD745">
        <v>1</v>
      </c>
      <c r="AE745" t="s">
        <v>40</v>
      </c>
      <c r="AF745" s="1">
        <v>42830</v>
      </c>
    </row>
    <row r="746" spans="1:32" x14ac:dyDescent="0.25">
      <c r="A746" t="s">
        <v>32</v>
      </c>
      <c r="B746">
        <v>1</v>
      </c>
      <c r="C746">
        <v>233</v>
      </c>
      <c r="D746">
        <v>2017</v>
      </c>
      <c r="E746" t="s">
        <v>67</v>
      </c>
      <c r="F746">
        <v>34</v>
      </c>
      <c r="G746">
        <v>21</v>
      </c>
      <c r="H746">
        <v>1</v>
      </c>
      <c r="I746">
        <v>5</v>
      </c>
      <c r="J746">
        <v>2</v>
      </c>
      <c r="K746">
        <v>0</v>
      </c>
      <c r="L746">
        <v>0</v>
      </c>
      <c r="M746" t="s">
        <v>34</v>
      </c>
      <c r="N746" t="s">
        <v>95</v>
      </c>
      <c r="O746" t="s">
        <v>44</v>
      </c>
      <c r="P746" t="s">
        <v>45</v>
      </c>
      <c r="Q746">
        <v>0</v>
      </c>
      <c r="R746">
        <v>0</v>
      </c>
      <c r="S746">
        <v>0</v>
      </c>
      <c r="T746" t="s">
        <v>46</v>
      </c>
      <c r="U746" t="s">
        <v>46</v>
      </c>
      <c r="V746">
        <v>0</v>
      </c>
      <c r="W746" t="s">
        <v>38</v>
      </c>
      <c r="X746">
        <v>240</v>
      </c>
      <c r="Z746">
        <v>0</v>
      </c>
      <c r="AA746" t="s">
        <v>39</v>
      </c>
      <c r="AB746">
        <v>153.75</v>
      </c>
      <c r="AC746">
        <v>0</v>
      </c>
      <c r="AD746">
        <v>2</v>
      </c>
      <c r="AE746" t="s">
        <v>47</v>
      </c>
      <c r="AF746" s="1">
        <v>42748</v>
      </c>
    </row>
    <row r="747" spans="1:32" x14ac:dyDescent="0.25">
      <c r="A747" t="s">
        <v>32</v>
      </c>
      <c r="B747">
        <v>0</v>
      </c>
      <c r="C747">
        <v>0</v>
      </c>
      <c r="D747">
        <v>2016</v>
      </c>
      <c r="E747" t="s">
        <v>66</v>
      </c>
      <c r="F747">
        <v>7</v>
      </c>
      <c r="G747">
        <v>8</v>
      </c>
      <c r="H747">
        <v>1</v>
      </c>
      <c r="I747">
        <v>0</v>
      </c>
      <c r="J747">
        <v>2</v>
      </c>
      <c r="K747">
        <v>0</v>
      </c>
      <c r="L747">
        <v>0</v>
      </c>
      <c r="M747" t="s">
        <v>34</v>
      </c>
      <c r="N747" t="s">
        <v>63</v>
      </c>
      <c r="O747" t="s">
        <v>36</v>
      </c>
      <c r="P747" t="s">
        <v>36</v>
      </c>
      <c r="Q747">
        <v>0</v>
      </c>
      <c r="R747">
        <v>0</v>
      </c>
      <c r="S747">
        <v>0</v>
      </c>
      <c r="T747" t="s">
        <v>46</v>
      </c>
      <c r="U747" t="s">
        <v>46</v>
      </c>
      <c r="V747">
        <v>2</v>
      </c>
      <c r="W747" t="s">
        <v>38</v>
      </c>
      <c r="Z747">
        <v>0</v>
      </c>
      <c r="AA747" t="s">
        <v>39</v>
      </c>
      <c r="AB747">
        <v>55</v>
      </c>
      <c r="AC747">
        <v>0</v>
      </c>
      <c r="AD747">
        <v>0</v>
      </c>
      <c r="AE747" t="s">
        <v>40</v>
      </c>
      <c r="AF747" s="1">
        <v>42409</v>
      </c>
    </row>
    <row r="748" spans="1:32" x14ac:dyDescent="0.25">
      <c r="A748" t="s">
        <v>41</v>
      </c>
      <c r="B748">
        <v>0</v>
      </c>
      <c r="C748">
        <v>8</v>
      </c>
      <c r="D748">
        <v>2017</v>
      </c>
      <c r="E748" t="s">
        <v>67</v>
      </c>
      <c r="F748">
        <v>34</v>
      </c>
      <c r="G748">
        <v>23</v>
      </c>
      <c r="H748">
        <v>0</v>
      </c>
      <c r="I748">
        <v>2</v>
      </c>
      <c r="J748">
        <v>2</v>
      </c>
      <c r="K748">
        <v>0</v>
      </c>
      <c r="L748">
        <v>0</v>
      </c>
      <c r="M748" t="s">
        <v>55</v>
      </c>
      <c r="N748" t="s">
        <v>91</v>
      </c>
      <c r="O748" t="s">
        <v>44</v>
      </c>
      <c r="P748" t="s">
        <v>45</v>
      </c>
      <c r="Q748">
        <v>0</v>
      </c>
      <c r="R748">
        <v>0</v>
      </c>
      <c r="S748">
        <v>0</v>
      </c>
      <c r="T748" t="s">
        <v>46</v>
      </c>
      <c r="U748" t="s">
        <v>46</v>
      </c>
      <c r="V748">
        <v>0</v>
      </c>
      <c r="W748" t="s">
        <v>38</v>
      </c>
      <c r="X748">
        <v>9</v>
      </c>
      <c r="Z748">
        <v>0</v>
      </c>
      <c r="AA748" t="s">
        <v>39</v>
      </c>
      <c r="AB748">
        <v>129.5</v>
      </c>
      <c r="AC748">
        <v>0</v>
      </c>
      <c r="AD748">
        <v>0</v>
      </c>
      <c r="AE748" t="s">
        <v>40</v>
      </c>
      <c r="AF748" s="1">
        <v>42972</v>
      </c>
    </row>
    <row r="749" spans="1:32" x14ac:dyDescent="0.25">
      <c r="A749" t="s">
        <v>41</v>
      </c>
      <c r="B749">
        <v>0</v>
      </c>
      <c r="C749">
        <v>206</v>
      </c>
      <c r="D749">
        <v>2017</v>
      </c>
      <c r="E749" t="s">
        <v>67</v>
      </c>
      <c r="F749">
        <v>31</v>
      </c>
      <c r="G749">
        <v>3</v>
      </c>
      <c r="H749">
        <v>1</v>
      </c>
      <c r="I749">
        <v>3</v>
      </c>
      <c r="J749">
        <v>2</v>
      </c>
      <c r="K749">
        <v>0</v>
      </c>
      <c r="L749">
        <v>0</v>
      </c>
      <c r="M749" t="s">
        <v>34</v>
      </c>
      <c r="N749" t="s">
        <v>56</v>
      </c>
      <c r="O749" t="s">
        <v>44</v>
      </c>
      <c r="P749" t="s">
        <v>45</v>
      </c>
      <c r="Q749">
        <v>0</v>
      </c>
      <c r="R749">
        <v>0</v>
      </c>
      <c r="S749">
        <v>0</v>
      </c>
      <c r="T749" t="s">
        <v>57</v>
      </c>
      <c r="U749" t="s">
        <v>57</v>
      </c>
      <c r="V749">
        <v>0</v>
      </c>
      <c r="W749" t="s">
        <v>38</v>
      </c>
      <c r="X749">
        <v>9</v>
      </c>
      <c r="Z749">
        <v>0</v>
      </c>
      <c r="AA749" t="s">
        <v>39</v>
      </c>
      <c r="AB749">
        <v>144</v>
      </c>
      <c r="AC749">
        <v>0</v>
      </c>
      <c r="AD749">
        <v>0</v>
      </c>
      <c r="AE749" t="s">
        <v>40</v>
      </c>
      <c r="AF749" s="1">
        <v>42954</v>
      </c>
    </row>
    <row r="750" spans="1:32" x14ac:dyDescent="0.25">
      <c r="A750" t="s">
        <v>41</v>
      </c>
      <c r="B750">
        <v>0</v>
      </c>
      <c r="C750">
        <v>48</v>
      </c>
      <c r="D750">
        <v>2015</v>
      </c>
      <c r="E750" t="s">
        <v>59</v>
      </c>
      <c r="F750">
        <v>40</v>
      </c>
      <c r="G750">
        <v>2</v>
      </c>
      <c r="H750">
        <v>1</v>
      </c>
      <c r="I750">
        <v>2</v>
      </c>
      <c r="J750">
        <v>2</v>
      </c>
      <c r="K750">
        <v>0</v>
      </c>
      <c r="L750">
        <v>0</v>
      </c>
      <c r="M750" t="s">
        <v>34</v>
      </c>
      <c r="N750" t="s">
        <v>35</v>
      </c>
      <c r="O750" t="s">
        <v>44</v>
      </c>
      <c r="P750" t="s">
        <v>45</v>
      </c>
      <c r="Q750">
        <v>0</v>
      </c>
      <c r="R750">
        <v>0</v>
      </c>
      <c r="S750">
        <v>0</v>
      </c>
      <c r="T750" t="s">
        <v>46</v>
      </c>
      <c r="U750" t="s">
        <v>46</v>
      </c>
      <c r="V750">
        <v>0</v>
      </c>
      <c r="W750" t="s">
        <v>38</v>
      </c>
      <c r="X750">
        <v>7</v>
      </c>
      <c r="Z750">
        <v>0</v>
      </c>
      <c r="AA750" t="s">
        <v>39</v>
      </c>
      <c r="AB750">
        <v>73.510000000000005</v>
      </c>
      <c r="AC750">
        <v>0</v>
      </c>
      <c r="AD750">
        <v>0</v>
      </c>
      <c r="AE750" t="s">
        <v>40</v>
      </c>
      <c r="AF750" s="1">
        <v>42282</v>
      </c>
    </row>
    <row r="751" spans="1:32" x14ac:dyDescent="0.25">
      <c r="A751" t="s">
        <v>41</v>
      </c>
      <c r="B751">
        <v>0</v>
      </c>
      <c r="C751">
        <v>19</v>
      </c>
      <c r="D751">
        <v>2016</v>
      </c>
      <c r="E751" t="s">
        <v>62</v>
      </c>
      <c r="F751">
        <v>38</v>
      </c>
      <c r="G751">
        <v>12</v>
      </c>
      <c r="H751">
        <v>1</v>
      </c>
      <c r="I751">
        <v>0</v>
      </c>
      <c r="J751">
        <v>2</v>
      </c>
      <c r="K751">
        <v>0</v>
      </c>
      <c r="L751">
        <v>0</v>
      </c>
      <c r="M751" t="s">
        <v>55</v>
      </c>
      <c r="N751" t="s">
        <v>103</v>
      </c>
      <c r="O751" t="s">
        <v>44</v>
      </c>
      <c r="P751" t="s">
        <v>45</v>
      </c>
      <c r="Q751">
        <v>0</v>
      </c>
      <c r="R751">
        <v>0</v>
      </c>
      <c r="S751">
        <v>0</v>
      </c>
      <c r="T751" t="s">
        <v>46</v>
      </c>
      <c r="U751" t="s">
        <v>46</v>
      </c>
      <c r="V751">
        <v>0</v>
      </c>
      <c r="W751" t="s">
        <v>38</v>
      </c>
      <c r="X751">
        <v>9</v>
      </c>
      <c r="Z751">
        <v>0</v>
      </c>
      <c r="AA751" t="s">
        <v>39</v>
      </c>
      <c r="AB751">
        <v>89</v>
      </c>
      <c r="AC751">
        <v>0</v>
      </c>
      <c r="AD751">
        <v>0</v>
      </c>
      <c r="AE751" t="s">
        <v>40</v>
      </c>
      <c r="AF751" s="1">
        <v>42626</v>
      </c>
    </row>
    <row r="752" spans="1:32" x14ac:dyDescent="0.25">
      <c r="A752" t="s">
        <v>32</v>
      </c>
      <c r="B752">
        <v>1</v>
      </c>
      <c r="C752">
        <v>134</v>
      </c>
      <c r="D752">
        <v>2016</v>
      </c>
      <c r="E752" t="s">
        <v>67</v>
      </c>
      <c r="F752">
        <v>34</v>
      </c>
      <c r="G752">
        <v>17</v>
      </c>
      <c r="H752">
        <v>2</v>
      </c>
      <c r="I752">
        <v>4</v>
      </c>
      <c r="J752">
        <v>3</v>
      </c>
      <c r="K752">
        <v>0</v>
      </c>
      <c r="L752">
        <v>0</v>
      </c>
      <c r="M752" t="s">
        <v>60</v>
      </c>
      <c r="N752" t="s">
        <v>63</v>
      </c>
      <c r="O752" t="s">
        <v>44</v>
      </c>
      <c r="P752" t="s">
        <v>45</v>
      </c>
      <c r="Q752">
        <v>0</v>
      </c>
      <c r="R752">
        <v>0</v>
      </c>
      <c r="S752">
        <v>0</v>
      </c>
      <c r="T752" t="s">
        <v>46</v>
      </c>
      <c r="U752" t="s">
        <v>46</v>
      </c>
      <c r="V752">
        <v>1</v>
      </c>
      <c r="W752" t="s">
        <v>38</v>
      </c>
      <c r="X752">
        <v>240</v>
      </c>
      <c r="Z752">
        <v>0</v>
      </c>
      <c r="AA752" t="s">
        <v>39</v>
      </c>
      <c r="AB752">
        <v>274</v>
      </c>
      <c r="AC752">
        <v>0</v>
      </c>
      <c r="AD752">
        <v>0</v>
      </c>
      <c r="AE752" t="s">
        <v>47</v>
      </c>
      <c r="AF752" s="1">
        <v>42551</v>
      </c>
    </row>
    <row r="753" spans="1:32" x14ac:dyDescent="0.25">
      <c r="A753" t="s">
        <v>32</v>
      </c>
      <c r="B753">
        <v>0</v>
      </c>
      <c r="C753">
        <v>5</v>
      </c>
      <c r="D753">
        <v>2016</v>
      </c>
      <c r="E753" t="s">
        <v>62</v>
      </c>
      <c r="F753">
        <v>36</v>
      </c>
      <c r="G753">
        <v>3</v>
      </c>
      <c r="H753">
        <v>2</v>
      </c>
      <c r="I753">
        <v>2</v>
      </c>
      <c r="J753">
        <v>2</v>
      </c>
      <c r="K753">
        <v>0</v>
      </c>
      <c r="L753">
        <v>0</v>
      </c>
      <c r="M753" t="s">
        <v>34</v>
      </c>
      <c r="N753" t="s">
        <v>95</v>
      </c>
      <c r="O753" t="s">
        <v>36</v>
      </c>
      <c r="P753" t="s">
        <v>36</v>
      </c>
      <c r="Q753">
        <v>0</v>
      </c>
      <c r="R753">
        <v>0</v>
      </c>
      <c r="S753">
        <v>0</v>
      </c>
      <c r="T753" t="s">
        <v>37</v>
      </c>
      <c r="U753" t="s">
        <v>37</v>
      </c>
      <c r="V753">
        <v>0</v>
      </c>
      <c r="W753" t="s">
        <v>38</v>
      </c>
      <c r="X753">
        <v>250</v>
      </c>
      <c r="Z753">
        <v>0</v>
      </c>
      <c r="AA753" t="s">
        <v>39</v>
      </c>
      <c r="AB753">
        <v>170.1</v>
      </c>
      <c r="AC753">
        <v>0</v>
      </c>
      <c r="AD753">
        <v>0</v>
      </c>
      <c r="AE753" t="s">
        <v>40</v>
      </c>
      <c r="AF753" s="1">
        <v>42620</v>
      </c>
    </row>
    <row r="754" spans="1:32" x14ac:dyDescent="0.25">
      <c r="A754" t="s">
        <v>32</v>
      </c>
      <c r="B754">
        <v>0</v>
      </c>
      <c r="C754">
        <v>0</v>
      </c>
      <c r="D754">
        <v>2016</v>
      </c>
      <c r="E754" t="s">
        <v>61</v>
      </c>
      <c r="F754">
        <v>46</v>
      </c>
      <c r="G754">
        <v>11</v>
      </c>
      <c r="H754">
        <v>0</v>
      </c>
      <c r="I754">
        <v>1</v>
      </c>
      <c r="J754">
        <v>2</v>
      </c>
      <c r="K754">
        <v>0</v>
      </c>
      <c r="L754">
        <v>0</v>
      </c>
      <c r="M754" t="s">
        <v>34</v>
      </c>
      <c r="N754" t="s">
        <v>43</v>
      </c>
      <c r="O754" t="s">
        <v>36</v>
      </c>
      <c r="P754" t="s">
        <v>36</v>
      </c>
      <c r="Q754">
        <v>0</v>
      </c>
      <c r="R754">
        <v>0</v>
      </c>
      <c r="S754">
        <v>0</v>
      </c>
      <c r="T754" t="s">
        <v>72</v>
      </c>
      <c r="U754" t="s">
        <v>72</v>
      </c>
      <c r="V754">
        <v>0</v>
      </c>
      <c r="W754" t="s">
        <v>38</v>
      </c>
      <c r="Z754">
        <v>0</v>
      </c>
      <c r="AA754" t="s">
        <v>39</v>
      </c>
      <c r="AB754">
        <v>85</v>
      </c>
      <c r="AC754">
        <v>0</v>
      </c>
      <c r="AD754">
        <v>0</v>
      </c>
      <c r="AE754" t="s">
        <v>40</v>
      </c>
      <c r="AF754" s="1">
        <v>42686</v>
      </c>
    </row>
    <row r="755" spans="1:32" x14ac:dyDescent="0.25">
      <c r="A755" t="s">
        <v>41</v>
      </c>
      <c r="B755">
        <v>0</v>
      </c>
      <c r="C755">
        <v>12</v>
      </c>
      <c r="D755">
        <v>2017</v>
      </c>
      <c r="E755" t="s">
        <v>66</v>
      </c>
      <c r="F755">
        <v>8</v>
      </c>
      <c r="G755">
        <v>20</v>
      </c>
      <c r="H755">
        <v>1</v>
      </c>
      <c r="I755">
        <v>1</v>
      </c>
      <c r="J755">
        <v>1</v>
      </c>
      <c r="K755">
        <v>0</v>
      </c>
      <c r="L755">
        <v>0</v>
      </c>
      <c r="M755" t="s">
        <v>34</v>
      </c>
      <c r="N755" t="s">
        <v>63</v>
      </c>
      <c r="O755" t="s">
        <v>44</v>
      </c>
      <c r="P755" t="s">
        <v>114</v>
      </c>
      <c r="Q755">
        <v>0</v>
      </c>
      <c r="R755">
        <v>0</v>
      </c>
      <c r="S755">
        <v>0</v>
      </c>
      <c r="T755" t="s">
        <v>46</v>
      </c>
      <c r="U755" t="s">
        <v>46</v>
      </c>
      <c r="V755">
        <v>0</v>
      </c>
      <c r="W755" t="s">
        <v>38</v>
      </c>
      <c r="X755">
        <v>195</v>
      </c>
      <c r="Z755">
        <v>0</v>
      </c>
      <c r="AA755" t="s">
        <v>39</v>
      </c>
      <c r="AB755">
        <v>90</v>
      </c>
      <c r="AC755">
        <v>0</v>
      </c>
      <c r="AD755">
        <v>0</v>
      </c>
      <c r="AE755" t="s">
        <v>40</v>
      </c>
      <c r="AF755" s="1">
        <v>42788</v>
      </c>
    </row>
    <row r="756" spans="1:32" x14ac:dyDescent="0.25">
      <c r="A756" t="s">
        <v>41</v>
      </c>
      <c r="B756">
        <v>1</v>
      </c>
      <c r="C756">
        <v>283</v>
      </c>
      <c r="D756">
        <v>2016</v>
      </c>
      <c r="E756" t="s">
        <v>59</v>
      </c>
      <c r="F756">
        <v>43</v>
      </c>
      <c r="G756">
        <v>16</v>
      </c>
      <c r="H756">
        <v>2</v>
      </c>
      <c r="I756">
        <v>0</v>
      </c>
      <c r="J756">
        <v>2</v>
      </c>
      <c r="K756">
        <v>0</v>
      </c>
      <c r="L756">
        <v>0</v>
      </c>
      <c r="M756" t="s">
        <v>60</v>
      </c>
      <c r="N756" t="s">
        <v>43</v>
      </c>
      <c r="O756" t="s">
        <v>64</v>
      </c>
      <c r="P756" t="s">
        <v>45</v>
      </c>
      <c r="Q756">
        <v>0</v>
      </c>
      <c r="R756">
        <v>0</v>
      </c>
      <c r="S756">
        <v>0</v>
      </c>
      <c r="T756" t="s">
        <v>46</v>
      </c>
      <c r="U756" t="s">
        <v>46</v>
      </c>
      <c r="V756">
        <v>0</v>
      </c>
      <c r="W756" t="s">
        <v>68</v>
      </c>
      <c r="X756">
        <v>1</v>
      </c>
      <c r="Z756">
        <v>0</v>
      </c>
      <c r="AA756" t="s">
        <v>39</v>
      </c>
      <c r="AB756">
        <v>96</v>
      </c>
      <c r="AC756">
        <v>0</v>
      </c>
      <c r="AD756">
        <v>0</v>
      </c>
      <c r="AE756" t="s">
        <v>47</v>
      </c>
      <c r="AF756" s="1">
        <v>42409</v>
      </c>
    </row>
    <row r="757" spans="1:32" x14ac:dyDescent="0.25">
      <c r="A757" t="s">
        <v>41</v>
      </c>
      <c r="B757">
        <v>1</v>
      </c>
      <c r="C757">
        <v>326</v>
      </c>
      <c r="D757">
        <v>2015</v>
      </c>
      <c r="E757" t="s">
        <v>62</v>
      </c>
      <c r="F757">
        <v>37</v>
      </c>
      <c r="G757">
        <v>8</v>
      </c>
      <c r="H757">
        <v>0</v>
      </c>
      <c r="I757">
        <v>1</v>
      </c>
      <c r="J757">
        <v>2</v>
      </c>
      <c r="K757">
        <v>0</v>
      </c>
      <c r="L757">
        <v>0</v>
      </c>
      <c r="M757" t="s">
        <v>34</v>
      </c>
      <c r="N757" t="s">
        <v>43</v>
      </c>
      <c r="O757" t="s">
        <v>64</v>
      </c>
      <c r="P757" t="s">
        <v>45</v>
      </c>
      <c r="Q757">
        <v>0</v>
      </c>
      <c r="R757">
        <v>1</v>
      </c>
      <c r="S757">
        <v>0</v>
      </c>
      <c r="T757" t="s">
        <v>46</v>
      </c>
      <c r="U757" t="s">
        <v>46</v>
      </c>
      <c r="V757">
        <v>0</v>
      </c>
      <c r="W757" t="s">
        <v>68</v>
      </c>
      <c r="X757">
        <v>1</v>
      </c>
      <c r="Z757">
        <v>0</v>
      </c>
      <c r="AA757" t="s">
        <v>39</v>
      </c>
      <c r="AB757">
        <v>60</v>
      </c>
      <c r="AC757">
        <v>0</v>
      </c>
      <c r="AD757">
        <v>0</v>
      </c>
      <c r="AE757" t="s">
        <v>47</v>
      </c>
      <c r="AF757" s="1">
        <v>42152</v>
      </c>
    </row>
    <row r="758" spans="1:32" x14ac:dyDescent="0.25">
      <c r="A758" t="s">
        <v>32</v>
      </c>
      <c r="B758">
        <v>0</v>
      </c>
      <c r="C758">
        <v>84</v>
      </c>
      <c r="D758">
        <v>2017</v>
      </c>
      <c r="E758" t="s">
        <v>54</v>
      </c>
      <c r="F758">
        <v>16</v>
      </c>
      <c r="G758">
        <v>18</v>
      </c>
      <c r="H758">
        <v>1</v>
      </c>
      <c r="I758">
        <v>5</v>
      </c>
      <c r="J758">
        <v>1</v>
      </c>
      <c r="K758">
        <v>0</v>
      </c>
      <c r="L758">
        <v>0</v>
      </c>
      <c r="M758" t="s">
        <v>34</v>
      </c>
      <c r="N758" t="s">
        <v>106</v>
      </c>
      <c r="O758" t="s">
        <v>36</v>
      </c>
      <c r="P758" t="s">
        <v>36</v>
      </c>
      <c r="Q758">
        <v>0</v>
      </c>
      <c r="R758">
        <v>0</v>
      </c>
      <c r="S758">
        <v>0</v>
      </c>
      <c r="T758" t="s">
        <v>72</v>
      </c>
      <c r="U758" t="s">
        <v>72</v>
      </c>
      <c r="V758">
        <v>1</v>
      </c>
      <c r="W758" t="s">
        <v>38</v>
      </c>
      <c r="Z758">
        <v>0</v>
      </c>
      <c r="AA758" t="s">
        <v>51</v>
      </c>
      <c r="AB758">
        <v>74.599999999999994</v>
      </c>
      <c r="AC758">
        <v>0</v>
      </c>
      <c r="AD758">
        <v>0</v>
      </c>
      <c r="AE758" t="s">
        <v>40</v>
      </c>
      <c r="AF758" s="1">
        <v>42849</v>
      </c>
    </row>
    <row r="759" spans="1:32" x14ac:dyDescent="0.25">
      <c r="A759" t="s">
        <v>41</v>
      </c>
      <c r="B759">
        <v>0</v>
      </c>
      <c r="C759">
        <v>86</v>
      </c>
      <c r="D759">
        <v>2015</v>
      </c>
      <c r="E759" t="s">
        <v>62</v>
      </c>
      <c r="F759">
        <v>37</v>
      </c>
      <c r="G759">
        <v>9</v>
      </c>
      <c r="H759">
        <v>0</v>
      </c>
      <c r="I759">
        <v>2</v>
      </c>
      <c r="J759">
        <v>1</v>
      </c>
      <c r="K759">
        <v>0</v>
      </c>
      <c r="L759">
        <v>0</v>
      </c>
      <c r="M759" t="s">
        <v>34</v>
      </c>
      <c r="N759" t="s">
        <v>70</v>
      </c>
      <c r="O759" t="s">
        <v>76</v>
      </c>
      <c r="P759" t="s">
        <v>76</v>
      </c>
      <c r="Q759">
        <v>0</v>
      </c>
      <c r="R759">
        <v>0</v>
      </c>
      <c r="S759">
        <v>0</v>
      </c>
      <c r="T759" t="s">
        <v>46</v>
      </c>
      <c r="U759" t="s">
        <v>46</v>
      </c>
      <c r="V759">
        <v>0</v>
      </c>
      <c r="W759" t="s">
        <v>38</v>
      </c>
      <c r="Y759">
        <v>68</v>
      </c>
      <c r="Z759">
        <v>0</v>
      </c>
      <c r="AA759" t="s">
        <v>51</v>
      </c>
      <c r="AB759">
        <v>90</v>
      </c>
      <c r="AC759">
        <v>0</v>
      </c>
      <c r="AD759">
        <v>0</v>
      </c>
      <c r="AE759" t="s">
        <v>40</v>
      </c>
      <c r="AF759" s="1">
        <v>42258</v>
      </c>
    </row>
    <row r="760" spans="1:32" x14ac:dyDescent="0.25">
      <c r="A760" t="s">
        <v>32</v>
      </c>
      <c r="B760">
        <v>0</v>
      </c>
      <c r="C760">
        <v>204</v>
      </c>
      <c r="D760">
        <v>2016</v>
      </c>
      <c r="E760" t="s">
        <v>67</v>
      </c>
      <c r="F760">
        <v>32</v>
      </c>
      <c r="G760">
        <v>5</v>
      </c>
      <c r="H760">
        <v>2</v>
      </c>
      <c r="I760">
        <v>4</v>
      </c>
      <c r="J760">
        <v>2</v>
      </c>
      <c r="K760">
        <v>0</v>
      </c>
      <c r="L760">
        <v>0</v>
      </c>
      <c r="M760" t="s">
        <v>34</v>
      </c>
      <c r="N760" t="s">
        <v>103</v>
      </c>
      <c r="O760" t="s">
        <v>44</v>
      </c>
      <c r="P760" t="s">
        <v>45</v>
      </c>
      <c r="Q760">
        <v>0</v>
      </c>
      <c r="R760">
        <v>0</v>
      </c>
      <c r="S760">
        <v>0</v>
      </c>
      <c r="T760" t="s">
        <v>72</v>
      </c>
      <c r="U760" t="s">
        <v>37</v>
      </c>
      <c r="V760">
        <v>0</v>
      </c>
      <c r="W760" t="s">
        <v>38</v>
      </c>
      <c r="X760">
        <v>242</v>
      </c>
      <c r="Z760">
        <v>0</v>
      </c>
      <c r="AA760" t="s">
        <v>39</v>
      </c>
      <c r="AB760">
        <v>159.5</v>
      </c>
      <c r="AC760">
        <v>0</v>
      </c>
      <c r="AD760">
        <v>2</v>
      </c>
      <c r="AE760" t="s">
        <v>40</v>
      </c>
      <c r="AF760" s="1">
        <v>42593</v>
      </c>
    </row>
    <row r="761" spans="1:32" x14ac:dyDescent="0.25">
      <c r="A761" t="s">
        <v>32</v>
      </c>
      <c r="B761">
        <v>0</v>
      </c>
      <c r="C761">
        <v>1</v>
      </c>
      <c r="D761">
        <v>2016</v>
      </c>
      <c r="E761" t="s">
        <v>54</v>
      </c>
      <c r="F761">
        <v>18</v>
      </c>
      <c r="G761">
        <v>29</v>
      </c>
      <c r="H761">
        <v>0</v>
      </c>
      <c r="I761">
        <v>2</v>
      </c>
      <c r="J761">
        <v>2</v>
      </c>
      <c r="K761">
        <v>0</v>
      </c>
      <c r="L761">
        <v>0</v>
      </c>
      <c r="M761" t="s">
        <v>34</v>
      </c>
      <c r="N761" t="s">
        <v>43</v>
      </c>
      <c r="O761" t="s">
        <v>76</v>
      </c>
      <c r="P761" t="s">
        <v>76</v>
      </c>
      <c r="Q761">
        <v>1</v>
      </c>
      <c r="R761">
        <v>0</v>
      </c>
      <c r="S761">
        <v>1</v>
      </c>
      <c r="T761" t="s">
        <v>57</v>
      </c>
      <c r="U761" t="s">
        <v>57</v>
      </c>
      <c r="V761">
        <v>0</v>
      </c>
      <c r="W761" t="s">
        <v>38</v>
      </c>
      <c r="Y761">
        <v>402</v>
      </c>
      <c r="Z761">
        <v>0</v>
      </c>
      <c r="AA761" t="s">
        <v>39</v>
      </c>
      <c r="AB761">
        <v>72.5</v>
      </c>
      <c r="AC761">
        <v>0</v>
      </c>
      <c r="AD761">
        <v>0</v>
      </c>
      <c r="AE761" t="s">
        <v>40</v>
      </c>
      <c r="AF761" s="1">
        <v>42491</v>
      </c>
    </row>
    <row r="762" spans="1:32" x14ac:dyDescent="0.25">
      <c r="A762" t="s">
        <v>41</v>
      </c>
      <c r="B762">
        <v>1</v>
      </c>
      <c r="C762">
        <v>100</v>
      </c>
      <c r="D762">
        <v>2015</v>
      </c>
      <c r="E762" t="s">
        <v>59</v>
      </c>
      <c r="F762">
        <v>44</v>
      </c>
      <c r="G762">
        <v>31</v>
      </c>
      <c r="H762">
        <v>1</v>
      </c>
      <c r="I762">
        <v>1</v>
      </c>
      <c r="J762">
        <v>2</v>
      </c>
      <c r="K762">
        <v>0</v>
      </c>
      <c r="L762">
        <v>0</v>
      </c>
      <c r="M762" t="s">
        <v>34</v>
      </c>
      <c r="N762" t="s">
        <v>43</v>
      </c>
      <c r="O762" t="s">
        <v>64</v>
      </c>
      <c r="P762" t="s">
        <v>45</v>
      </c>
      <c r="Q762">
        <v>0</v>
      </c>
      <c r="R762">
        <v>0</v>
      </c>
      <c r="S762">
        <v>0</v>
      </c>
      <c r="T762" t="s">
        <v>46</v>
      </c>
      <c r="U762" t="s">
        <v>46</v>
      </c>
      <c r="V762">
        <v>0</v>
      </c>
      <c r="W762" t="s">
        <v>38</v>
      </c>
      <c r="X762">
        <v>1</v>
      </c>
      <c r="Z762">
        <v>0</v>
      </c>
      <c r="AA762" t="s">
        <v>51</v>
      </c>
      <c r="AB762">
        <v>62</v>
      </c>
      <c r="AC762">
        <v>0</v>
      </c>
      <c r="AD762">
        <v>0</v>
      </c>
      <c r="AE762" t="s">
        <v>47</v>
      </c>
      <c r="AF762" s="1">
        <v>42296</v>
      </c>
    </row>
    <row r="763" spans="1:32" x14ac:dyDescent="0.25">
      <c r="A763" t="s">
        <v>41</v>
      </c>
      <c r="B763">
        <v>0</v>
      </c>
      <c r="C763">
        <v>0</v>
      </c>
      <c r="D763">
        <v>2016</v>
      </c>
      <c r="E763" t="s">
        <v>33</v>
      </c>
      <c r="F763">
        <v>49</v>
      </c>
      <c r="G763">
        <v>1</v>
      </c>
      <c r="H763">
        <v>0</v>
      </c>
      <c r="I763">
        <v>2</v>
      </c>
      <c r="J763">
        <v>1</v>
      </c>
      <c r="K763">
        <v>0</v>
      </c>
      <c r="L763">
        <v>0</v>
      </c>
      <c r="M763" t="s">
        <v>34</v>
      </c>
      <c r="N763" t="s">
        <v>70</v>
      </c>
      <c r="O763" t="s">
        <v>44</v>
      </c>
      <c r="P763" t="s">
        <v>45</v>
      </c>
      <c r="Q763">
        <v>0</v>
      </c>
      <c r="R763">
        <v>0</v>
      </c>
      <c r="S763">
        <v>0</v>
      </c>
      <c r="T763" t="s">
        <v>46</v>
      </c>
      <c r="U763" t="s">
        <v>46</v>
      </c>
      <c r="V763">
        <v>0</v>
      </c>
      <c r="W763" t="s">
        <v>38</v>
      </c>
      <c r="X763">
        <v>9</v>
      </c>
      <c r="Z763">
        <v>0</v>
      </c>
      <c r="AA763" t="s">
        <v>39</v>
      </c>
      <c r="AB763">
        <v>96</v>
      </c>
      <c r="AC763">
        <v>0</v>
      </c>
      <c r="AD763">
        <v>1</v>
      </c>
      <c r="AE763" t="s">
        <v>40</v>
      </c>
      <c r="AF763" s="1">
        <v>42707</v>
      </c>
    </row>
    <row r="764" spans="1:32" x14ac:dyDescent="0.25">
      <c r="A764" t="s">
        <v>32</v>
      </c>
      <c r="B764">
        <v>0</v>
      </c>
      <c r="C764">
        <v>5</v>
      </c>
      <c r="D764">
        <v>2016</v>
      </c>
      <c r="E764" t="s">
        <v>66</v>
      </c>
      <c r="F764">
        <v>7</v>
      </c>
      <c r="G764">
        <v>8</v>
      </c>
      <c r="H764">
        <v>6</v>
      </c>
      <c r="I764">
        <v>15</v>
      </c>
      <c r="J764">
        <v>2</v>
      </c>
      <c r="K764">
        <v>0</v>
      </c>
      <c r="L764">
        <v>0</v>
      </c>
      <c r="M764" t="s">
        <v>77</v>
      </c>
      <c r="N764" t="s">
        <v>70</v>
      </c>
      <c r="O764" t="s">
        <v>49</v>
      </c>
      <c r="P764" t="s">
        <v>45</v>
      </c>
      <c r="Q764">
        <v>0</v>
      </c>
      <c r="R764">
        <v>0</v>
      </c>
      <c r="S764">
        <v>0</v>
      </c>
      <c r="T764" t="s">
        <v>46</v>
      </c>
      <c r="U764" t="s">
        <v>72</v>
      </c>
      <c r="V764">
        <v>1</v>
      </c>
      <c r="W764" t="s">
        <v>38</v>
      </c>
      <c r="X764">
        <v>363</v>
      </c>
      <c r="Z764">
        <v>0</v>
      </c>
      <c r="AA764" t="s">
        <v>39</v>
      </c>
      <c r="AB764">
        <v>75.81</v>
      </c>
      <c r="AC764">
        <v>1</v>
      </c>
      <c r="AD764">
        <v>0</v>
      </c>
      <c r="AE764" t="s">
        <v>40</v>
      </c>
      <c r="AF764" s="1">
        <v>42429</v>
      </c>
    </row>
    <row r="765" spans="1:32" x14ac:dyDescent="0.25">
      <c r="A765" t="s">
        <v>41</v>
      </c>
      <c r="B765">
        <v>0</v>
      </c>
      <c r="C765">
        <v>104</v>
      </c>
      <c r="D765">
        <v>2016</v>
      </c>
      <c r="E765" t="s">
        <v>69</v>
      </c>
      <c r="F765">
        <v>20</v>
      </c>
      <c r="G765">
        <v>14</v>
      </c>
      <c r="H765">
        <v>2</v>
      </c>
      <c r="I765">
        <v>1</v>
      </c>
      <c r="J765">
        <v>3</v>
      </c>
      <c r="K765">
        <v>0</v>
      </c>
      <c r="L765">
        <v>0</v>
      </c>
      <c r="M765" t="s">
        <v>34</v>
      </c>
      <c r="N765" t="s">
        <v>70</v>
      </c>
      <c r="O765" t="s">
        <v>44</v>
      </c>
      <c r="P765" t="s">
        <v>45</v>
      </c>
      <c r="Q765">
        <v>0</v>
      </c>
      <c r="R765">
        <v>0</v>
      </c>
      <c r="S765">
        <v>0</v>
      </c>
      <c r="T765" t="s">
        <v>57</v>
      </c>
      <c r="U765" t="s">
        <v>57</v>
      </c>
      <c r="V765">
        <v>0</v>
      </c>
      <c r="W765" t="s">
        <v>38</v>
      </c>
      <c r="X765">
        <v>9</v>
      </c>
      <c r="Z765">
        <v>0</v>
      </c>
      <c r="AA765" t="s">
        <v>51</v>
      </c>
      <c r="AB765">
        <v>159.30000000000001</v>
      </c>
      <c r="AC765">
        <v>0</v>
      </c>
      <c r="AD765">
        <v>2</v>
      </c>
      <c r="AE765" t="s">
        <v>40</v>
      </c>
      <c r="AF765" s="1">
        <v>42507</v>
      </c>
    </row>
    <row r="766" spans="1:32" x14ac:dyDescent="0.25">
      <c r="A766" t="s">
        <v>41</v>
      </c>
      <c r="B766">
        <v>0</v>
      </c>
      <c r="C766">
        <v>19</v>
      </c>
      <c r="D766">
        <v>2015</v>
      </c>
      <c r="E766" t="s">
        <v>62</v>
      </c>
      <c r="F766">
        <v>39</v>
      </c>
      <c r="G766">
        <v>20</v>
      </c>
      <c r="H766">
        <v>1</v>
      </c>
      <c r="I766">
        <v>0</v>
      </c>
      <c r="J766">
        <v>2</v>
      </c>
      <c r="K766">
        <v>0</v>
      </c>
      <c r="L766">
        <v>0</v>
      </c>
      <c r="M766" t="s">
        <v>34</v>
      </c>
      <c r="N766" t="s">
        <v>43</v>
      </c>
      <c r="O766" t="s">
        <v>36</v>
      </c>
      <c r="P766" t="s">
        <v>36</v>
      </c>
      <c r="Q766">
        <v>0</v>
      </c>
      <c r="R766">
        <v>0</v>
      </c>
      <c r="S766">
        <v>0</v>
      </c>
      <c r="T766" t="s">
        <v>46</v>
      </c>
      <c r="U766" t="s">
        <v>72</v>
      </c>
      <c r="V766">
        <v>1</v>
      </c>
      <c r="W766" t="s">
        <v>38</v>
      </c>
      <c r="X766">
        <v>14</v>
      </c>
      <c r="Y766">
        <v>84</v>
      </c>
      <c r="Z766">
        <v>0</v>
      </c>
      <c r="AA766" t="s">
        <v>39</v>
      </c>
      <c r="AB766">
        <v>124</v>
      </c>
      <c r="AC766">
        <v>0</v>
      </c>
      <c r="AD766">
        <v>0</v>
      </c>
      <c r="AE766" t="s">
        <v>40</v>
      </c>
      <c r="AF766" s="1">
        <v>42268</v>
      </c>
    </row>
    <row r="767" spans="1:32" x14ac:dyDescent="0.25">
      <c r="A767" t="s">
        <v>32</v>
      </c>
      <c r="B767">
        <v>0</v>
      </c>
      <c r="C767">
        <v>1</v>
      </c>
      <c r="D767">
        <v>2015</v>
      </c>
      <c r="E767" t="s">
        <v>33</v>
      </c>
      <c r="F767">
        <v>50</v>
      </c>
      <c r="G767">
        <v>12</v>
      </c>
      <c r="H767">
        <v>0</v>
      </c>
      <c r="I767">
        <v>1</v>
      </c>
      <c r="J767">
        <v>2</v>
      </c>
      <c r="K767">
        <v>0</v>
      </c>
      <c r="L767">
        <v>1</v>
      </c>
      <c r="M767" t="s">
        <v>60</v>
      </c>
      <c r="N767" t="s">
        <v>43</v>
      </c>
      <c r="O767" t="s">
        <v>36</v>
      </c>
      <c r="P767" t="s">
        <v>36</v>
      </c>
      <c r="Q767">
        <v>0</v>
      </c>
      <c r="R767">
        <v>0</v>
      </c>
      <c r="S767">
        <v>0</v>
      </c>
      <c r="T767" t="s">
        <v>46</v>
      </c>
      <c r="U767" t="s">
        <v>57</v>
      </c>
      <c r="V767">
        <v>0</v>
      </c>
      <c r="W767" t="s">
        <v>38</v>
      </c>
      <c r="Z767">
        <v>0</v>
      </c>
      <c r="AA767" t="s">
        <v>39</v>
      </c>
      <c r="AB767">
        <v>79</v>
      </c>
      <c r="AC767">
        <v>1</v>
      </c>
      <c r="AD767">
        <v>1</v>
      </c>
      <c r="AE767" t="s">
        <v>40</v>
      </c>
      <c r="AF767" s="1">
        <v>42351</v>
      </c>
    </row>
    <row r="768" spans="1:32" x14ac:dyDescent="0.25">
      <c r="A768" t="s">
        <v>32</v>
      </c>
      <c r="B768">
        <v>0</v>
      </c>
      <c r="C768">
        <v>83</v>
      </c>
      <c r="D768">
        <v>2017</v>
      </c>
      <c r="E768" t="s">
        <v>74</v>
      </c>
      <c r="F768">
        <v>2</v>
      </c>
      <c r="G768">
        <v>10</v>
      </c>
      <c r="H768">
        <v>4</v>
      </c>
      <c r="I768">
        <v>10</v>
      </c>
      <c r="J768">
        <v>1</v>
      </c>
      <c r="K768">
        <v>0</v>
      </c>
      <c r="L768">
        <v>0</v>
      </c>
      <c r="M768" t="s">
        <v>60</v>
      </c>
      <c r="N768" t="s">
        <v>35</v>
      </c>
      <c r="O768" t="s">
        <v>44</v>
      </c>
      <c r="P768" t="s">
        <v>45</v>
      </c>
      <c r="Q768">
        <v>0</v>
      </c>
      <c r="R768">
        <v>0</v>
      </c>
      <c r="S768">
        <v>0</v>
      </c>
      <c r="T768" t="s">
        <v>57</v>
      </c>
      <c r="U768" t="s">
        <v>57</v>
      </c>
      <c r="V768">
        <v>1</v>
      </c>
      <c r="W768" t="s">
        <v>38</v>
      </c>
      <c r="X768">
        <v>147</v>
      </c>
      <c r="Z768">
        <v>0</v>
      </c>
      <c r="AA768" t="s">
        <v>39</v>
      </c>
      <c r="AB768">
        <v>50.96</v>
      </c>
      <c r="AC768">
        <v>0</v>
      </c>
      <c r="AD768">
        <v>0</v>
      </c>
      <c r="AE768" t="s">
        <v>40</v>
      </c>
      <c r="AF768" s="1">
        <v>42759</v>
      </c>
    </row>
    <row r="769" spans="1:32" x14ac:dyDescent="0.25">
      <c r="A769" t="s">
        <v>41</v>
      </c>
      <c r="B769">
        <v>0</v>
      </c>
      <c r="C769">
        <v>56</v>
      </c>
      <c r="D769">
        <v>2015</v>
      </c>
      <c r="E769" t="s">
        <v>61</v>
      </c>
      <c r="F769">
        <v>45</v>
      </c>
      <c r="G769">
        <v>6</v>
      </c>
      <c r="H769">
        <v>1</v>
      </c>
      <c r="I769">
        <v>2</v>
      </c>
      <c r="J769">
        <v>2</v>
      </c>
      <c r="K769">
        <v>0</v>
      </c>
      <c r="L769">
        <v>0</v>
      </c>
      <c r="M769" t="s">
        <v>34</v>
      </c>
      <c r="N769" t="s">
        <v>63</v>
      </c>
      <c r="O769" t="s">
        <v>49</v>
      </c>
      <c r="P769" t="s">
        <v>45</v>
      </c>
      <c r="Q769">
        <v>0</v>
      </c>
      <c r="R769">
        <v>0</v>
      </c>
      <c r="S769">
        <v>0</v>
      </c>
      <c r="T769" t="s">
        <v>57</v>
      </c>
      <c r="U769" t="s">
        <v>46</v>
      </c>
      <c r="V769">
        <v>0</v>
      </c>
      <c r="W769" t="s">
        <v>38</v>
      </c>
      <c r="X769">
        <v>28</v>
      </c>
      <c r="Z769">
        <v>0</v>
      </c>
      <c r="AA769" t="s">
        <v>39</v>
      </c>
      <c r="AB769">
        <v>60</v>
      </c>
      <c r="AC769">
        <v>0</v>
      </c>
      <c r="AD769">
        <v>1</v>
      </c>
      <c r="AE769" t="s">
        <v>40</v>
      </c>
      <c r="AF769" s="1">
        <v>42317</v>
      </c>
    </row>
    <row r="770" spans="1:32" x14ac:dyDescent="0.25">
      <c r="A770" t="s">
        <v>41</v>
      </c>
      <c r="B770">
        <v>1</v>
      </c>
      <c r="C770">
        <v>111</v>
      </c>
      <c r="D770">
        <v>2017</v>
      </c>
      <c r="E770" t="s">
        <v>83</v>
      </c>
      <c r="F770">
        <v>26</v>
      </c>
      <c r="G770">
        <v>29</v>
      </c>
      <c r="H770">
        <v>0</v>
      </c>
      <c r="I770">
        <v>1</v>
      </c>
      <c r="J770">
        <v>2</v>
      </c>
      <c r="K770">
        <v>2</v>
      </c>
      <c r="L770">
        <v>0</v>
      </c>
      <c r="M770" t="s">
        <v>34</v>
      </c>
      <c r="N770" t="s">
        <v>70</v>
      </c>
      <c r="O770" t="s">
        <v>44</v>
      </c>
      <c r="P770" t="s">
        <v>45</v>
      </c>
      <c r="Q770">
        <v>0</v>
      </c>
      <c r="R770">
        <v>0</v>
      </c>
      <c r="S770">
        <v>0</v>
      </c>
      <c r="T770" t="s">
        <v>37</v>
      </c>
      <c r="U770" t="s">
        <v>37</v>
      </c>
      <c r="V770">
        <v>0</v>
      </c>
      <c r="W770" t="s">
        <v>38</v>
      </c>
      <c r="X770">
        <v>9</v>
      </c>
      <c r="Z770">
        <v>0</v>
      </c>
      <c r="AA770" t="s">
        <v>39</v>
      </c>
      <c r="AB770">
        <v>230</v>
      </c>
      <c r="AC770">
        <v>0</v>
      </c>
      <c r="AD770">
        <v>0</v>
      </c>
      <c r="AE770" t="s">
        <v>47</v>
      </c>
      <c r="AF770" s="1">
        <v>42808</v>
      </c>
    </row>
    <row r="771" spans="1:32" x14ac:dyDescent="0.25">
      <c r="A771" t="s">
        <v>41</v>
      </c>
      <c r="B771">
        <v>1</v>
      </c>
      <c r="C771">
        <v>265</v>
      </c>
      <c r="D771">
        <v>2016</v>
      </c>
      <c r="E771" t="s">
        <v>61</v>
      </c>
      <c r="F771">
        <v>48</v>
      </c>
      <c r="G771">
        <v>20</v>
      </c>
      <c r="H771">
        <v>2</v>
      </c>
      <c r="I771">
        <v>1</v>
      </c>
      <c r="J771">
        <v>2</v>
      </c>
      <c r="K771">
        <v>0</v>
      </c>
      <c r="L771">
        <v>0</v>
      </c>
      <c r="M771" t="s">
        <v>34</v>
      </c>
      <c r="N771" t="s">
        <v>35</v>
      </c>
      <c r="O771" t="s">
        <v>44</v>
      </c>
      <c r="P771" t="s">
        <v>45</v>
      </c>
      <c r="Q771">
        <v>0</v>
      </c>
      <c r="R771">
        <v>0</v>
      </c>
      <c r="S771">
        <v>0</v>
      </c>
      <c r="T771" t="s">
        <v>46</v>
      </c>
      <c r="U771" t="s">
        <v>46</v>
      </c>
      <c r="V771">
        <v>0</v>
      </c>
      <c r="W771" t="s">
        <v>38</v>
      </c>
      <c r="X771">
        <v>9</v>
      </c>
      <c r="Z771">
        <v>0</v>
      </c>
      <c r="AA771" t="s">
        <v>39</v>
      </c>
      <c r="AB771">
        <v>78.3</v>
      </c>
      <c r="AC771">
        <v>0</v>
      </c>
      <c r="AD771">
        <v>2</v>
      </c>
      <c r="AE771" t="s">
        <v>47</v>
      </c>
      <c r="AF771" s="1">
        <v>42636</v>
      </c>
    </row>
    <row r="772" spans="1:32" x14ac:dyDescent="0.25">
      <c r="A772" t="s">
        <v>41</v>
      </c>
      <c r="B772">
        <v>0</v>
      </c>
      <c r="C772">
        <v>93</v>
      </c>
      <c r="D772">
        <v>2017</v>
      </c>
      <c r="E772" t="s">
        <v>54</v>
      </c>
      <c r="F772">
        <v>16</v>
      </c>
      <c r="G772">
        <v>21</v>
      </c>
      <c r="H772">
        <v>2</v>
      </c>
      <c r="I772">
        <v>6</v>
      </c>
      <c r="J772">
        <v>2</v>
      </c>
      <c r="K772">
        <v>1</v>
      </c>
      <c r="L772">
        <v>0</v>
      </c>
      <c r="M772" t="s">
        <v>60</v>
      </c>
      <c r="N772" t="s">
        <v>80</v>
      </c>
      <c r="O772" t="s">
        <v>44</v>
      </c>
      <c r="P772" t="s">
        <v>45</v>
      </c>
      <c r="Q772">
        <v>0</v>
      </c>
      <c r="R772">
        <v>0</v>
      </c>
      <c r="S772">
        <v>0</v>
      </c>
      <c r="T772" t="s">
        <v>46</v>
      </c>
      <c r="U772" t="s">
        <v>46</v>
      </c>
      <c r="V772">
        <v>0</v>
      </c>
      <c r="W772" t="s">
        <v>38</v>
      </c>
      <c r="X772">
        <v>9</v>
      </c>
      <c r="Z772">
        <v>0</v>
      </c>
      <c r="AA772" t="s">
        <v>39</v>
      </c>
      <c r="AB772">
        <v>184.5</v>
      </c>
      <c r="AC772">
        <v>0</v>
      </c>
      <c r="AD772">
        <v>1</v>
      </c>
      <c r="AE772" t="s">
        <v>40</v>
      </c>
      <c r="AF772" s="1">
        <v>42854</v>
      </c>
    </row>
    <row r="773" spans="1:32" x14ac:dyDescent="0.25">
      <c r="A773" t="s">
        <v>41</v>
      </c>
      <c r="B773">
        <v>0</v>
      </c>
      <c r="C773">
        <v>53</v>
      </c>
      <c r="D773">
        <v>2017</v>
      </c>
      <c r="E773" t="s">
        <v>83</v>
      </c>
      <c r="F773">
        <v>26</v>
      </c>
      <c r="G773">
        <v>25</v>
      </c>
      <c r="H773">
        <v>1</v>
      </c>
      <c r="I773">
        <v>0</v>
      </c>
      <c r="J773">
        <v>1</v>
      </c>
      <c r="K773">
        <v>0</v>
      </c>
      <c r="L773">
        <v>0</v>
      </c>
      <c r="M773" t="s">
        <v>55</v>
      </c>
      <c r="N773" t="s">
        <v>48</v>
      </c>
      <c r="O773" t="s">
        <v>44</v>
      </c>
      <c r="P773" t="s">
        <v>45</v>
      </c>
      <c r="Q773">
        <v>0</v>
      </c>
      <c r="R773">
        <v>0</v>
      </c>
      <c r="S773">
        <v>0</v>
      </c>
      <c r="T773" t="s">
        <v>46</v>
      </c>
      <c r="U773" t="s">
        <v>46</v>
      </c>
      <c r="V773">
        <v>1</v>
      </c>
      <c r="W773" t="s">
        <v>38</v>
      </c>
      <c r="X773">
        <v>9</v>
      </c>
      <c r="Z773">
        <v>0</v>
      </c>
      <c r="AA773" t="s">
        <v>39</v>
      </c>
      <c r="AB773">
        <v>120</v>
      </c>
      <c r="AC773">
        <v>0</v>
      </c>
      <c r="AD773">
        <v>1</v>
      </c>
      <c r="AE773" t="s">
        <v>40</v>
      </c>
      <c r="AF773" s="1">
        <v>42912</v>
      </c>
    </row>
    <row r="774" spans="1:32" x14ac:dyDescent="0.25">
      <c r="A774" t="s">
        <v>41</v>
      </c>
      <c r="B774">
        <v>1</v>
      </c>
      <c r="C774">
        <v>305</v>
      </c>
      <c r="D774">
        <v>2016</v>
      </c>
      <c r="E774" t="s">
        <v>61</v>
      </c>
      <c r="F774">
        <v>45</v>
      </c>
      <c r="G774">
        <v>4</v>
      </c>
      <c r="H774">
        <v>1</v>
      </c>
      <c r="I774">
        <v>2</v>
      </c>
      <c r="J774">
        <v>2</v>
      </c>
      <c r="K774">
        <v>0</v>
      </c>
      <c r="L774">
        <v>0</v>
      </c>
      <c r="M774" t="s">
        <v>34</v>
      </c>
      <c r="N774" t="s">
        <v>43</v>
      </c>
      <c r="O774" t="s">
        <v>49</v>
      </c>
      <c r="P774" t="s">
        <v>45</v>
      </c>
      <c r="Q774">
        <v>0</v>
      </c>
      <c r="R774">
        <v>0</v>
      </c>
      <c r="S774">
        <v>0</v>
      </c>
      <c r="T774" t="s">
        <v>46</v>
      </c>
      <c r="U774" t="s">
        <v>46</v>
      </c>
      <c r="V774">
        <v>0</v>
      </c>
      <c r="W774" t="s">
        <v>68</v>
      </c>
      <c r="X774">
        <v>21</v>
      </c>
      <c r="Z774">
        <v>0</v>
      </c>
      <c r="AA774" t="s">
        <v>39</v>
      </c>
      <c r="AB774">
        <v>89</v>
      </c>
      <c r="AC774">
        <v>0</v>
      </c>
      <c r="AD774">
        <v>0</v>
      </c>
      <c r="AE774" t="s">
        <v>47</v>
      </c>
      <c r="AF774" s="1">
        <v>42401</v>
      </c>
    </row>
    <row r="775" spans="1:32" x14ac:dyDescent="0.25">
      <c r="A775" t="s">
        <v>32</v>
      </c>
      <c r="B775">
        <v>0</v>
      </c>
      <c r="C775">
        <v>336</v>
      </c>
      <c r="D775">
        <v>2016</v>
      </c>
      <c r="E775" t="s">
        <v>62</v>
      </c>
      <c r="F775">
        <v>38</v>
      </c>
      <c r="G775">
        <v>15</v>
      </c>
      <c r="H775">
        <v>1</v>
      </c>
      <c r="I775">
        <v>3</v>
      </c>
      <c r="J775">
        <v>2</v>
      </c>
      <c r="K775">
        <v>0</v>
      </c>
      <c r="L775">
        <v>0</v>
      </c>
      <c r="M775" t="s">
        <v>34</v>
      </c>
      <c r="N775" t="s">
        <v>35</v>
      </c>
      <c r="O775" t="s">
        <v>64</v>
      </c>
      <c r="P775" t="s">
        <v>36</v>
      </c>
      <c r="Q775">
        <v>0</v>
      </c>
      <c r="R775">
        <v>0</v>
      </c>
      <c r="S775">
        <v>0</v>
      </c>
      <c r="T775" t="s">
        <v>46</v>
      </c>
      <c r="U775" t="s">
        <v>46</v>
      </c>
      <c r="V775">
        <v>1</v>
      </c>
      <c r="W775" t="s">
        <v>38</v>
      </c>
      <c r="Y775">
        <v>223</v>
      </c>
      <c r="Z775">
        <v>0</v>
      </c>
      <c r="AA775" t="s">
        <v>51</v>
      </c>
      <c r="AB775">
        <v>73.5</v>
      </c>
      <c r="AC775">
        <v>1</v>
      </c>
      <c r="AD775">
        <v>0</v>
      </c>
      <c r="AE775" t="s">
        <v>40</v>
      </c>
      <c r="AF775" s="1">
        <v>42632</v>
      </c>
    </row>
    <row r="776" spans="1:32" x14ac:dyDescent="0.25">
      <c r="A776" t="s">
        <v>41</v>
      </c>
      <c r="B776">
        <v>0</v>
      </c>
      <c r="C776">
        <v>188</v>
      </c>
      <c r="D776">
        <v>2016</v>
      </c>
      <c r="E776" t="s">
        <v>67</v>
      </c>
      <c r="F776">
        <v>33</v>
      </c>
      <c r="G776">
        <v>8</v>
      </c>
      <c r="H776">
        <v>1</v>
      </c>
      <c r="I776">
        <v>1</v>
      </c>
      <c r="J776">
        <v>2</v>
      </c>
      <c r="K776">
        <v>1</v>
      </c>
      <c r="L776">
        <v>0</v>
      </c>
      <c r="M776" t="s">
        <v>60</v>
      </c>
      <c r="N776" t="s">
        <v>106</v>
      </c>
      <c r="O776" t="s">
        <v>44</v>
      </c>
      <c r="P776" t="s">
        <v>45</v>
      </c>
      <c r="Q776">
        <v>0</v>
      </c>
      <c r="R776">
        <v>0</v>
      </c>
      <c r="S776">
        <v>0</v>
      </c>
      <c r="T776" t="s">
        <v>46</v>
      </c>
      <c r="U776" t="s">
        <v>46</v>
      </c>
      <c r="V776">
        <v>1</v>
      </c>
      <c r="W776" t="s">
        <v>38</v>
      </c>
      <c r="X776">
        <v>9</v>
      </c>
      <c r="Z776">
        <v>0</v>
      </c>
      <c r="AA776" t="s">
        <v>39</v>
      </c>
      <c r="AB776">
        <v>164.25</v>
      </c>
      <c r="AC776">
        <v>0</v>
      </c>
      <c r="AD776">
        <v>1</v>
      </c>
      <c r="AE776" t="s">
        <v>40</v>
      </c>
      <c r="AF776" s="1">
        <v>42592</v>
      </c>
    </row>
    <row r="777" spans="1:32" x14ac:dyDescent="0.25">
      <c r="A777" t="s">
        <v>32</v>
      </c>
      <c r="B777">
        <v>0</v>
      </c>
      <c r="C777">
        <v>0</v>
      </c>
      <c r="D777">
        <v>2015</v>
      </c>
      <c r="E777" t="s">
        <v>33</v>
      </c>
      <c r="F777">
        <v>51</v>
      </c>
      <c r="G777">
        <v>18</v>
      </c>
      <c r="H777">
        <v>0</v>
      </c>
      <c r="I777">
        <v>1</v>
      </c>
      <c r="J777">
        <v>2</v>
      </c>
      <c r="K777">
        <v>0</v>
      </c>
      <c r="L777">
        <v>0</v>
      </c>
      <c r="M777" t="s">
        <v>34</v>
      </c>
      <c r="N777" t="s">
        <v>43</v>
      </c>
      <c r="O777" t="s">
        <v>49</v>
      </c>
      <c r="P777" t="s">
        <v>45</v>
      </c>
      <c r="Q777">
        <v>1</v>
      </c>
      <c r="R777">
        <v>0</v>
      </c>
      <c r="S777">
        <v>1</v>
      </c>
      <c r="T777" t="s">
        <v>46</v>
      </c>
      <c r="U777" t="s">
        <v>46</v>
      </c>
      <c r="V777">
        <v>0</v>
      </c>
      <c r="W777" t="s">
        <v>38</v>
      </c>
      <c r="X777">
        <v>127</v>
      </c>
      <c r="Z777">
        <v>0</v>
      </c>
      <c r="AA777" t="s">
        <v>39</v>
      </c>
      <c r="AB777">
        <v>30.5</v>
      </c>
      <c r="AC777">
        <v>0</v>
      </c>
      <c r="AD777">
        <v>1</v>
      </c>
      <c r="AE777" t="s">
        <v>40</v>
      </c>
      <c r="AF777" s="1">
        <v>42357</v>
      </c>
    </row>
    <row r="778" spans="1:32" x14ac:dyDescent="0.25">
      <c r="A778" t="s">
        <v>41</v>
      </c>
      <c r="B778">
        <v>0</v>
      </c>
      <c r="C778">
        <v>175</v>
      </c>
      <c r="D778">
        <v>2016</v>
      </c>
      <c r="E778" t="s">
        <v>42</v>
      </c>
      <c r="F778">
        <v>29</v>
      </c>
      <c r="G778">
        <v>10</v>
      </c>
      <c r="H778">
        <v>4</v>
      </c>
      <c r="I778">
        <v>6</v>
      </c>
      <c r="J778">
        <v>2</v>
      </c>
      <c r="K778">
        <v>0</v>
      </c>
      <c r="L778">
        <v>0</v>
      </c>
      <c r="M778" t="s">
        <v>34</v>
      </c>
      <c r="N778" t="s">
        <v>98</v>
      </c>
      <c r="O778" t="s">
        <v>44</v>
      </c>
      <c r="P778" t="s">
        <v>45</v>
      </c>
      <c r="Q778">
        <v>0</v>
      </c>
      <c r="R778">
        <v>0</v>
      </c>
      <c r="S778">
        <v>0</v>
      </c>
      <c r="T778" t="s">
        <v>57</v>
      </c>
      <c r="U778" t="s">
        <v>57</v>
      </c>
      <c r="V778">
        <v>0</v>
      </c>
      <c r="W778" t="s">
        <v>38</v>
      </c>
      <c r="X778">
        <v>8</v>
      </c>
      <c r="Z778">
        <v>0</v>
      </c>
      <c r="AA778" t="s">
        <v>39</v>
      </c>
      <c r="AB778">
        <v>99.45</v>
      </c>
      <c r="AC778">
        <v>0</v>
      </c>
      <c r="AD778">
        <v>1</v>
      </c>
      <c r="AE778" t="s">
        <v>40</v>
      </c>
      <c r="AF778" s="1">
        <v>42571</v>
      </c>
    </row>
    <row r="779" spans="1:32" x14ac:dyDescent="0.25">
      <c r="A779" t="s">
        <v>41</v>
      </c>
      <c r="B779">
        <v>0</v>
      </c>
      <c r="C779">
        <v>52</v>
      </c>
      <c r="D779">
        <v>2017</v>
      </c>
      <c r="E779" t="s">
        <v>54</v>
      </c>
      <c r="F779">
        <v>17</v>
      </c>
      <c r="G779">
        <v>28</v>
      </c>
      <c r="H779">
        <v>0</v>
      </c>
      <c r="I779">
        <v>1</v>
      </c>
      <c r="J779">
        <v>2</v>
      </c>
      <c r="K779">
        <v>0</v>
      </c>
      <c r="L779">
        <v>0</v>
      </c>
      <c r="M779" t="s">
        <v>34</v>
      </c>
      <c r="N779" t="s">
        <v>99</v>
      </c>
      <c r="O779" t="s">
        <v>76</v>
      </c>
      <c r="P779" t="s">
        <v>76</v>
      </c>
      <c r="Q779">
        <v>0</v>
      </c>
      <c r="R779">
        <v>0</v>
      </c>
      <c r="S779">
        <v>0</v>
      </c>
      <c r="T779" t="s">
        <v>46</v>
      </c>
      <c r="U779" t="s">
        <v>46</v>
      </c>
      <c r="V779">
        <v>1</v>
      </c>
      <c r="W779" t="s">
        <v>120</v>
      </c>
      <c r="Y779">
        <v>40</v>
      </c>
      <c r="Z779">
        <v>0</v>
      </c>
      <c r="AA779" t="s">
        <v>51</v>
      </c>
      <c r="AB779">
        <v>77</v>
      </c>
      <c r="AC779">
        <v>1</v>
      </c>
      <c r="AD779">
        <v>1</v>
      </c>
      <c r="AE779" t="s">
        <v>40</v>
      </c>
      <c r="AF779" s="1">
        <v>42854</v>
      </c>
    </row>
    <row r="780" spans="1:32" x14ac:dyDescent="0.25">
      <c r="A780" t="s">
        <v>32</v>
      </c>
      <c r="B780">
        <v>1</v>
      </c>
      <c r="C780">
        <v>11</v>
      </c>
      <c r="D780">
        <v>2015</v>
      </c>
      <c r="E780" t="s">
        <v>33</v>
      </c>
      <c r="F780">
        <v>49</v>
      </c>
      <c r="G780">
        <v>5</v>
      </c>
      <c r="H780">
        <v>2</v>
      </c>
      <c r="I780">
        <v>1</v>
      </c>
      <c r="J780">
        <v>2</v>
      </c>
      <c r="K780">
        <v>0</v>
      </c>
      <c r="L780">
        <v>0</v>
      </c>
      <c r="M780" t="s">
        <v>60</v>
      </c>
      <c r="N780" t="s">
        <v>43</v>
      </c>
      <c r="O780" t="s">
        <v>49</v>
      </c>
      <c r="P780" t="s">
        <v>45</v>
      </c>
      <c r="Q780">
        <v>0</v>
      </c>
      <c r="R780">
        <v>1</v>
      </c>
      <c r="S780">
        <v>0</v>
      </c>
      <c r="T780" t="s">
        <v>46</v>
      </c>
      <c r="U780" t="s">
        <v>46</v>
      </c>
      <c r="V780">
        <v>0</v>
      </c>
      <c r="W780" t="s">
        <v>38</v>
      </c>
      <c r="Z780">
        <v>0</v>
      </c>
      <c r="AA780" t="s">
        <v>51</v>
      </c>
      <c r="AB780">
        <v>68</v>
      </c>
      <c r="AC780">
        <v>0</v>
      </c>
      <c r="AD780">
        <v>0</v>
      </c>
      <c r="AE780" t="s">
        <v>47</v>
      </c>
      <c r="AF780" s="1">
        <v>42340</v>
      </c>
    </row>
    <row r="781" spans="1:32" x14ac:dyDescent="0.25">
      <c r="A781" t="s">
        <v>41</v>
      </c>
      <c r="B781">
        <v>1</v>
      </c>
      <c r="C781">
        <v>194</v>
      </c>
      <c r="D781">
        <v>2016</v>
      </c>
      <c r="E781" t="s">
        <v>42</v>
      </c>
      <c r="F781">
        <v>28</v>
      </c>
      <c r="G781">
        <v>9</v>
      </c>
      <c r="H781">
        <v>2</v>
      </c>
      <c r="I781">
        <v>1</v>
      </c>
      <c r="J781">
        <v>0</v>
      </c>
      <c r="K781">
        <v>2</v>
      </c>
      <c r="L781">
        <v>0</v>
      </c>
      <c r="M781" t="s">
        <v>34</v>
      </c>
      <c r="N781" t="s">
        <v>78</v>
      </c>
      <c r="O781" t="s">
        <v>44</v>
      </c>
      <c r="P781" t="s">
        <v>45</v>
      </c>
      <c r="Q781">
        <v>0</v>
      </c>
      <c r="R781">
        <v>0</v>
      </c>
      <c r="S781">
        <v>0</v>
      </c>
      <c r="T781" t="s">
        <v>86</v>
      </c>
      <c r="U781" t="s">
        <v>86</v>
      </c>
      <c r="V781">
        <v>1</v>
      </c>
      <c r="W781" t="s">
        <v>38</v>
      </c>
      <c r="X781">
        <v>9</v>
      </c>
      <c r="Z781">
        <v>0</v>
      </c>
      <c r="AA781" t="s">
        <v>39</v>
      </c>
      <c r="AB781">
        <v>86.63</v>
      </c>
      <c r="AC781">
        <v>0</v>
      </c>
      <c r="AD781">
        <v>0</v>
      </c>
      <c r="AE781" t="s">
        <v>47</v>
      </c>
      <c r="AF781" s="1">
        <v>42368</v>
      </c>
    </row>
    <row r="782" spans="1:32" x14ac:dyDescent="0.25">
      <c r="A782" t="s">
        <v>41</v>
      </c>
      <c r="B782">
        <v>0</v>
      </c>
      <c r="C782">
        <v>18</v>
      </c>
      <c r="D782">
        <v>2016</v>
      </c>
      <c r="E782" t="s">
        <v>83</v>
      </c>
      <c r="F782">
        <v>25</v>
      </c>
      <c r="G782">
        <v>13</v>
      </c>
      <c r="H782">
        <v>1</v>
      </c>
      <c r="I782">
        <v>0</v>
      </c>
      <c r="J782">
        <v>2</v>
      </c>
      <c r="K782">
        <v>0</v>
      </c>
      <c r="L782">
        <v>0</v>
      </c>
      <c r="M782" t="s">
        <v>34</v>
      </c>
      <c r="N782" t="s">
        <v>43</v>
      </c>
      <c r="O782" t="s">
        <v>44</v>
      </c>
      <c r="P782" t="s">
        <v>45</v>
      </c>
      <c r="Q782">
        <v>0</v>
      </c>
      <c r="R782">
        <v>0</v>
      </c>
      <c r="S782">
        <v>0</v>
      </c>
      <c r="T782" t="s">
        <v>57</v>
      </c>
      <c r="U782" t="s">
        <v>46</v>
      </c>
      <c r="V782">
        <v>0</v>
      </c>
      <c r="W782" t="s">
        <v>38</v>
      </c>
      <c r="X782">
        <v>7</v>
      </c>
      <c r="Z782">
        <v>0</v>
      </c>
      <c r="AA782" t="s">
        <v>39</v>
      </c>
      <c r="AB782">
        <v>97.02</v>
      </c>
      <c r="AC782">
        <v>0</v>
      </c>
      <c r="AD782">
        <v>0</v>
      </c>
      <c r="AE782" t="s">
        <v>40</v>
      </c>
      <c r="AF782" s="1">
        <v>42535</v>
      </c>
    </row>
    <row r="783" spans="1:32" x14ac:dyDescent="0.25">
      <c r="A783" t="s">
        <v>41</v>
      </c>
      <c r="B783">
        <v>0</v>
      </c>
      <c r="C783">
        <v>2</v>
      </c>
      <c r="D783">
        <v>2016</v>
      </c>
      <c r="E783" t="s">
        <v>69</v>
      </c>
      <c r="F783">
        <v>19</v>
      </c>
      <c r="G783">
        <v>4</v>
      </c>
      <c r="H783">
        <v>0</v>
      </c>
      <c r="I783">
        <v>1</v>
      </c>
      <c r="J783">
        <v>1</v>
      </c>
      <c r="K783">
        <v>0</v>
      </c>
      <c r="L783">
        <v>0</v>
      </c>
      <c r="M783" t="s">
        <v>34</v>
      </c>
      <c r="N783" t="s">
        <v>43</v>
      </c>
      <c r="O783" t="s">
        <v>102</v>
      </c>
      <c r="P783" t="s">
        <v>76</v>
      </c>
      <c r="Q783">
        <v>0</v>
      </c>
      <c r="R783">
        <v>0</v>
      </c>
      <c r="S783">
        <v>0</v>
      </c>
      <c r="T783" t="s">
        <v>46</v>
      </c>
      <c r="U783" t="s">
        <v>46</v>
      </c>
      <c r="V783">
        <v>0</v>
      </c>
      <c r="W783" t="s">
        <v>38</v>
      </c>
      <c r="Y783">
        <v>153</v>
      </c>
      <c r="Z783">
        <v>0</v>
      </c>
      <c r="AA783" t="s">
        <v>39</v>
      </c>
      <c r="AB783">
        <v>95</v>
      </c>
      <c r="AC783">
        <v>0</v>
      </c>
      <c r="AD783">
        <v>0</v>
      </c>
      <c r="AE783" t="s">
        <v>40</v>
      </c>
      <c r="AF783" s="1">
        <v>42495</v>
      </c>
    </row>
    <row r="784" spans="1:32" x14ac:dyDescent="0.25">
      <c r="A784" t="s">
        <v>41</v>
      </c>
      <c r="B784">
        <v>0</v>
      </c>
      <c r="C784">
        <v>0</v>
      </c>
      <c r="D784">
        <v>2017</v>
      </c>
      <c r="E784" t="s">
        <v>52</v>
      </c>
      <c r="F784">
        <v>12</v>
      </c>
      <c r="G784">
        <v>21</v>
      </c>
      <c r="H784">
        <v>0</v>
      </c>
      <c r="I784">
        <v>2</v>
      </c>
      <c r="J784">
        <v>1</v>
      </c>
      <c r="K784">
        <v>0</v>
      </c>
      <c r="L784">
        <v>0</v>
      </c>
      <c r="M784" t="s">
        <v>34</v>
      </c>
      <c r="N784" t="s">
        <v>43</v>
      </c>
      <c r="O784" t="s">
        <v>116</v>
      </c>
      <c r="P784" t="s">
        <v>36</v>
      </c>
      <c r="Q784">
        <v>1</v>
      </c>
      <c r="R784">
        <v>0</v>
      </c>
      <c r="S784">
        <v>1</v>
      </c>
      <c r="T784" t="s">
        <v>46</v>
      </c>
      <c r="U784" t="s">
        <v>57</v>
      </c>
      <c r="V784">
        <v>1</v>
      </c>
      <c r="W784" t="s">
        <v>38</v>
      </c>
      <c r="Y784">
        <v>45</v>
      </c>
      <c r="Z784">
        <v>0</v>
      </c>
      <c r="AA784" t="s">
        <v>39</v>
      </c>
      <c r="AB784">
        <v>0</v>
      </c>
      <c r="AC784">
        <v>0</v>
      </c>
      <c r="AD784">
        <v>1</v>
      </c>
      <c r="AE784" t="s">
        <v>40</v>
      </c>
      <c r="AF784" s="1">
        <v>42817</v>
      </c>
    </row>
    <row r="785" spans="1:32" x14ac:dyDescent="0.25">
      <c r="A785" t="s">
        <v>41</v>
      </c>
      <c r="B785">
        <v>0</v>
      </c>
      <c r="C785">
        <v>2</v>
      </c>
      <c r="D785">
        <v>2016</v>
      </c>
      <c r="E785" t="s">
        <v>42</v>
      </c>
      <c r="F785">
        <v>29</v>
      </c>
      <c r="G785">
        <v>11</v>
      </c>
      <c r="H785">
        <v>1</v>
      </c>
      <c r="I785">
        <v>2</v>
      </c>
      <c r="J785">
        <v>1</v>
      </c>
      <c r="K785">
        <v>0</v>
      </c>
      <c r="L785">
        <v>0</v>
      </c>
      <c r="M785" t="s">
        <v>34</v>
      </c>
      <c r="N785" t="s">
        <v>43</v>
      </c>
      <c r="O785" t="s">
        <v>116</v>
      </c>
      <c r="P785" t="s">
        <v>76</v>
      </c>
      <c r="Q785">
        <v>1</v>
      </c>
      <c r="R785">
        <v>2</v>
      </c>
      <c r="S785">
        <v>6</v>
      </c>
      <c r="T785" t="s">
        <v>46</v>
      </c>
      <c r="U785" t="s">
        <v>46</v>
      </c>
      <c r="V785">
        <v>0</v>
      </c>
      <c r="W785" t="s">
        <v>38</v>
      </c>
      <c r="Y785">
        <v>45</v>
      </c>
      <c r="Z785">
        <v>0</v>
      </c>
      <c r="AA785" t="s">
        <v>39</v>
      </c>
      <c r="AB785">
        <v>0</v>
      </c>
      <c r="AC785">
        <v>0</v>
      </c>
      <c r="AD785">
        <v>1</v>
      </c>
      <c r="AE785" t="s">
        <v>40</v>
      </c>
      <c r="AF785" s="1">
        <v>42565</v>
      </c>
    </row>
    <row r="786" spans="1:32" x14ac:dyDescent="0.25">
      <c r="A786" t="s">
        <v>41</v>
      </c>
      <c r="B786">
        <v>0</v>
      </c>
      <c r="C786">
        <v>28</v>
      </c>
      <c r="D786">
        <v>2017</v>
      </c>
      <c r="E786" t="s">
        <v>54</v>
      </c>
      <c r="F786">
        <v>17</v>
      </c>
      <c r="G786">
        <v>29</v>
      </c>
      <c r="H786">
        <v>0</v>
      </c>
      <c r="I786">
        <v>1</v>
      </c>
      <c r="J786">
        <v>2</v>
      </c>
      <c r="K786">
        <v>0</v>
      </c>
      <c r="L786">
        <v>0</v>
      </c>
      <c r="M786" t="s">
        <v>55</v>
      </c>
      <c r="N786" t="s">
        <v>95</v>
      </c>
      <c r="O786" t="s">
        <v>44</v>
      </c>
      <c r="P786" t="s">
        <v>45</v>
      </c>
      <c r="Q786">
        <v>0</v>
      </c>
      <c r="R786">
        <v>0</v>
      </c>
      <c r="S786">
        <v>0</v>
      </c>
      <c r="T786" t="s">
        <v>46</v>
      </c>
      <c r="U786" t="s">
        <v>46</v>
      </c>
      <c r="V786">
        <v>0</v>
      </c>
      <c r="W786" t="s">
        <v>38</v>
      </c>
      <c r="X786">
        <v>9</v>
      </c>
      <c r="Z786">
        <v>0</v>
      </c>
      <c r="AA786" t="s">
        <v>39</v>
      </c>
      <c r="AB786">
        <v>115</v>
      </c>
      <c r="AC786">
        <v>0</v>
      </c>
      <c r="AD786">
        <v>1</v>
      </c>
      <c r="AE786" t="s">
        <v>40</v>
      </c>
      <c r="AF786" s="1">
        <v>42855</v>
      </c>
    </row>
    <row r="787" spans="1:32" x14ac:dyDescent="0.25">
      <c r="A787" t="s">
        <v>32</v>
      </c>
      <c r="B787">
        <v>0</v>
      </c>
      <c r="C787">
        <v>0</v>
      </c>
      <c r="D787">
        <v>2015</v>
      </c>
      <c r="E787" t="s">
        <v>62</v>
      </c>
      <c r="F787">
        <v>36</v>
      </c>
      <c r="G787">
        <v>2</v>
      </c>
      <c r="H787">
        <v>0</v>
      </c>
      <c r="I787">
        <v>1</v>
      </c>
      <c r="J787">
        <v>1</v>
      </c>
      <c r="K787">
        <v>0</v>
      </c>
      <c r="L787">
        <v>0</v>
      </c>
      <c r="M787" t="s">
        <v>34</v>
      </c>
      <c r="N787" t="s">
        <v>43</v>
      </c>
      <c r="O787" t="s">
        <v>76</v>
      </c>
      <c r="P787" t="s">
        <v>76</v>
      </c>
      <c r="Q787">
        <v>0</v>
      </c>
      <c r="R787">
        <v>0</v>
      </c>
      <c r="S787">
        <v>0</v>
      </c>
      <c r="T787" t="s">
        <v>46</v>
      </c>
      <c r="U787" t="s">
        <v>72</v>
      </c>
      <c r="V787">
        <v>0</v>
      </c>
      <c r="W787" t="s">
        <v>38</v>
      </c>
      <c r="X787">
        <v>88</v>
      </c>
      <c r="Z787">
        <v>0</v>
      </c>
      <c r="AA787" t="s">
        <v>39</v>
      </c>
      <c r="AB787">
        <v>134</v>
      </c>
      <c r="AC787">
        <v>0</v>
      </c>
      <c r="AD787">
        <v>0</v>
      </c>
      <c r="AE787" t="s">
        <v>40</v>
      </c>
      <c r="AF787" s="1">
        <v>42250</v>
      </c>
    </row>
    <row r="788" spans="1:32" x14ac:dyDescent="0.25">
      <c r="A788" t="s">
        <v>32</v>
      </c>
      <c r="B788">
        <v>0</v>
      </c>
      <c r="C788">
        <v>4</v>
      </c>
      <c r="D788">
        <v>2017</v>
      </c>
      <c r="E788" t="s">
        <v>66</v>
      </c>
      <c r="F788">
        <v>6</v>
      </c>
      <c r="G788">
        <v>7</v>
      </c>
      <c r="H788">
        <v>0</v>
      </c>
      <c r="I788">
        <v>3</v>
      </c>
      <c r="J788">
        <v>1</v>
      </c>
      <c r="K788">
        <v>0</v>
      </c>
      <c r="L788">
        <v>0</v>
      </c>
      <c r="M788" t="s">
        <v>34</v>
      </c>
      <c r="N788" t="s">
        <v>43</v>
      </c>
      <c r="O788" t="s">
        <v>76</v>
      </c>
      <c r="P788" t="s">
        <v>76</v>
      </c>
      <c r="Q788">
        <v>0</v>
      </c>
      <c r="R788">
        <v>0</v>
      </c>
      <c r="S788">
        <v>0</v>
      </c>
      <c r="T788" t="s">
        <v>46</v>
      </c>
      <c r="U788" t="s">
        <v>46</v>
      </c>
      <c r="V788">
        <v>0</v>
      </c>
      <c r="W788" t="s">
        <v>38</v>
      </c>
      <c r="Y788">
        <v>154</v>
      </c>
      <c r="Z788">
        <v>0</v>
      </c>
      <c r="AA788" t="s">
        <v>39</v>
      </c>
      <c r="AB788">
        <v>35</v>
      </c>
      <c r="AC788">
        <v>0</v>
      </c>
      <c r="AD788">
        <v>0</v>
      </c>
      <c r="AE788" t="s">
        <v>40</v>
      </c>
      <c r="AF788" s="1">
        <v>42776</v>
      </c>
    </row>
    <row r="789" spans="1:32" x14ac:dyDescent="0.25">
      <c r="A789" t="s">
        <v>41</v>
      </c>
      <c r="B789">
        <v>1</v>
      </c>
      <c r="C789">
        <v>181</v>
      </c>
      <c r="D789">
        <v>2016</v>
      </c>
      <c r="E789" t="s">
        <v>59</v>
      </c>
      <c r="F789">
        <v>42</v>
      </c>
      <c r="G789">
        <v>11</v>
      </c>
      <c r="H789">
        <v>0</v>
      </c>
      <c r="I789">
        <v>2</v>
      </c>
      <c r="J789">
        <v>1</v>
      </c>
      <c r="K789">
        <v>0</v>
      </c>
      <c r="L789">
        <v>0</v>
      </c>
      <c r="M789" t="s">
        <v>34</v>
      </c>
      <c r="N789" t="s">
        <v>43</v>
      </c>
      <c r="O789" t="s">
        <v>49</v>
      </c>
      <c r="P789" t="s">
        <v>45</v>
      </c>
      <c r="Q789">
        <v>0</v>
      </c>
      <c r="R789">
        <v>0</v>
      </c>
      <c r="S789">
        <v>0</v>
      </c>
      <c r="T789" t="s">
        <v>46</v>
      </c>
      <c r="U789" t="s">
        <v>46</v>
      </c>
      <c r="V789">
        <v>0</v>
      </c>
      <c r="W789" t="s">
        <v>38</v>
      </c>
      <c r="X789">
        <v>234</v>
      </c>
      <c r="Z789">
        <v>0</v>
      </c>
      <c r="AA789" t="s">
        <v>51</v>
      </c>
      <c r="AB789">
        <v>120</v>
      </c>
      <c r="AC789">
        <v>0</v>
      </c>
      <c r="AD789">
        <v>0</v>
      </c>
      <c r="AE789" t="s">
        <v>89</v>
      </c>
      <c r="AF789" s="1">
        <v>42654</v>
      </c>
    </row>
    <row r="790" spans="1:32" x14ac:dyDescent="0.25">
      <c r="A790" t="s">
        <v>41</v>
      </c>
      <c r="B790">
        <v>0</v>
      </c>
      <c r="C790">
        <v>1</v>
      </c>
      <c r="D790">
        <v>2016</v>
      </c>
      <c r="E790" t="s">
        <v>61</v>
      </c>
      <c r="F790">
        <v>48</v>
      </c>
      <c r="G790">
        <v>22</v>
      </c>
      <c r="H790">
        <v>0</v>
      </c>
      <c r="I790">
        <v>3</v>
      </c>
      <c r="J790">
        <v>2</v>
      </c>
      <c r="K790">
        <v>0</v>
      </c>
      <c r="L790">
        <v>0</v>
      </c>
      <c r="M790" t="s">
        <v>55</v>
      </c>
      <c r="N790" t="s">
        <v>88</v>
      </c>
      <c r="O790" t="s">
        <v>44</v>
      </c>
      <c r="P790" t="s">
        <v>45</v>
      </c>
      <c r="Q790">
        <v>0</v>
      </c>
      <c r="R790">
        <v>0</v>
      </c>
      <c r="S790">
        <v>0</v>
      </c>
      <c r="T790" t="s">
        <v>57</v>
      </c>
      <c r="U790" t="s">
        <v>72</v>
      </c>
      <c r="V790">
        <v>0</v>
      </c>
      <c r="W790" t="s">
        <v>38</v>
      </c>
      <c r="X790">
        <v>9</v>
      </c>
      <c r="Z790">
        <v>0</v>
      </c>
      <c r="AA790" t="s">
        <v>39</v>
      </c>
      <c r="AB790">
        <v>100</v>
      </c>
      <c r="AC790">
        <v>0</v>
      </c>
      <c r="AD790">
        <v>1</v>
      </c>
      <c r="AE790" t="s">
        <v>40</v>
      </c>
      <c r="AF790" s="1">
        <v>42699</v>
      </c>
    </row>
    <row r="791" spans="1:32" x14ac:dyDescent="0.25">
      <c r="A791" t="s">
        <v>41</v>
      </c>
      <c r="B791">
        <v>0</v>
      </c>
      <c r="C791">
        <v>12</v>
      </c>
      <c r="D791">
        <v>2016</v>
      </c>
      <c r="E791" t="s">
        <v>59</v>
      </c>
      <c r="F791">
        <v>44</v>
      </c>
      <c r="G791">
        <v>25</v>
      </c>
      <c r="H791">
        <v>0</v>
      </c>
      <c r="I791">
        <v>3</v>
      </c>
      <c r="J791">
        <v>1</v>
      </c>
      <c r="K791">
        <v>0</v>
      </c>
      <c r="L791">
        <v>0</v>
      </c>
      <c r="M791" t="s">
        <v>34</v>
      </c>
      <c r="N791" t="s">
        <v>125</v>
      </c>
      <c r="O791" t="s">
        <v>44</v>
      </c>
      <c r="P791" t="s">
        <v>45</v>
      </c>
      <c r="Q791">
        <v>0</v>
      </c>
      <c r="R791">
        <v>0</v>
      </c>
      <c r="S791">
        <v>0</v>
      </c>
      <c r="T791" t="s">
        <v>46</v>
      </c>
      <c r="U791" t="s">
        <v>46</v>
      </c>
      <c r="V791">
        <v>0</v>
      </c>
      <c r="W791" t="s">
        <v>38</v>
      </c>
      <c r="X791">
        <v>9</v>
      </c>
      <c r="Z791">
        <v>0</v>
      </c>
      <c r="AA791" t="s">
        <v>39</v>
      </c>
      <c r="AB791">
        <v>130</v>
      </c>
      <c r="AC791">
        <v>0</v>
      </c>
      <c r="AD791">
        <v>2</v>
      </c>
      <c r="AE791" t="s">
        <v>40</v>
      </c>
      <c r="AF791" s="1">
        <v>42671</v>
      </c>
    </row>
    <row r="792" spans="1:32" x14ac:dyDescent="0.25">
      <c r="A792" t="s">
        <v>41</v>
      </c>
      <c r="B792">
        <v>1</v>
      </c>
      <c r="C792">
        <v>125</v>
      </c>
      <c r="D792">
        <v>2016</v>
      </c>
      <c r="E792" t="s">
        <v>67</v>
      </c>
      <c r="F792">
        <v>33</v>
      </c>
      <c r="G792">
        <v>8</v>
      </c>
      <c r="H792">
        <v>1</v>
      </c>
      <c r="I792">
        <v>4</v>
      </c>
      <c r="J792">
        <v>2</v>
      </c>
      <c r="K792">
        <v>0</v>
      </c>
      <c r="L792">
        <v>0</v>
      </c>
      <c r="M792" t="s">
        <v>34</v>
      </c>
      <c r="N792" t="s">
        <v>70</v>
      </c>
      <c r="O792" t="s">
        <v>44</v>
      </c>
      <c r="P792" t="s">
        <v>45</v>
      </c>
      <c r="Q792">
        <v>0</v>
      </c>
      <c r="R792">
        <v>0</v>
      </c>
      <c r="S792">
        <v>0</v>
      </c>
      <c r="T792" t="s">
        <v>46</v>
      </c>
      <c r="U792" t="s">
        <v>46</v>
      </c>
      <c r="V792">
        <v>0</v>
      </c>
      <c r="W792" t="s">
        <v>38</v>
      </c>
      <c r="X792">
        <v>9</v>
      </c>
      <c r="Z792">
        <v>0</v>
      </c>
      <c r="AA792" t="s">
        <v>39</v>
      </c>
      <c r="AB792">
        <v>114.3</v>
      </c>
      <c r="AC792">
        <v>0</v>
      </c>
      <c r="AD792">
        <v>0</v>
      </c>
      <c r="AE792" t="s">
        <v>47</v>
      </c>
      <c r="AF792" s="1">
        <v>42465</v>
      </c>
    </row>
    <row r="793" spans="1:32" x14ac:dyDescent="0.25">
      <c r="A793" t="s">
        <v>32</v>
      </c>
      <c r="B793">
        <v>0</v>
      </c>
      <c r="C793">
        <v>312</v>
      </c>
      <c r="D793">
        <v>2017</v>
      </c>
      <c r="E793" t="s">
        <v>52</v>
      </c>
      <c r="F793">
        <v>10</v>
      </c>
      <c r="G793">
        <v>5</v>
      </c>
      <c r="H793">
        <v>2</v>
      </c>
      <c r="I793">
        <v>5</v>
      </c>
      <c r="J793">
        <v>2</v>
      </c>
      <c r="K793">
        <v>0</v>
      </c>
      <c r="L793">
        <v>0</v>
      </c>
      <c r="M793" t="s">
        <v>60</v>
      </c>
      <c r="N793" t="s">
        <v>56</v>
      </c>
      <c r="O793" t="s">
        <v>64</v>
      </c>
      <c r="P793" t="s">
        <v>45</v>
      </c>
      <c r="Q793">
        <v>0</v>
      </c>
      <c r="R793">
        <v>0</v>
      </c>
      <c r="S793">
        <v>0</v>
      </c>
      <c r="T793" t="s">
        <v>46</v>
      </c>
      <c r="U793" t="s">
        <v>46</v>
      </c>
      <c r="V793">
        <v>0</v>
      </c>
      <c r="W793" t="s">
        <v>38</v>
      </c>
      <c r="X793">
        <v>298</v>
      </c>
      <c r="Z793">
        <v>0</v>
      </c>
      <c r="AA793" t="s">
        <v>51</v>
      </c>
      <c r="AB793">
        <v>56</v>
      </c>
      <c r="AC793">
        <v>0</v>
      </c>
      <c r="AD793">
        <v>0</v>
      </c>
      <c r="AE793" t="s">
        <v>40</v>
      </c>
      <c r="AF793" s="1">
        <v>42806</v>
      </c>
    </row>
    <row r="794" spans="1:32" x14ac:dyDescent="0.25">
      <c r="A794" t="s">
        <v>41</v>
      </c>
      <c r="B794">
        <v>0</v>
      </c>
      <c r="C794">
        <v>42</v>
      </c>
      <c r="D794">
        <v>2016</v>
      </c>
      <c r="E794" t="s">
        <v>52</v>
      </c>
      <c r="F794">
        <v>11</v>
      </c>
      <c r="G794">
        <v>11</v>
      </c>
      <c r="H794">
        <v>0</v>
      </c>
      <c r="I794">
        <v>2</v>
      </c>
      <c r="J794">
        <v>2</v>
      </c>
      <c r="K794">
        <v>0</v>
      </c>
      <c r="L794">
        <v>0</v>
      </c>
      <c r="M794" t="s">
        <v>34</v>
      </c>
      <c r="N794" t="s">
        <v>65</v>
      </c>
      <c r="O794" t="s">
        <v>44</v>
      </c>
      <c r="P794" t="s">
        <v>45</v>
      </c>
      <c r="Q794">
        <v>0</v>
      </c>
      <c r="R794">
        <v>0</v>
      </c>
      <c r="S794">
        <v>0</v>
      </c>
      <c r="T794" t="s">
        <v>46</v>
      </c>
      <c r="U794" t="s">
        <v>46</v>
      </c>
      <c r="V794">
        <v>0</v>
      </c>
      <c r="W794" t="s">
        <v>38</v>
      </c>
      <c r="X794">
        <v>9</v>
      </c>
      <c r="Z794">
        <v>0</v>
      </c>
      <c r="AA794" t="s">
        <v>39</v>
      </c>
      <c r="AB794">
        <v>81.900000000000006</v>
      </c>
      <c r="AC794">
        <v>0</v>
      </c>
      <c r="AD794">
        <v>0</v>
      </c>
      <c r="AE794" t="s">
        <v>40</v>
      </c>
      <c r="AF794" s="1">
        <v>42442</v>
      </c>
    </row>
    <row r="795" spans="1:32" x14ac:dyDescent="0.25">
      <c r="A795" t="s">
        <v>41</v>
      </c>
      <c r="B795">
        <v>0</v>
      </c>
      <c r="C795">
        <v>75</v>
      </c>
      <c r="D795">
        <v>2015</v>
      </c>
      <c r="E795" t="s">
        <v>62</v>
      </c>
      <c r="F795">
        <v>38</v>
      </c>
      <c r="G795">
        <v>19</v>
      </c>
      <c r="H795">
        <v>2</v>
      </c>
      <c r="I795">
        <v>2</v>
      </c>
      <c r="J795">
        <v>2</v>
      </c>
      <c r="K795">
        <v>0</v>
      </c>
      <c r="L795">
        <v>0</v>
      </c>
      <c r="M795" t="s">
        <v>34</v>
      </c>
      <c r="N795" t="s">
        <v>63</v>
      </c>
      <c r="O795" t="s">
        <v>64</v>
      </c>
      <c r="P795" t="s">
        <v>45</v>
      </c>
      <c r="Q795">
        <v>0</v>
      </c>
      <c r="R795">
        <v>0</v>
      </c>
      <c r="S795">
        <v>0</v>
      </c>
      <c r="T795" t="s">
        <v>46</v>
      </c>
      <c r="U795" t="s">
        <v>46</v>
      </c>
      <c r="V795">
        <v>0</v>
      </c>
      <c r="W795" t="s">
        <v>38</v>
      </c>
      <c r="X795">
        <v>1</v>
      </c>
      <c r="Z795">
        <v>0</v>
      </c>
      <c r="AA795" t="s">
        <v>51</v>
      </c>
      <c r="AB795">
        <v>62</v>
      </c>
      <c r="AC795">
        <v>0</v>
      </c>
      <c r="AD795">
        <v>0</v>
      </c>
      <c r="AE795" t="s">
        <v>40</v>
      </c>
      <c r="AF795" s="1">
        <v>42270</v>
      </c>
    </row>
    <row r="796" spans="1:32" x14ac:dyDescent="0.25">
      <c r="A796" t="s">
        <v>41</v>
      </c>
      <c r="B796">
        <v>1</v>
      </c>
      <c r="C796">
        <v>334</v>
      </c>
      <c r="D796">
        <v>2015</v>
      </c>
      <c r="E796" t="s">
        <v>62</v>
      </c>
      <c r="F796">
        <v>38</v>
      </c>
      <c r="G796">
        <v>16</v>
      </c>
      <c r="H796">
        <v>0</v>
      </c>
      <c r="I796">
        <v>2</v>
      </c>
      <c r="J796">
        <v>2</v>
      </c>
      <c r="K796">
        <v>0</v>
      </c>
      <c r="L796">
        <v>0</v>
      </c>
      <c r="M796" t="s">
        <v>34</v>
      </c>
      <c r="N796" t="s">
        <v>43</v>
      </c>
      <c r="O796" t="s">
        <v>64</v>
      </c>
      <c r="P796" t="s">
        <v>45</v>
      </c>
      <c r="Q796">
        <v>0</v>
      </c>
      <c r="R796">
        <v>1</v>
      </c>
      <c r="S796">
        <v>0</v>
      </c>
      <c r="T796" t="s">
        <v>46</v>
      </c>
      <c r="U796" t="s">
        <v>46</v>
      </c>
      <c r="V796">
        <v>0</v>
      </c>
      <c r="W796" t="s">
        <v>68</v>
      </c>
      <c r="X796">
        <v>1</v>
      </c>
      <c r="Z796">
        <v>0</v>
      </c>
      <c r="AA796" t="s">
        <v>51</v>
      </c>
      <c r="AB796">
        <v>62</v>
      </c>
      <c r="AC796">
        <v>0</v>
      </c>
      <c r="AD796">
        <v>0</v>
      </c>
      <c r="AE796" t="s">
        <v>47</v>
      </c>
      <c r="AF796" s="1">
        <v>42187</v>
      </c>
    </row>
    <row r="797" spans="1:32" x14ac:dyDescent="0.25">
      <c r="A797" t="s">
        <v>41</v>
      </c>
      <c r="B797">
        <v>1</v>
      </c>
      <c r="C797">
        <v>188</v>
      </c>
      <c r="D797">
        <v>2016</v>
      </c>
      <c r="E797" t="s">
        <v>83</v>
      </c>
      <c r="F797">
        <v>25</v>
      </c>
      <c r="G797">
        <v>15</v>
      </c>
      <c r="H797">
        <v>0</v>
      </c>
      <c r="I797">
        <v>2</v>
      </c>
      <c r="J797">
        <v>1</v>
      </c>
      <c r="K797">
        <v>0</v>
      </c>
      <c r="L797">
        <v>0</v>
      </c>
      <c r="M797" t="s">
        <v>34</v>
      </c>
      <c r="N797" t="s">
        <v>43</v>
      </c>
      <c r="O797" t="s">
        <v>49</v>
      </c>
      <c r="P797" t="s">
        <v>45</v>
      </c>
      <c r="Q797">
        <v>0</v>
      </c>
      <c r="R797">
        <v>0</v>
      </c>
      <c r="S797">
        <v>0</v>
      </c>
      <c r="T797" t="s">
        <v>46</v>
      </c>
      <c r="U797" t="s">
        <v>46</v>
      </c>
      <c r="V797">
        <v>0</v>
      </c>
      <c r="W797" t="s">
        <v>68</v>
      </c>
      <c r="X797">
        <v>119</v>
      </c>
      <c r="Z797">
        <v>39</v>
      </c>
      <c r="AA797" t="s">
        <v>39</v>
      </c>
      <c r="AB797">
        <v>130</v>
      </c>
      <c r="AC797">
        <v>0</v>
      </c>
      <c r="AD797">
        <v>0</v>
      </c>
      <c r="AE797" t="s">
        <v>47</v>
      </c>
      <c r="AF797" s="1">
        <v>42387</v>
      </c>
    </row>
    <row r="798" spans="1:32" x14ac:dyDescent="0.25">
      <c r="A798" t="s">
        <v>41</v>
      </c>
      <c r="B798">
        <v>1</v>
      </c>
      <c r="C798">
        <v>108</v>
      </c>
      <c r="D798">
        <v>2017</v>
      </c>
      <c r="E798" t="s">
        <v>67</v>
      </c>
      <c r="F798">
        <v>34</v>
      </c>
      <c r="G798">
        <v>20</v>
      </c>
      <c r="H798">
        <v>2</v>
      </c>
      <c r="I798">
        <v>3</v>
      </c>
      <c r="J798">
        <v>1</v>
      </c>
      <c r="K798">
        <v>0</v>
      </c>
      <c r="L798">
        <v>0</v>
      </c>
      <c r="M798" t="s">
        <v>34</v>
      </c>
      <c r="N798" t="s">
        <v>43</v>
      </c>
      <c r="O798" t="s">
        <v>49</v>
      </c>
      <c r="P798" t="s">
        <v>45</v>
      </c>
      <c r="Q798">
        <v>0</v>
      </c>
      <c r="R798">
        <v>0</v>
      </c>
      <c r="S798">
        <v>0</v>
      </c>
      <c r="T798" t="s">
        <v>46</v>
      </c>
      <c r="U798" t="s">
        <v>46</v>
      </c>
      <c r="V798">
        <v>0</v>
      </c>
      <c r="W798" t="s">
        <v>38</v>
      </c>
      <c r="X798">
        <v>52</v>
      </c>
      <c r="Z798">
        <v>0</v>
      </c>
      <c r="AA798" t="s">
        <v>39</v>
      </c>
      <c r="AB798">
        <v>71.099999999999994</v>
      </c>
      <c r="AC798">
        <v>0</v>
      </c>
      <c r="AD798">
        <v>0</v>
      </c>
      <c r="AE798" t="s">
        <v>47</v>
      </c>
      <c r="AF798" s="1">
        <v>42927</v>
      </c>
    </row>
    <row r="799" spans="1:32" x14ac:dyDescent="0.25">
      <c r="A799" t="s">
        <v>41</v>
      </c>
      <c r="B799">
        <v>0</v>
      </c>
      <c r="C799">
        <v>42</v>
      </c>
      <c r="D799">
        <v>2016</v>
      </c>
      <c r="E799" t="s">
        <v>54</v>
      </c>
      <c r="F799">
        <v>14</v>
      </c>
      <c r="G799">
        <v>2</v>
      </c>
      <c r="H799">
        <v>0</v>
      </c>
      <c r="I799">
        <v>1</v>
      </c>
      <c r="J799">
        <v>2</v>
      </c>
      <c r="K799">
        <v>0</v>
      </c>
      <c r="L799">
        <v>0</v>
      </c>
      <c r="M799" t="s">
        <v>34</v>
      </c>
      <c r="N799" t="s">
        <v>88</v>
      </c>
      <c r="O799" t="s">
        <v>44</v>
      </c>
      <c r="P799" t="s">
        <v>45</v>
      </c>
      <c r="Q799">
        <v>0</v>
      </c>
      <c r="R799">
        <v>0</v>
      </c>
      <c r="S799">
        <v>0</v>
      </c>
      <c r="T799" t="s">
        <v>46</v>
      </c>
      <c r="U799" t="s">
        <v>57</v>
      </c>
      <c r="V799">
        <v>0</v>
      </c>
      <c r="W799" t="s">
        <v>38</v>
      </c>
      <c r="X799">
        <v>9</v>
      </c>
      <c r="Z799">
        <v>0</v>
      </c>
      <c r="AA799" t="s">
        <v>39</v>
      </c>
      <c r="AB799">
        <v>117.9</v>
      </c>
      <c r="AC799">
        <v>0</v>
      </c>
      <c r="AD799">
        <v>0</v>
      </c>
      <c r="AE799" t="s">
        <v>40</v>
      </c>
      <c r="AF799" s="1">
        <v>42463</v>
      </c>
    </row>
    <row r="800" spans="1:32" x14ac:dyDescent="0.25">
      <c r="A800" t="s">
        <v>32</v>
      </c>
      <c r="B800">
        <v>0</v>
      </c>
      <c r="C800">
        <v>18</v>
      </c>
      <c r="D800">
        <v>2016</v>
      </c>
      <c r="E800" t="s">
        <v>42</v>
      </c>
      <c r="F800">
        <v>27</v>
      </c>
      <c r="G800">
        <v>1</v>
      </c>
      <c r="H800">
        <v>1</v>
      </c>
      <c r="I800">
        <v>2</v>
      </c>
      <c r="J800">
        <v>2</v>
      </c>
      <c r="K800">
        <v>0</v>
      </c>
      <c r="L800">
        <v>0</v>
      </c>
      <c r="M800" t="s">
        <v>34</v>
      </c>
      <c r="N800" t="s">
        <v>56</v>
      </c>
      <c r="O800" t="s">
        <v>44</v>
      </c>
      <c r="P800" t="s">
        <v>45</v>
      </c>
      <c r="Q800">
        <v>0</v>
      </c>
      <c r="R800">
        <v>0</v>
      </c>
      <c r="S800">
        <v>0</v>
      </c>
      <c r="T800" t="s">
        <v>46</v>
      </c>
      <c r="U800" t="s">
        <v>46</v>
      </c>
      <c r="V800">
        <v>0</v>
      </c>
      <c r="W800" t="s">
        <v>38</v>
      </c>
      <c r="X800">
        <v>240</v>
      </c>
      <c r="Z800">
        <v>0</v>
      </c>
      <c r="AA800" t="s">
        <v>39</v>
      </c>
      <c r="AB800">
        <v>129</v>
      </c>
      <c r="AC800">
        <v>0</v>
      </c>
      <c r="AD800">
        <v>1</v>
      </c>
      <c r="AE800" t="s">
        <v>40</v>
      </c>
      <c r="AF800" s="1">
        <v>42555</v>
      </c>
    </row>
    <row r="801" spans="1:32" x14ac:dyDescent="0.25">
      <c r="A801" t="s">
        <v>41</v>
      </c>
      <c r="B801">
        <v>1</v>
      </c>
      <c r="C801">
        <v>205</v>
      </c>
      <c r="D801">
        <v>2016</v>
      </c>
      <c r="E801" t="s">
        <v>67</v>
      </c>
      <c r="F801">
        <v>32</v>
      </c>
      <c r="G801">
        <v>4</v>
      </c>
      <c r="H801">
        <v>1</v>
      </c>
      <c r="I801">
        <v>3</v>
      </c>
      <c r="J801">
        <v>2</v>
      </c>
      <c r="K801">
        <v>0</v>
      </c>
      <c r="L801">
        <v>0</v>
      </c>
      <c r="M801" t="s">
        <v>55</v>
      </c>
      <c r="N801" t="s">
        <v>43</v>
      </c>
      <c r="O801" t="s">
        <v>44</v>
      </c>
      <c r="P801" t="s">
        <v>45</v>
      </c>
      <c r="Q801">
        <v>0</v>
      </c>
      <c r="R801">
        <v>0</v>
      </c>
      <c r="S801">
        <v>0</v>
      </c>
      <c r="T801" t="s">
        <v>46</v>
      </c>
      <c r="U801" t="s">
        <v>46</v>
      </c>
      <c r="V801">
        <v>2</v>
      </c>
      <c r="W801" t="s">
        <v>38</v>
      </c>
      <c r="X801">
        <v>7</v>
      </c>
      <c r="Z801">
        <v>0</v>
      </c>
      <c r="AA801" t="s">
        <v>39</v>
      </c>
      <c r="AB801">
        <v>80.75</v>
      </c>
      <c r="AC801">
        <v>0</v>
      </c>
      <c r="AD801">
        <v>0</v>
      </c>
      <c r="AE801" t="s">
        <v>47</v>
      </c>
      <c r="AF801" s="1">
        <v>42383</v>
      </c>
    </row>
    <row r="802" spans="1:32" x14ac:dyDescent="0.25">
      <c r="A802" t="s">
        <v>32</v>
      </c>
      <c r="B802">
        <v>0</v>
      </c>
      <c r="C802">
        <v>7</v>
      </c>
      <c r="D802">
        <v>2017</v>
      </c>
      <c r="E802" t="s">
        <v>66</v>
      </c>
      <c r="F802">
        <v>6</v>
      </c>
      <c r="G802">
        <v>10</v>
      </c>
      <c r="H802">
        <v>0</v>
      </c>
      <c r="I802">
        <v>2</v>
      </c>
      <c r="J802">
        <v>2</v>
      </c>
      <c r="K802">
        <v>0</v>
      </c>
      <c r="L802">
        <v>0</v>
      </c>
      <c r="M802" t="s">
        <v>34</v>
      </c>
      <c r="N802" t="s">
        <v>63</v>
      </c>
      <c r="O802" t="s">
        <v>36</v>
      </c>
      <c r="P802" t="s">
        <v>36</v>
      </c>
      <c r="Q802">
        <v>0</v>
      </c>
      <c r="R802">
        <v>0</v>
      </c>
      <c r="S802">
        <v>0</v>
      </c>
      <c r="T802" t="s">
        <v>57</v>
      </c>
      <c r="U802" t="s">
        <v>57</v>
      </c>
      <c r="V802">
        <v>1</v>
      </c>
      <c r="W802" t="s">
        <v>38</v>
      </c>
      <c r="X802">
        <v>250</v>
      </c>
      <c r="Z802">
        <v>0</v>
      </c>
      <c r="AA802" t="s">
        <v>39</v>
      </c>
      <c r="AB802">
        <v>66</v>
      </c>
      <c r="AC802">
        <v>0</v>
      </c>
      <c r="AD802">
        <v>2</v>
      </c>
      <c r="AE802" t="s">
        <v>40</v>
      </c>
      <c r="AF802" s="1">
        <v>42778</v>
      </c>
    </row>
    <row r="803" spans="1:32" x14ac:dyDescent="0.25">
      <c r="A803" t="s">
        <v>41</v>
      </c>
      <c r="B803">
        <v>1</v>
      </c>
      <c r="C803">
        <v>274</v>
      </c>
      <c r="D803">
        <v>2017</v>
      </c>
      <c r="E803" t="s">
        <v>67</v>
      </c>
      <c r="F803">
        <v>33</v>
      </c>
      <c r="G803">
        <v>16</v>
      </c>
      <c r="H803">
        <v>0</v>
      </c>
      <c r="I803">
        <v>4</v>
      </c>
      <c r="J803">
        <v>2</v>
      </c>
      <c r="K803">
        <v>2</v>
      </c>
      <c r="L803">
        <v>0</v>
      </c>
      <c r="M803" t="s">
        <v>34</v>
      </c>
      <c r="N803" t="s">
        <v>65</v>
      </c>
      <c r="O803" t="s">
        <v>44</v>
      </c>
      <c r="P803" t="s">
        <v>45</v>
      </c>
      <c r="Q803">
        <v>0</v>
      </c>
      <c r="R803">
        <v>0</v>
      </c>
      <c r="S803">
        <v>0</v>
      </c>
      <c r="T803" t="s">
        <v>37</v>
      </c>
      <c r="U803" t="s">
        <v>37</v>
      </c>
      <c r="V803">
        <v>0</v>
      </c>
      <c r="W803" t="s">
        <v>38</v>
      </c>
      <c r="X803">
        <v>9</v>
      </c>
      <c r="Z803">
        <v>0</v>
      </c>
      <c r="AA803" t="s">
        <v>39</v>
      </c>
      <c r="AB803">
        <v>179.1</v>
      </c>
      <c r="AC803">
        <v>0</v>
      </c>
      <c r="AD803">
        <v>1</v>
      </c>
      <c r="AE803" t="s">
        <v>47</v>
      </c>
      <c r="AF803" s="1">
        <v>42690</v>
      </c>
    </row>
    <row r="804" spans="1:32" x14ac:dyDescent="0.25">
      <c r="A804" t="s">
        <v>41</v>
      </c>
      <c r="B804">
        <v>0</v>
      </c>
      <c r="C804">
        <v>67</v>
      </c>
      <c r="D804">
        <v>2016</v>
      </c>
      <c r="E804" t="s">
        <v>54</v>
      </c>
      <c r="F804">
        <v>18</v>
      </c>
      <c r="G804">
        <v>30</v>
      </c>
      <c r="H804">
        <v>1</v>
      </c>
      <c r="I804">
        <v>1</v>
      </c>
      <c r="J804">
        <v>3</v>
      </c>
      <c r="K804">
        <v>0</v>
      </c>
      <c r="L804">
        <v>0</v>
      </c>
      <c r="M804" t="s">
        <v>60</v>
      </c>
      <c r="N804" t="s">
        <v>63</v>
      </c>
      <c r="O804" t="s">
        <v>44</v>
      </c>
      <c r="P804" t="s">
        <v>45</v>
      </c>
      <c r="Q804">
        <v>0</v>
      </c>
      <c r="R804">
        <v>0</v>
      </c>
      <c r="S804">
        <v>0</v>
      </c>
      <c r="T804" t="s">
        <v>57</v>
      </c>
      <c r="U804" t="s">
        <v>57</v>
      </c>
      <c r="V804">
        <v>1</v>
      </c>
      <c r="W804" t="s">
        <v>38</v>
      </c>
      <c r="X804">
        <v>9</v>
      </c>
      <c r="Z804">
        <v>0</v>
      </c>
      <c r="AA804" t="s">
        <v>39</v>
      </c>
      <c r="AB804">
        <v>219.6</v>
      </c>
      <c r="AC804">
        <v>1</v>
      </c>
      <c r="AD804">
        <v>2</v>
      </c>
      <c r="AE804" t="s">
        <v>40</v>
      </c>
      <c r="AF804" s="1">
        <v>42492</v>
      </c>
    </row>
    <row r="805" spans="1:32" x14ac:dyDescent="0.25">
      <c r="A805" t="s">
        <v>32</v>
      </c>
      <c r="B805">
        <v>1</v>
      </c>
      <c r="C805">
        <v>138</v>
      </c>
      <c r="D805">
        <v>2016</v>
      </c>
      <c r="E805" t="s">
        <v>54</v>
      </c>
      <c r="F805">
        <v>18</v>
      </c>
      <c r="G805">
        <v>25</v>
      </c>
      <c r="H805">
        <v>1</v>
      </c>
      <c r="I805">
        <v>2</v>
      </c>
      <c r="J805">
        <v>2</v>
      </c>
      <c r="K805">
        <v>0</v>
      </c>
      <c r="L805">
        <v>0</v>
      </c>
      <c r="M805" t="s">
        <v>34</v>
      </c>
      <c r="N805" t="s">
        <v>43</v>
      </c>
      <c r="O805" t="s">
        <v>64</v>
      </c>
      <c r="P805" t="s">
        <v>45</v>
      </c>
      <c r="Q805">
        <v>0</v>
      </c>
      <c r="R805">
        <v>0</v>
      </c>
      <c r="S805">
        <v>0</v>
      </c>
      <c r="T805" t="s">
        <v>72</v>
      </c>
      <c r="U805" t="s">
        <v>72</v>
      </c>
      <c r="V805">
        <v>0</v>
      </c>
      <c r="W805" t="s">
        <v>68</v>
      </c>
      <c r="Z805">
        <v>0</v>
      </c>
      <c r="AA805" t="s">
        <v>39</v>
      </c>
      <c r="AB805">
        <v>65</v>
      </c>
      <c r="AC805">
        <v>0</v>
      </c>
      <c r="AD805">
        <v>0</v>
      </c>
      <c r="AE805" t="s">
        <v>47</v>
      </c>
      <c r="AF805" s="1">
        <v>42387</v>
      </c>
    </row>
    <row r="806" spans="1:32" x14ac:dyDescent="0.25">
      <c r="A806" t="s">
        <v>32</v>
      </c>
      <c r="B806">
        <v>0</v>
      </c>
      <c r="C806">
        <v>155</v>
      </c>
      <c r="D806">
        <v>2017</v>
      </c>
      <c r="E806" t="s">
        <v>66</v>
      </c>
      <c r="F806">
        <v>7</v>
      </c>
      <c r="G806">
        <v>15</v>
      </c>
      <c r="H806">
        <v>6</v>
      </c>
      <c r="I806">
        <v>15</v>
      </c>
      <c r="J806">
        <v>2</v>
      </c>
      <c r="K806">
        <v>0</v>
      </c>
      <c r="L806">
        <v>0</v>
      </c>
      <c r="M806" t="s">
        <v>34</v>
      </c>
      <c r="N806" t="s">
        <v>98</v>
      </c>
      <c r="O806" t="s">
        <v>49</v>
      </c>
      <c r="P806" t="s">
        <v>45</v>
      </c>
      <c r="Q806">
        <v>0</v>
      </c>
      <c r="R806">
        <v>0</v>
      </c>
      <c r="S806">
        <v>0</v>
      </c>
      <c r="T806" t="s">
        <v>72</v>
      </c>
      <c r="U806" t="s">
        <v>72</v>
      </c>
      <c r="V806">
        <v>0</v>
      </c>
      <c r="W806" t="s">
        <v>38</v>
      </c>
      <c r="X806">
        <v>96</v>
      </c>
      <c r="Z806">
        <v>0</v>
      </c>
      <c r="AA806" t="s">
        <v>39</v>
      </c>
      <c r="AB806">
        <v>45</v>
      </c>
      <c r="AC806">
        <v>0</v>
      </c>
      <c r="AD806">
        <v>1</v>
      </c>
      <c r="AE806" t="s">
        <v>40</v>
      </c>
      <c r="AF806" s="1">
        <v>42802</v>
      </c>
    </row>
    <row r="807" spans="1:32" x14ac:dyDescent="0.25">
      <c r="A807" t="s">
        <v>41</v>
      </c>
      <c r="B807">
        <v>0</v>
      </c>
      <c r="C807">
        <v>4</v>
      </c>
      <c r="D807">
        <v>2017</v>
      </c>
      <c r="E807" t="s">
        <v>74</v>
      </c>
      <c r="F807">
        <v>3</v>
      </c>
      <c r="G807">
        <v>17</v>
      </c>
      <c r="H807">
        <v>0</v>
      </c>
      <c r="I807">
        <v>3</v>
      </c>
      <c r="J807">
        <v>2</v>
      </c>
      <c r="K807">
        <v>0</v>
      </c>
      <c r="L807">
        <v>0</v>
      </c>
      <c r="M807" t="s">
        <v>34</v>
      </c>
      <c r="N807" t="s">
        <v>43</v>
      </c>
      <c r="O807" t="s">
        <v>44</v>
      </c>
      <c r="P807" t="s">
        <v>45</v>
      </c>
      <c r="Q807">
        <v>0</v>
      </c>
      <c r="R807">
        <v>0</v>
      </c>
      <c r="S807">
        <v>0</v>
      </c>
      <c r="T807" t="s">
        <v>46</v>
      </c>
      <c r="U807" t="s">
        <v>46</v>
      </c>
      <c r="V807">
        <v>0</v>
      </c>
      <c r="W807" t="s">
        <v>38</v>
      </c>
      <c r="X807">
        <v>9</v>
      </c>
      <c r="Z807">
        <v>0</v>
      </c>
      <c r="AA807" t="s">
        <v>39</v>
      </c>
      <c r="AB807">
        <v>108</v>
      </c>
      <c r="AC807">
        <v>0</v>
      </c>
      <c r="AD807">
        <v>1</v>
      </c>
      <c r="AE807" t="s">
        <v>40</v>
      </c>
      <c r="AF807" s="1">
        <v>42755</v>
      </c>
    </row>
    <row r="808" spans="1:32" x14ac:dyDescent="0.25">
      <c r="A808" t="s">
        <v>41</v>
      </c>
      <c r="B808">
        <v>0</v>
      </c>
      <c r="C808">
        <v>58</v>
      </c>
      <c r="D808">
        <v>2016</v>
      </c>
      <c r="E808" t="s">
        <v>62</v>
      </c>
      <c r="F808">
        <v>40</v>
      </c>
      <c r="G808">
        <v>29</v>
      </c>
      <c r="H808">
        <v>0</v>
      </c>
      <c r="I808">
        <v>1</v>
      </c>
      <c r="J808">
        <v>2</v>
      </c>
      <c r="K808">
        <v>1</v>
      </c>
      <c r="L808">
        <v>0</v>
      </c>
      <c r="M808" t="s">
        <v>34</v>
      </c>
      <c r="N808" t="s">
        <v>95</v>
      </c>
      <c r="O808" t="s">
        <v>36</v>
      </c>
      <c r="P808" t="s">
        <v>36</v>
      </c>
      <c r="Q808">
        <v>0</v>
      </c>
      <c r="R808">
        <v>0</v>
      </c>
      <c r="S808">
        <v>0</v>
      </c>
      <c r="T808" t="s">
        <v>57</v>
      </c>
      <c r="U808" t="s">
        <v>57</v>
      </c>
      <c r="V808">
        <v>0</v>
      </c>
      <c r="W808" t="s">
        <v>38</v>
      </c>
      <c r="X808">
        <v>14</v>
      </c>
      <c r="Z808">
        <v>0</v>
      </c>
      <c r="AA808" t="s">
        <v>39</v>
      </c>
      <c r="AB808">
        <v>160.80000000000001</v>
      </c>
      <c r="AC808">
        <v>0</v>
      </c>
      <c r="AD808">
        <v>2</v>
      </c>
      <c r="AE808" t="s">
        <v>40</v>
      </c>
      <c r="AF808" s="1">
        <v>42643</v>
      </c>
    </row>
    <row r="809" spans="1:32" x14ac:dyDescent="0.25">
      <c r="A809" t="s">
        <v>41</v>
      </c>
      <c r="B809">
        <v>1</v>
      </c>
      <c r="C809">
        <v>317</v>
      </c>
      <c r="D809">
        <v>2016</v>
      </c>
      <c r="E809" t="s">
        <v>62</v>
      </c>
      <c r="F809">
        <v>37</v>
      </c>
      <c r="G809">
        <v>9</v>
      </c>
      <c r="H809">
        <v>1</v>
      </c>
      <c r="I809">
        <v>2</v>
      </c>
      <c r="J809">
        <v>2</v>
      </c>
      <c r="K809">
        <v>0</v>
      </c>
      <c r="L809">
        <v>0</v>
      </c>
      <c r="M809" t="s">
        <v>34</v>
      </c>
      <c r="N809" t="s">
        <v>43</v>
      </c>
      <c r="O809" t="s">
        <v>49</v>
      </c>
      <c r="P809" t="s">
        <v>45</v>
      </c>
      <c r="Q809">
        <v>0</v>
      </c>
      <c r="R809">
        <v>1</v>
      </c>
      <c r="S809">
        <v>0</v>
      </c>
      <c r="T809" t="s">
        <v>46</v>
      </c>
      <c r="U809" t="s">
        <v>46</v>
      </c>
      <c r="V809">
        <v>0</v>
      </c>
      <c r="W809" t="s">
        <v>68</v>
      </c>
      <c r="X809">
        <v>58</v>
      </c>
      <c r="Z809">
        <v>56</v>
      </c>
      <c r="AA809" t="s">
        <v>39</v>
      </c>
      <c r="AB809">
        <v>90</v>
      </c>
      <c r="AC809">
        <v>0</v>
      </c>
      <c r="AD809">
        <v>0</v>
      </c>
      <c r="AE809" t="s">
        <v>47</v>
      </c>
      <c r="AF809" s="1">
        <v>42361</v>
      </c>
    </row>
    <row r="810" spans="1:32" x14ac:dyDescent="0.25">
      <c r="A810" t="s">
        <v>32</v>
      </c>
      <c r="B810">
        <v>0</v>
      </c>
      <c r="C810">
        <v>94</v>
      </c>
      <c r="D810">
        <v>2017</v>
      </c>
      <c r="E810" t="s">
        <v>66</v>
      </c>
      <c r="F810">
        <v>7</v>
      </c>
      <c r="G810">
        <v>13</v>
      </c>
      <c r="H810">
        <v>1</v>
      </c>
      <c r="I810">
        <v>3</v>
      </c>
      <c r="J810">
        <v>3</v>
      </c>
      <c r="K810">
        <v>0</v>
      </c>
      <c r="L810">
        <v>0</v>
      </c>
      <c r="M810" t="s">
        <v>60</v>
      </c>
      <c r="N810" t="s">
        <v>35</v>
      </c>
      <c r="O810" t="s">
        <v>64</v>
      </c>
      <c r="P810" t="s">
        <v>45</v>
      </c>
      <c r="Q810">
        <v>0</v>
      </c>
      <c r="R810">
        <v>0</v>
      </c>
      <c r="S810">
        <v>0</v>
      </c>
      <c r="T810" t="s">
        <v>46</v>
      </c>
      <c r="U810" t="s">
        <v>46</v>
      </c>
      <c r="V810">
        <v>0</v>
      </c>
      <c r="W810" t="s">
        <v>38</v>
      </c>
      <c r="X810">
        <v>152</v>
      </c>
      <c r="Z810">
        <v>0</v>
      </c>
      <c r="AA810" t="s">
        <v>51</v>
      </c>
      <c r="AB810">
        <v>88</v>
      </c>
      <c r="AC810">
        <v>0</v>
      </c>
      <c r="AD810">
        <v>0</v>
      </c>
      <c r="AE810" t="s">
        <v>40</v>
      </c>
      <c r="AF810" s="1">
        <v>42783</v>
      </c>
    </row>
    <row r="811" spans="1:32" x14ac:dyDescent="0.25">
      <c r="A811" t="s">
        <v>41</v>
      </c>
      <c r="B811">
        <v>1</v>
      </c>
      <c r="C811">
        <v>19</v>
      </c>
      <c r="D811">
        <v>2016</v>
      </c>
      <c r="E811" t="s">
        <v>61</v>
      </c>
      <c r="F811">
        <v>46</v>
      </c>
      <c r="G811">
        <v>7</v>
      </c>
      <c r="H811">
        <v>1</v>
      </c>
      <c r="I811">
        <v>1</v>
      </c>
      <c r="J811">
        <v>1</v>
      </c>
      <c r="K811">
        <v>0</v>
      </c>
      <c r="L811">
        <v>0</v>
      </c>
      <c r="M811" t="s">
        <v>34</v>
      </c>
      <c r="N811" t="s">
        <v>43</v>
      </c>
      <c r="O811" t="s">
        <v>44</v>
      </c>
      <c r="P811" t="s">
        <v>45</v>
      </c>
      <c r="Q811">
        <v>0</v>
      </c>
      <c r="R811">
        <v>0</v>
      </c>
      <c r="S811">
        <v>0</v>
      </c>
      <c r="T811" t="s">
        <v>46</v>
      </c>
      <c r="U811" t="s">
        <v>46</v>
      </c>
      <c r="V811">
        <v>0</v>
      </c>
      <c r="W811" t="s">
        <v>38</v>
      </c>
      <c r="X811">
        <v>83</v>
      </c>
      <c r="Z811">
        <v>0</v>
      </c>
      <c r="AA811" t="s">
        <v>39</v>
      </c>
      <c r="AB811">
        <v>150</v>
      </c>
      <c r="AC811">
        <v>0</v>
      </c>
      <c r="AD811">
        <v>0</v>
      </c>
      <c r="AE811" t="s">
        <v>47</v>
      </c>
      <c r="AF811" s="1">
        <v>42667</v>
      </c>
    </row>
    <row r="812" spans="1:32" x14ac:dyDescent="0.25">
      <c r="A812" t="s">
        <v>41</v>
      </c>
      <c r="B812">
        <v>1</v>
      </c>
      <c r="C812">
        <v>211</v>
      </c>
      <c r="D812">
        <v>2016</v>
      </c>
      <c r="E812" t="s">
        <v>69</v>
      </c>
      <c r="F812">
        <v>21</v>
      </c>
      <c r="G812">
        <v>20</v>
      </c>
      <c r="H812">
        <v>0</v>
      </c>
      <c r="I812">
        <v>2</v>
      </c>
      <c r="J812">
        <v>2</v>
      </c>
      <c r="K812">
        <v>0</v>
      </c>
      <c r="L812">
        <v>0</v>
      </c>
      <c r="M812" t="s">
        <v>34</v>
      </c>
      <c r="N812" t="s">
        <v>43</v>
      </c>
      <c r="O812" t="s">
        <v>49</v>
      </c>
      <c r="P812" t="s">
        <v>45</v>
      </c>
      <c r="Q812">
        <v>0</v>
      </c>
      <c r="R812">
        <v>0</v>
      </c>
      <c r="S812">
        <v>0</v>
      </c>
      <c r="T812" t="s">
        <v>46</v>
      </c>
      <c r="U812" t="s">
        <v>46</v>
      </c>
      <c r="V812">
        <v>0</v>
      </c>
      <c r="W812" t="s">
        <v>68</v>
      </c>
      <c r="X812">
        <v>6</v>
      </c>
      <c r="Z812">
        <v>111</v>
      </c>
      <c r="AA812" t="s">
        <v>39</v>
      </c>
      <c r="AB812">
        <v>100</v>
      </c>
      <c r="AC812">
        <v>0</v>
      </c>
      <c r="AD812">
        <v>0</v>
      </c>
      <c r="AE812" t="s">
        <v>47</v>
      </c>
      <c r="AF812" s="1">
        <v>42447</v>
      </c>
    </row>
    <row r="813" spans="1:32" x14ac:dyDescent="0.25">
      <c r="A813" t="s">
        <v>41</v>
      </c>
      <c r="B813">
        <v>1</v>
      </c>
      <c r="C813">
        <v>215</v>
      </c>
      <c r="D813">
        <v>2017</v>
      </c>
      <c r="E813" t="s">
        <v>83</v>
      </c>
      <c r="F813">
        <v>26</v>
      </c>
      <c r="G813">
        <v>28</v>
      </c>
      <c r="H813">
        <v>0</v>
      </c>
      <c r="I813">
        <v>4</v>
      </c>
      <c r="J813">
        <v>2</v>
      </c>
      <c r="K813">
        <v>0</v>
      </c>
      <c r="L813">
        <v>0</v>
      </c>
      <c r="M813" t="s">
        <v>34</v>
      </c>
      <c r="N813" t="s">
        <v>43</v>
      </c>
      <c r="O813" t="s">
        <v>64</v>
      </c>
      <c r="P813" t="s">
        <v>45</v>
      </c>
      <c r="Q813">
        <v>0</v>
      </c>
      <c r="R813">
        <v>0</v>
      </c>
      <c r="S813">
        <v>0</v>
      </c>
      <c r="T813" t="s">
        <v>46</v>
      </c>
      <c r="U813" t="s">
        <v>46</v>
      </c>
      <c r="V813">
        <v>0</v>
      </c>
      <c r="W813" t="s">
        <v>68</v>
      </c>
      <c r="Z813">
        <v>0</v>
      </c>
      <c r="AA813" t="s">
        <v>39</v>
      </c>
      <c r="AB813">
        <v>110</v>
      </c>
      <c r="AC813">
        <v>0</v>
      </c>
      <c r="AD813">
        <v>0</v>
      </c>
      <c r="AE813" t="s">
        <v>47</v>
      </c>
      <c r="AF813" s="1">
        <v>42699</v>
      </c>
    </row>
    <row r="814" spans="1:32" x14ac:dyDescent="0.25">
      <c r="A814" t="s">
        <v>41</v>
      </c>
      <c r="B814">
        <v>1</v>
      </c>
      <c r="C814">
        <v>40</v>
      </c>
      <c r="D814">
        <v>2016</v>
      </c>
      <c r="E814" t="s">
        <v>54</v>
      </c>
      <c r="F814">
        <v>15</v>
      </c>
      <c r="G814">
        <v>6</v>
      </c>
      <c r="H814">
        <v>0</v>
      </c>
      <c r="I814">
        <v>1</v>
      </c>
      <c r="J814">
        <v>2</v>
      </c>
      <c r="K814">
        <v>2</v>
      </c>
      <c r="L814">
        <v>0</v>
      </c>
      <c r="M814" t="s">
        <v>34</v>
      </c>
      <c r="N814" t="s">
        <v>70</v>
      </c>
      <c r="O814" t="s">
        <v>44</v>
      </c>
      <c r="P814" t="s">
        <v>45</v>
      </c>
      <c r="Q814">
        <v>0</v>
      </c>
      <c r="R814">
        <v>0</v>
      </c>
      <c r="S814">
        <v>0</v>
      </c>
      <c r="T814" t="s">
        <v>37</v>
      </c>
      <c r="U814" t="s">
        <v>37</v>
      </c>
      <c r="V814">
        <v>0</v>
      </c>
      <c r="W814" t="s">
        <v>38</v>
      </c>
      <c r="X814">
        <v>9</v>
      </c>
      <c r="Z814">
        <v>0</v>
      </c>
      <c r="AA814" t="s">
        <v>39</v>
      </c>
      <c r="AB814">
        <v>189.9</v>
      </c>
      <c r="AC814">
        <v>0</v>
      </c>
      <c r="AD814">
        <v>0</v>
      </c>
      <c r="AE814" t="s">
        <v>47</v>
      </c>
      <c r="AF814" s="1">
        <v>42441</v>
      </c>
    </row>
    <row r="815" spans="1:32" x14ac:dyDescent="0.25">
      <c r="A815" t="s">
        <v>41</v>
      </c>
      <c r="B815">
        <v>0</v>
      </c>
      <c r="C815">
        <v>29</v>
      </c>
      <c r="D815">
        <v>2016</v>
      </c>
      <c r="E815" t="s">
        <v>59</v>
      </c>
      <c r="F815">
        <v>41</v>
      </c>
      <c r="G815">
        <v>5</v>
      </c>
      <c r="H815">
        <v>1</v>
      </c>
      <c r="I815">
        <v>4</v>
      </c>
      <c r="J815">
        <v>2</v>
      </c>
      <c r="K815">
        <v>0</v>
      </c>
      <c r="L815">
        <v>0</v>
      </c>
      <c r="M815" t="s">
        <v>34</v>
      </c>
      <c r="N815" t="s">
        <v>115</v>
      </c>
      <c r="O815" t="s">
        <v>44</v>
      </c>
      <c r="P815" t="s">
        <v>45</v>
      </c>
      <c r="Q815">
        <v>0</v>
      </c>
      <c r="R815">
        <v>0</v>
      </c>
      <c r="S815">
        <v>0</v>
      </c>
      <c r="T815" t="s">
        <v>57</v>
      </c>
      <c r="U815" t="s">
        <v>57</v>
      </c>
      <c r="V815">
        <v>0</v>
      </c>
      <c r="W815" t="s">
        <v>38</v>
      </c>
      <c r="X815">
        <v>9</v>
      </c>
      <c r="Z815">
        <v>0</v>
      </c>
      <c r="AA815" t="s">
        <v>39</v>
      </c>
      <c r="AB815">
        <v>161</v>
      </c>
      <c r="AC815">
        <v>0</v>
      </c>
      <c r="AD815">
        <v>2</v>
      </c>
      <c r="AE815" t="s">
        <v>40</v>
      </c>
      <c r="AF815" s="1">
        <v>42653</v>
      </c>
    </row>
    <row r="816" spans="1:32" x14ac:dyDescent="0.25">
      <c r="A816" t="s">
        <v>32</v>
      </c>
      <c r="B816">
        <v>0</v>
      </c>
      <c r="C816">
        <v>31</v>
      </c>
      <c r="D816">
        <v>2016</v>
      </c>
      <c r="E816" t="s">
        <v>54</v>
      </c>
      <c r="F816">
        <v>17</v>
      </c>
      <c r="G816">
        <v>18</v>
      </c>
      <c r="H816">
        <v>1</v>
      </c>
      <c r="I816">
        <v>1</v>
      </c>
      <c r="J816">
        <v>1</v>
      </c>
      <c r="K816">
        <v>0</v>
      </c>
      <c r="L816">
        <v>0</v>
      </c>
      <c r="M816" t="s">
        <v>34</v>
      </c>
      <c r="N816" t="s">
        <v>56</v>
      </c>
      <c r="O816" t="s">
        <v>64</v>
      </c>
      <c r="P816" t="s">
        <v>76</v>
      </c>
      <c r="Q816">
        <v>0</v>
      </c>
      <c r="R816">
        <v>0</v>
      </c>
      <c r="S816">
        <v>0</v>
      </c>
      <c r="T816" t="s">
        <v>57</v>
      </c>
      <c r="U816" t="s">
        <v>57</v>
      </c>
      <c r="V816">
        <v>1</v>
      </c>
      <c r="W816" t="s">
        <v>38</v>
      </c>
      <c r="Z816">
        <v>0</v>
      </c>
      <c r="AA816" t="s">
        <v>39</v>
      </c>
      <c r="AB816">
        <v>75</v>
      </c>
      <c r="AC816">
        <v>0</v>
      </c>
      <c r="AD816">
        <v>0</v>
      </c>
      <c r="AE816" t="s">
        <v>40</v>
      </c>
      <c r="AF816" s="1">
        <v>42480</v>
      </c>
    </row>
    <row r="817" spans="1:32" x14ac:dyDescent="0.25">
      <c r="A817" t="s">
        <v>41</v>
      </c>
      <c r="B817">
        <v>1</v>
      </c>
      <c r="C817">
        <v>115</v>
      </c>
      <c r="D817">
        <v>2017</v>
      </c>
      <c r="E817" t="s">
        <v>67</v>
      </c>
      <c r="F817">
        <v>34</v>
      </c>
      <c r="G817">
        <v>25</v>
      </c>
      <c r="H817">
        <v>0</v>
      </c>
      <c r="I817">
        <v>2</v>
      </c>
      <c r="J817">
        <v>3</v>
      </c>
      <c r="K817">
        <v>0</v>
      </c>
      <c r="L817">
        <v>0</v>
      </c>
      <c r="M817" t="s">
        <v>34</v>
      </c>
      <c r="N817" t="s">
        <v>43</v>
      </c>
      <c r="O817" t="s">
        <v>44</v>
      </c>
      <c r="P817" t="s">
        <v>45</v>
      </c>
      <c r="Q817">
        <v>0</v>
      </c>
      <c r="R817">
        <v>0</v>
      </c>
      <c r="S817">
        <v>0</v>
      </c>
      <c r="T817" t="s">
        <v>57</v>
      </c>
      <c r="U817" t="s">
        <v>57</v>
      </c>
      <c r="V817">
        <v>0</v>
      </c>
      <c r="W817" t="s">
        <v>38</v>
      </c>
      <c r="X817">
        <v>8</v>
      </c>
      <c r="Z817">
        <v>0</v>
      </c>
      <c r="AA817" t="s">
        <v>39</v>
      </c>
      <c r="AB817">
        <v>195</v>
      </c>
      <c r="AC817">
        <v>0</v>
      </c>
      <c r="AD817">
        <v>2</v>
      </c>
      <c r="AE817" t="s">
        <v>47</v>
      </c>
      <c r="AF817" s="1">
        <v>42962</v>
      </c>
    </row>
    <row r="818" spans="1:32" x14ac:dyDescent="0.25">
      <c r="A818" t="s">
        <v>41</v>
      </c>
      <c r="B818">
        <v>0</v>
      </c>
      <c r="C818">
        <v>22</v>
      </c>
      <c r="D818">
        <v>2017</v>
      </c>
      <c r="E818" t="s">
        <v>52</v>
      </c>
      <c r="F818">
        <v>11</v>
      </c>
      <c r="G818">
        <v>15</v>
      </c>
      <c r="H818">
        <v>0</v>
      </c>
      <c r="I818">
        <v>1</v>
      </c>
      <c r="J818">
        <v>1</v>
      </c>
      <c r="K818">
        <v>0</v>
      </c>
      <c r="L818">
        <v>0</v>
      </c>
      <c r="M818" t="s">
        <v>34</v>
      </c>
      <c r="N818" t="s">
        <v>43</v>
      </c>
      <c r="O818" t="s">
        <v>76</v>
      </c>
      <c r="P818" t="s">
        <v>76</v>
      </c>
      <c r="Q818">
        <v>0</v>
      </c>
      <c r="R818">
        <v>0</v>
      </c>
      <c r="S818">
        <v>0</v>
      </c>
      <c r="T818" t="s">
        <v>57</v>
      </c>
      <c r="U818" t="s">
        <v>57</v>
      </c>
      <c r="V818">
        <v>0</v>
      </c>
      <c r="W818" t="s">
        <v>38</v>
      </c>
      <c r="Y818">
        <v>433</v>
      </c>
      <c r="Z818">
        <v>0</v>
      </c>
      <c r="AA818" t="s">
        <v>39</v>
      </c>
      <c r="AB818">
        <v>65</v>
      </c>
      <c r="AC818">
        <v>0</v>
      </c>
      <c r="AD818">
        <v>0</v>
      </c>
      <c r="AE818" t="s">
        <v>40</v>
      </c>
      <c r="AF818" s="1">
        <v>42810</v>
      </c>
    </row>
    <row r="819" spans="1:32" x14ac:dyDescent="0.25">
      <c r="A819" t="s">
        <v>32</v>
      </c>
      <c r="B819">
        <v>1</v>
      </c>
      <c r="C819">
        <v>82</v>
      </c>
      <c r="D819">
        <v>2016</v>
      </c>
      <c r="E819" t="s">
        <v>66</v>
      </c>
      <c r="F819">
        <v>7</v>
      </c>
      <c r="G819">
        <v>7</v>
      </c>
      <c r="H819">
        <v>2</v>
      </c>
      <c r="I819">
        <v>0</v>
      </c>
      <c r="J819">
        <v>2</v>
      </c>
      <c r="K819">
        <v>0</v>
      </c>
      <c r="L819">
        <v>0</v>
      </c>
      <c r="M819" t="s">
        <v>34</v>
      </c>
      <c r="N819" t="s">
        <v>43</v>
      </c>
      <c r="O819" t="s">
        <v>64</v>
      </c>
      <c r="P819" t="s">
        <v>45</v>
      </c>
      <c r="Q819">
        <v>1</v>
      </c>
      <c r="R819">
        <v>1</v>
      </c>
      <c r="S819">
        <v>0</v>
      </c>
      <c r="T819" t="s">
        <v>46</v>
      </c>
      <c r="U819" t="s">
        <v>46</v>
      </c>
      <c r="V819">
        <v>0</v>
      </c>
      <c r="W819" t="s">
        <v>38</v>
      </c>
      <c r="X819">
        <v>67</v>
      </c>
      <c r="Z819">
        <v>0</v>
      </c>
      <c r="AA819" t="s">
        <v>51</v>
      </c>
      <c r="AB819">
        <v>86</v>
      </c>
      <c r="AC819">
        <v>0</v>
      </c>
      <c r="AD819">
        <v>0</v>
      </c>
      <c r="AE819" t="s">
        <v>47</v>
      </c>
      <c r="AF819" s="1">
        <v>42325</v>
      </c>
    </row>
    <row r="820" spans="1:32" x14ac:dyDescent="0.25">
      <c r="A820" t="s">
        <v>41</v>
      </c>
      <c r="B820">
        <v>1</v>
      </c>
      <c r="C820">
        <v>57</v>
      </c>
      <c r="D820">
        <v>2017</v>
      </c>
      <c r="E820" t="s">
        <v>52</v>
      </c>
      <c r="F820">
        <v>13</v>
      </c>
      <c r="G820">
        <v>29</v>
      </c>
      <c r="H820">
        <v>0</v>
      </c>
      <c r="I820">
        <v>2</v>
      </c>
      <c r="J820">
        <v>2</v>
      </c>
      <c r="K820">
        <v>1</v>
      </c>
      <c r="L820">
        <v>0</v>
      </c>
      <c r="M820" t="s">
        <v>34</v>
      </c>
      <c r="N820" t="s">
        <v>106</v>
      </c>
      <c r="O820" t="s">
        <v>44</v>
      </c>
      <c r="P820" t="s">
        <v>45</v>
      </c>
      <c r="Q820">
        <v>0</v>
      </c>
      <c r="R820">
        <v>0</v>
      </c>
      <c r="S820">
        <v>0</v>
      </c>
      <c r="T820" t="s">
        <v>46</v>
      </c>
      <c r="U820" t="s">
        <v>46</v>
      </c>
      <c r="V820">
        <v>0</v>
      </c>
      <c r="W820" t="s">
        <v>38</v>
      </c>
      <c r="X820">
        <v>9</v>
      </c>
      <c r="Z820">
        <v>0</v>
      </c>
      <c r="AA820" t="s">
        <v>39</v>
      </c>
      <c r="AB820">
        <v>115.2</v>
      </c>
      <c r="AC820">
        <v>0</v>
      </c>
      <c r="AD820">
        <v>0</v>
      </c>
      <c r="AE820" t="s">
        <v>47</v>
      </c>
      <c r="AF820" s="1">
        <v>42779</v>
      </c>
    </row>
    <row r="821" spans="1:32" x14ac:dyDescent="0.25">
      <c r="A821" t="s">
        <v>41</v>
      </c>
      <c r="B821">
        <v>0</v>
      </c>
      <c r="C821">
        <v>91</v>
      </c>
      <c r="D821">
        <v>2016</v>
      </c>
      <c r="E821" t="s">
        <v>42</v>
      </c>
      <c r="F821">
        <v>30</v>
      </c>
      <c r="G821">
        <v>20</v>
      </c>
      <c r="H821">
        <v>0</v>
      </c>
      <c r="I821">
        <v>2</v>
      </c>
      <c r="J821">
        <v>2</v>
      </c>
      <c r="K821">
        <v>1</v>
      </c>
      <c r="L821">
        <v>0</v>
      </c>
      <c r="M821" t="s">
        <v>34</v>
      </c>
      <c r="N821" t="s">
        <v>43</v>
      </c>
      <c r="O821" t="s">
        <v>44</v>
      </c>
      <c r="P821" t="s">
        <v>45</v>
      </c>
      <c r="Q821">
        <v>0</v>
      </c>
      <c r="R821">
        <v>0</v>
      </c>
      <c r="S821">
        <v>0</v>
      </c>
      <c r="T821" t="s">
        <v>46</v>
      </c>
      <c r="U821" t="s">
        <v>57</v>
      </c>
      <c r="V821">
        <v>0</v>
      </c>
      <c r="W821" t="s">
        <v>38</v>
      </c>
      <c r="X821">
        <v>9</v>
      </c>
      <c r="Z821">
        <v>0</v>
      </c>
      <c r="AA821" t="s">
        <v>39</v>
      </c>
      <c r="AB821">
        <v>126</v>
      </c>
      <c r="AC821">
        <v>0</v>
      </c>
      <c r="AD821">
        <v>2</v>
      </c>
      <c r="AE821" t="s">
        <v>40</v>
      </c>
      <c r="AF821" s="1">
        <v>42573</v>
      </c>
    </row>
    <row r="822" spans="1:32" x14ac:dyDescent="0.25">
      <c r="A822" t="s">
        <v>32</v>
      </c>
      <c r="B822">
        <v>1</v>
      </c>
      <c r="C822">
        <v>170</v>
      </c>
      <c r="D822">
        <v>2017</v>
      </c>
      <c r="E822" t="s">
        <v>83</v>
      </c>
      <c r="F822">
        <v>26</v>
      </c>
      <c r="G822">
        <v>26</v>
      </c>
      <c r="H822">
        <v>1</v>
      </c>
      <c r="I822">
        <v>5</v>
      </c>
      <c r="J822">
        <v>2</v>
      </c>
      <c r="K822">
        <v>2</v>
      </c>
      <c r="L822">
        <v>0</v>
      </c>
      <c r="M822" t="s">
        <v>34</v>
      </c>
      <c r="N822" t="s">
        <v>43</v>
      </c>
      <c r="O822" t="s">
        <v>44</v>
      </c>
      <c r="P822" t="s">
        <v>45</v>
      </c>
      <c r="Q822">
        <v>0</v>
      </c>
      <c r="R822">
        <v>0</v>
      </c>
      <c r="S822">
        <v>0</v>
      </c>
      <c r="T822" t="s">
        <v>104</v>
      </c>
      <c r="U822" t="s">
        <v>104</v>
      </c>
      <c r="V822">
        <v>3</v>
      </c>
      <c r="W822" t="s">
        <v>38</v>
      </c>
      <c r="X822">
        <v>314</v>
      </c>
      <c r="Z822">
        <v>0</v>
      </c>
      <c r="AA822" t="s">
        <v>39</v>
      </c>
      <c r="AB822">
        <v>118.4</v>
      </c>
      <c r="AC822">
        <v>0</v>
      </c>
      <c r="AD822">
        <v>0</v>
      </c>
      <c r="AE822" t="s">
        <v>47</v>
      </c>
      <c r="AF822" s="1">
        <v>42860</v>
      </c>
    </row>
    <row r="823" spans="1:32" x14ac:dyDescent="0.25">
      <c r="A823" t="s">
        <v>41</v>
      </c>
      <c r="B823">
        <v>0</v>
      </c>
      <c r="C823">
        <v>241</v>
      </c>
      <c r="D823">
        <v>2015</v>
      </c>
      <c r="E823" t="s">
        <v>59</v>
      </c>
      <c r="F823">
        <v>43</v>
      </c>
      <c r="G823">
        <v>19</v>
      </c>
      <c r="H823">
        <v>1</v>
      </c>
      <c r="I823">
        <v>2</v>
      </c>
      <c r="J823">
        <v>2</v>
      </c>
      <c r="K823">
        <v>0</v>
      </c>
      <c r="L823">
        <v>0</v>
      </c>
      <c r="M823" t="s">
        <v>34</v>
      </c>
      <c r="N823" t="s">
        <v>71</v>
      </c>
      <c r="O823" t="s">
        <v>64</v>
      </c>
      <c r="P823" t="s">
        <v>45</v>
      </c>
      <c r="Q823">
        <v>0</v>
      </c>
      <c r="R823">
        <v>0</v>
      </c>
      <c r="S823">
        <v>0</v>
      </c>
      <c r="T823" t="s">
        <v>46</v>
      </c>
      <c r="U823" t="s">
        <v>46</v>
      </c>
      <c r="V823">
        <v>0</v>
      </c>
      <c r="W823" t="s">
        <v>38</v>
      </c>
      <c r="X823">
        <v>1</v>
      </c>
      <c r="Z823">
        <v>0</v>
      </c>
      <c r="AA823" t="s">
        <v>51</v>
      </c>
      <c r="AB823">
        <v>60</v>
      </c>
      <c r="AC823">
        <v>0</v>
      </c>
      <c r="AD823">
        <v>0</v>
      </c>
      <c r="AE823" t="s">
        <v>40</v>
      </c>
      <c r="AF823" s="1">
        <v>42299</v>
      </c>
    </row>
    <row r="824" spans="1:32" x14ac:dyDescent="0.25">
      <c r="A824" t="s">
        <v>32</v>
      </c>
      <c r="B824">
        <v>0</v>
      </c>
      <c r="C824">
        <v>307</v>
      </c>
      <c r="D824">
        <v>2017</v>
      </c>
      <c r="E824" t="s">
        <v>83</v>
      </c>
      <c r="F824">
        <v>23</v>
      </c>
      <c r="G824">
        <v>8</v>
      </c>
      <c r="H824">
        <v>4</v>
      </c>
      <c r="I824">
        <v>10</v>
      </c>
      <c r="J824">
        <v>2</v>
      </c>
      <c r="K824">
        <v>0</v>
      </c>
      <c r="L824">
        <v>0</v>
      </c>
      <c r="M824" t="s">
        <v>60</v>
      </c>
      <c r="N824" t="s">
        <v>35</v>
      </c>
      <c r="O824" t="s">
        <v>49</v>
      </c>
      <c r="P824" t="s">
        <v>45</v>
      </c>
      <c r="Q824">
        <v>0</v>
      </c>
      <c r="R824">
        <v>0</v>
      </c>
      <c r="S824">
        <v>0</v>
      </c>
      <c r="T824" t="s">
        <v>57</v>
      </c>
      <c r="U824" t="s">
        <v>57</v>
      </c>
      <c r="V824">
        <v>0</v>
      </c>
      <c r="W824" t="s">
        <v>38</v>
      </c>
      <c r="X824">
        <v>243</v>
      </c>
      <c r="Z824">
        <v>0</v>
      </c>
      <c r="AA824" t="s">
        <v>73</v>
      </c>
      <c r="AB824">
        <v>98.4</v>
      </c>
      <c r="AC824">
        <v>0</v>
      </c>
      <c r="AD824">
        <v>0</v>
      </c>
      <c r="AE824" t="s">
        <v>40</v>
      </c>
      <c r="AF824" s="1">
        <v>42908</v>
      </c>
    </row>
    <row r="825" spans="1:32" x14ac:dyDescent="0.25">
      <c r="A825" t="s">
        <v>41</v>
      </c>
      <c r="B825">
        <v>1</v>
      </c>
      <c r="C825">
        <v>89</v>
      </c>
      <c r="D825">
        <v>2015</v>
      </c>
      <c r="E825" t="s">
        <v>42</v>
      </c>
      <c r="F825">
        <v>31</v>
      </c>
      <c r="G825">
        <v>27</v>
      </c>
      <c r="H825">
        <v>1</v>
      </c>
      <c r="I825">
        <v>1</v>
      </c>
      <c r="J825">
        <v>2</v>
      </c>
      <c r="K825">
        <v>0</v>
      </c>
      <c r="L825">
        <v>0</v>
      </c>
      <c r="M825" t="s">
        <v>34</v>
      </c>
      <c r="N825" t="s">
        <v>43</v>
      </c>
      <c r="O825" t="s">
        <v>44</v>
      </c>
      <c r="P825" t="s">
        <v>45</v>
      </c>
      <c r="Q825">
        <v>0</v>
      </c>
      <c r="R825">
        <v>0</v>
      </c>
      <c r="S825">
        <v>0</v>
      </c>
      <c r="T825" t="s">
        <v>46</v>
      </c>
      <c r="U825" t="s">
        <v>46</v>
      </c>
      <c r="V825">
        <v>0</v>
      </c>
      <c r="W825" t="s">
        <v>38</v>
      </c>
      <c r="X825">
        <v>8</v>
      </c>
      <c r="Z825">
        <v>0</v>
      </c>
      <c r="AA825" t="s">
        <v>39</v>
      </c>
      <c r="AB825">
        <v>76.5</v>
      </c>
      <c r="AC825">
        <v>0</v>
      </c>
      <c r="AD825">
        <v>0</v>
      </c>
      <c r="AE825" t="s">
        <v>47</v>
      </c>
      <c r="AF825" s="1">
        <v>42191</v>
      </c>
    </row>
    <row r="826" spans="1:32" x14ac:dyDescent="0.25">
      <c r="A826" t="s">
        <v>32</v>
      </c>
      <c r="B826">
        <v>0</v>
      </c>
      <c r="C826">
        <v>24</v>
      </c>
      <c r="D826">
        <v>2016</v>
      </c>
      <c r="E826" t="s">
        <v>83</v>
      </c>
      <c r="F826">
        <v>26</v>
      </c>
      <c r="G826">
        <v>25</v>
      </c>
      <c r="H826">
        <v>2</v>
      </c>
      <c r="I826">
        <v>1</v>
      </c>
      <c r="J826">
        <v>2</v>
      </c>
      <c r="K826">
        <v>0</v>
      </c>
      <c r="L826">
        <v>0</v>
      </c>
      <c r="M826" t="s">
        <v>34</v>
      </c>
      <c r="N826" t="s">
        <v>35</v>
      </c>
      <c r="O826" t="s">
        <v>44</v>
      </c>
      <c r="P826" t="s">
        <v>45</v>
      </c>
      <c r="Q826">
        <v>0</v>
      </c>
      <c r="R826">
        <v>0</v>
      </c>
      <c r="S826">
        <v>0</v>
      </c>
      <c r="T826" t="s">
        <v>46</v>
      </c>
      <c r="U826" t="s">
        <v>46</v>
      </c>
      <c r="V826">
        <v>0</v>
      </c>
      <c r="W826" t="s">
        <v>38</v>
      </c>
      <c r="X826">
        <v>241</v>
      </c>
      <c r="Z826">
        <v>0</v>
      </c>
      <c r="AA826" t="s">
        <v>39</v>
      </c>
      <c r="AB826">
        <v>95.69</v>
      </c>
      <c r="AC826">
        <v>0</v>
      </c>
      <c r="AD826">
        <v>1</v>
      </c>
      <c r="AE826" t="s">
        <v>40</v>
      </c>
      <c r="AF826" s="1">
        <v>42549</v>
      </c>
    </row>
    <row r="827" spans="1:32" x14ac:dyDescent="0.25">
      <c r="A827" t="s">
        <v>41</v>
      </c>
      <c r="B827">
        <v>1</v>
      </c>
      <c r="C827">
        <v>177</v>
      </c>
      <c r="D827">
        <v>2017</v>
      </c>
      <c r="E827" t="s">
        <v>67</v>
      </c>
      <c r="F827">
        <v>35</v>
      </c>
      <c r="G827">
        <v>31</v>
      </c>
      <c r="H827">
        <v>0</v>
      </c>
      <c r="I827">
        <v>3</v>
      </c>
      <c r="J827">
        <v>2</v>
      </c>
      <c r="K827">
        <v>0</v>
      </c>
      <c r="L827">
        <v>0</v>
      </c>
      <c r="M827" t="s">
        <v>34</v>
      </c>
      <c r="N827" t="s">
        <v>43</v>
      </c>
      <c r="O827" t="s">
        <v>49</v>
      </c>
      <c r="P827" t="s">
        <v>45</v>
      </c>
      <c r="Q827">
        <v>0</v>
      </c>
      <c r="R827">
        <v>0</v>
      </c>
      <c r="S827">
        <v>0</v>
      </c>
      <c r="T827" t="s">
        <v>57</v>
      </c>
      <c r="U827" t="s">
        <v>57</v>
      </c>
      <c r="V827">
        <v>0</v>
      </c>
      <c r="W827" t="s">
        <v>38</v>
      </c>
      <c r="X827">
        <v>52</v>
      </c>
      <c r="Z827">
        <v>0</v>
      </c>
      <c r="AA827" t="s">
        <v>39</v>
      </c>
      <c r="AB827">
        <v>95.1</v>
      </c>
      <c r="AC827">
        <v>0</v>
      </c>
      <c r="AD827">
        <v>1</v>
      </c>
      <c r="AE827" t="s">
        <v>47</v>
      </c>
      <c r="AF827" s="1">
        <v>42942</v>
      </c>
    </row>
    <row r="828" spans="1:32" x14ac:dyDescent="0.25">
      <c r="A828" t="s">
        <v>41</v>
      </c>
      <c r="B828">
        <v>0</v>
      </c>
      <c r="C828">
        <v>11</v>
      </c>
      <c r="D828">
        <v>2015</v>
      </c>
      <c r="E828" t="s">
        <v>67</v>
      </c>
      <c r="F828">
        <v>33</v>
      </c>
      <c r="G828">
        <v>15</v>
      </c>
      <c r="H828">
        <v>2</v>
      </c>
      <c r="I828">
        <v>1</v>
      </c>
      <c r="J828">
        <v>2</v>
      </c>
      <c r="K828">
        <v>0</v>
      </c>
      <c r="L828">
        <v>0</v>
      </c>
      <c r="M828" t="s">
        <v>60</v>
      </c>
      <c r="N828" t="s">
        <v>106</v>
      </c>
      <c r="O828" t="s">
        <v>49</v>
      </c>
      <c r="P828" t="s">
        <v>45</v>
      </c>
      <c r="Q828">
        <v>0</v>
      </c>
      <c r="R828">
        <v>0</v>
      </c>
      <c r="S828">
        <v>0</v>
      </c>
      <c r="T828" t="s">
        <v>46</v>
      </c>
      <c r="U828" t="s">
        <v>46</v>
      </c>
      <c r="V828">
        <v>0</v>
      </c>
      <c r="W828" t="s">
        <v>38</v>
      </c>
      <c r="X828">
        <v>17</v>
      </c>
      <c r="Z828">
        <v>0</v>
      </c>
      <c r="AA828" t="s">
        <v>51</v>
      </c>
      <c r="AB828">
        <v>94.5</v>
      </c>
      <c r="AC828">
        <v>0</v>
      </c>
      <c r="AD828">
        <v>0</v>
      </c>
      <c r="AE828" t="s">
        <v>40</v>
      </c>
      <c r="AF828" s="1">
        <v>42234</v>
      </c>
    </row>
    <row r="829" spans="1:32" x14ac:dyDescent="0.25">
      <c r="A829" t="s">
        <v>32</v>
      </c>
      <c r="B829">
        <v>0</v>
      </c>
      <c r="C829">
        <v>81</v>
      </c>
      <c r="D829">
        <v>2016</v>
      </c>
      <c r="E829" t="s">
        <v>42</v>
      </c>
      <c r="F829">
        <v>29</v>
      </c>
      <c r="G829">
        <v>15</v>
      </c>
      <c r="H829">
        <v>2</v>
      </c>
      <c r="I829">
        <v>5</v>
      </c>
      <c r="J829">
        <v>2</v>
      </c>
      <c r="K829">
        <v>0</v>
      </c>
      <c r="L829">
        <v>0</v>
      </c>
      <c r="M829" t="s">
        <v>34</v>
      </c>
      <c r="N829" t="s">
        <v>35</v>
      </c>
      <c r="O829" t="s">
        <v>44</v>
      </c>
      <c r="P829" t="s">
        <v>45</v>
      </c>
      <c r="Q829">
        <v>0</v>
      </c>
      <c r="R829">
        <v>0</v>
      </c>
      <c r="S829">
        <v>0</v>
      </c>
      <c r="T829" t="s">
        <v>72</v>
      </c>
      <c r="U829" t="s">
        <v>72</v>
      </c>
      <c r="V829">
        <v>0</v>
      </c>
      <c r="W829" t="s">
        <v>38</v>
      </c>
      <c r="X829">
        <v>240</v>
      </c>
      <c r="Z829">
        <v>0</v>
      </c>
      <c r="AA829" t="s">
        <v>39</v>
      </c>
      <c r="AB829">
        <v>194.29</v>
      </c>
      <c r="AC829">
        <v>0</v>
      </c>
      <c r="AD829">
        <v>2</v>
      </c>
      <c r="AE829" t="s">
        <v>40</v>
      </c>
      <c r="AF829" s="1">
        <v>42573</v>
      </c>
    </row>
    <row r="830" spans="1:32" x14ac:dyDescent="0.25">
      <c r="A830" t="s">
        <v>32</v>
      </c>
      <c r="B830">
        <v>0</v>
      </c>
      <c r="C830">
        <v>46</v>
      </c>
      <c r="D830">
        <v>2016</v>
      </c>
      <c r="E830" t="s">
        <v>33</v>
      </c>
      <c r="F830">
        <v>53</v>
      </c>
      <c r="G830">
        <v>30</v>
      </c>
      <c r="H830">
        <v>0</v>
      </c>
      <c r="I830">
        <v>2</v>
      </c>
      <c r="J830">
        <v>2</v>
      </c>
      <c r="K830">
        <v>0</v>
      </c>
      <c r="L830">
        <v>0</v>
      </c>
      <c r="M830" t="s">
        <v>34</v>
      </c>
      <c r="N830" t="s">
        <v>43</v>
      </c>
      <c r="O830" t="s">
        <v>49</v>
      </c>
      <c r="P830" t="s">
        <v>45</v>
      </c>
      <c r="Q830">
        <v>0</v>
      </c>
      <c r="R830">
        <v>0</v>
      </c>
      <c r="S830">
        <v>0</v>
      </c>
      <c r="T830" t="s">
        <v>57</v>
      </c>
      <c r="U830" t="s">
        <v>57</v>
      </c>
      <c r="V830">
        <v>0</v>
      </c>
      <c r="W830" t="s">
        <v>38</v>
      </c>
      <c r="X830">
        <v>5</v>
      </c>
      <c r="Z830">
        <v>0</v>
      </c>
      <c r="AA830" t="s">
        <v>39</v>
      </c>
      <c r="AB830">
        <v>162</v>
      </c>
      <c r="AC830">
        <v>0</v>
      </c>
      <c r="AD830">
        <v>0</v>
      </c>
      <c r="AE830" t="s">
        <v>40</v>
      </c>
      <c r="AF830" s="1">
        <v>42736</v>
      </c>
    </row>
    <row r="831" spans="1:32" x14ac:dyDescent="0.25">
      <c r="A831" t="s">
        <v>41</v>
      </c>
      <c r="B831">
        <v>0</v>
      </c>
      <c r="C831">
        <v>1</v>
      </c>
      <c r="D831">
        <v>2017</v>
      </c>
      <c r="E831" t="s">
        <v>69</v>
      </c>
      <c r="F831">
        <v>19</v>
      </c>
      <c r="G831">
        <v>9</v>
      </c>
      <c r="H831">
        <v>0</v>
      </c>
      <c r="I831">
        <v>1</v>
      </c>
      <c r="J831">
        <v>1</v>
      </c>
      <c r="K831">
        <v>0</v>
      </c>
      <c r="L831">
        <v>0</v>
      </c>
      <c r="M831" t="s">
        <v>34</v>
      </c>
      <c r="N831" t="s">
        <v>43</v>
      </c>
      <c r="O831" t="s">
        <v>49</v>
      </c>
      <c r="P831" t="s">
        <v>76</v>
      </c>
      <c r="Q831">
        <v>0</v>
      </c>
      <c r="R831">
        <v>0</v>
      </c>
      <c r="S831">
        <v>0</v>
      </c>
      <c r="T831" t="s">
        <v>46</v>
      </c>
      <c r="U831" t="s">
        <v>46</v>
      </c>
      <c r="V831">
        <v>0</v>
      </c>
      <c r="W831" t="s">
        <v>38</v>
      </c>
      <c r="X831">
        <v>191</v>
      </c>
      <c r="Z831">
        <v>0</v>
      </c>
      <c r="AA831" t="s">
        <v>39</v>
      </c>
      <c r="AB831">
        <v>110.5</v>
      </c>
      <c r="AC831">
        <v>0</v>
      </c>
      <c r="AD831">
        <v>0</v>
      </c>
      <c r="AE831" t="s">
        <v>40</v>
      </c>
      <c r="AF831" s="1">
        <v>42865</v>
      </c>
    </row>
    <row r="832" spans="1:32" x14ac:dyDescent="0.25">
      <c r="A832" t="s">
        <v>41</v>
      </c>
      <c r="B832">
        <v>1</v>
      </c>
      <c r="C832">
        <v>181</v>
      </c>
      <c r="D832">
        <v>2017</v>
      </c>
      <c r="E832" t="s">
        <v>69</v>
      </c>
      <c r="F832">
        <v>21</v>
      </c>
      <c r="G832">
        <v>25</v>
      </c>
      <c r="H832">
        <v>0</v>
      </c>
      <c r="I832">
        <v>2</v>
      </c>
      <c r="J832">
        <v>2</v>
      </c>
      <c r="K832">
        <v>0</v>
      </c>
      <c r="L832">
        <v>0</v>
      </c>
      <c r="M832" t="s">
        <v>34</v>
      </c>
      <c r="N832" t="s">
        <v>43</v>
      </c>
      <c r="O832" t="s">
        <v>64</v>
      </c>
      <c r="P832" t="s">
        <v>36</v>
      </c>
      <c r="Q832">
        <v>0</v>
      </c>
      <c r="R832">
        <v>0</v>
      </c>
      <c r="S832">
        <v>0</v>
      </c>
      <c r="T832" t="s">
        <v>46</v>
      </c>
      <c r="U832" t="s">
        <v>46</v>
      </c>
      <c r="V832">
        <v>0</v>
      </c>
      <c r="W832" t="s">
        <v>68</v>
      </c>
      <c r="Z832">
        <v>0</v>
      </c>
      <c r="AA832" t="s">
        <v>39</v>
      </c>
      <c r="AB832">
        <v>130</v>
      </c>
      <c r="AC832">
        <v>0</v>
      </c>
      <c r="AD832">
        <v>0</v>
      </c>
      <c r="AE832" t="s">
        <v>47</v>
      </c>
      <c r="AF832" s="1">
        <v>42699</v>
      </c>
    </row>
    <row r="833" spans="1:32" x14ac:dyDescent="0.25">
      <c r="A833" t="s">
        <v>32</v>
      </c>
      <c r="B833">
        <v>0</v>
      </c>
      <c r="C833">
        <v>7</v>
      </c>
      <c r="D833">
        <v>2017</v>
      </c>
      <c r="E833" t="s">
        <v>69</v>
      </c>
      <c r="F833">
        <v>18</v>
      </c>
      <c r="G833">
        <v>6</v>
      </c>
      <c r="H833">
        <v>0</v>
      </c>
      <c r="I833">
        <v>1</v>
      </c>
      <c r="J833">
        <v>3</v>
      </c>
      <c r="K833">
        <v>1</v>
      </c>
      <c r="L833">
        <v>0</v>
      </c>
      <c r="M833" t="s">
        <v>60</v>
      </c>
      <c r="N833" t="s">
        <v>63</v>
      </c>
      <c r="O833" t="s">
        <v>44</v>
      </c>
      <c r="P833" t="s">
        <v>45</v>
      </c>
      <c r="Q833">
        <v>0</v>
      </c>
      <c r="R833">
        <v>0</v>
      </c>
      <c r="S833">
        <v>0</v>
      </c>
      <c r="T833" t="s">
        <v>92</v>
      </c>
      <c r="U833" t="s">
        <v>92</v>
      </c>
      <c r="V833">
        <v>0</v>
      </c>
      <c r="W833" t="s">
        <v>38</v>
      </c>
      <c r="X833">
        <v>240</v>
      </c>
      <c r="Z833">
        <v>0</v>
      </c>
      <c r="AA833" t="s">
        <v>39</v>
      </c>
      <c r="AB833">
        <v>200.7</v>
      </c>
      <c r="AC833">
        <v>1</v>
      </c>
      <c r="AD833">
        <v>1</v>
      </c>
      <c r="AE833" t="s">
        <v>40</v>
      </c>
      <c r="AF833" s="1">
        <v>42862</v>
      </c>
    </row>
    <row r="834" spans="1:32" x14ac:dyDescent="0.25">
      <c r="A834" t="s">
        <v>41</v>
      </c>
      <c r="B834">
        <v>0</v>
      </c>
      <c r="C834">
        <v>43</v>
      </c>
      <c r="D834">
        <v>2016</v>
      </c>
      <c r="E834" t="s">
        <v>67</v>
      </c>
      <c r="F834">
        <v>32</v>
      </c>
      <c r="G834">
        <v>5</v>
      </c>
      <c r="H834">
        <v>2</v>
      </c>
      <c r="I834">
        <v>2</v>
      </c>
      <c r="J834">
        <v>3</v>
      </c>
      <c r="K834">
        <v>0</v>
      </c>
      <c r="L834">
        <v>0</v>
      </c>
      <c r="M834" t="s">
        <v>34</v>
      </c>
      <c r="N834" t="s">
        <v>65</v>
      </c>
      <c r="O834" t="s">
        <v>44</v>
      </c>
      <c r="P834" t="s">
        <v>45</v>
      </c>
      <c r="Q834">
        <v>0</v>
      </c>
      <c r="R834">
        <v>0</v>
      </c>
      <c r="S834">
        <v>0</v>
      </c>
      <c r="T834" t="s">
        <v>57</v>
      </c>
      <c r="U834" t="s">
        <v>57</v>
      </c>
      <c r="V834">
        <v>0</v>
      </c>
      <c r="W834" t="s">
        <v>38</v>
      </c>
      <c r="X834">
        <v>9</v>
      </c>
      <c r="Z834">
        <v>0</v>
      </c>
      <c r="AA834" t="s">
        <v>39</v>
      </c>
      <c r="AB834">
        <v>168.3</v>
      </c>
      <c r="AC834">
        <v>0</v>
      </c>
      <c r="AD834">
        <v>2</v>
      </c>
      <c r="AE834" t="s">
        <v>40</v>
      </c>
      <c r="AF834" s="1">
        <v>42591</v>
      </c>
    </row>
    <row r="835" spans="1:32" x14ac:dyDescent="0.25">
      <c r="A835" t="s">
        <v>41</v>
      </c>
      <c r="B835">
        <v>0</v>
      </c>
      <c r="C835">
        <v>229</v>
      </c>
      <c r="D835">
        <v>2016</v>
      </c>
      <c r="E835" t="s">
        <v>59</v>
      </c>
      <c r="F835">
        <v>44</v>
      </c>
      <c r="G835">
        <v>27</v>
      </c>
      <c r="H835">
        <v>0</v>
      </c>
      <c r="I835">
        <v>3</v>
      </c>
      <c r="J835">
        <v>2</v>
      </c>
      <c r="K835">
        <v>0</v>
      </c>
      <c r="L835">
        <v>0</v>
      </c>
      <c r="M835" t="s">
        <v>34</v>
      </c>
      <c r="N835" t="s">
        <v>35</v>
      </c>
      <c r="O835" t="s">
        <v>44</v>
      </c>
      <c r="P835" t="s">
        <v>45</v>
      </c>
      <c r="Q835">
        <v>0</v>
      </c>
      <c r="R835">
        <v>0</v>
      </c>
      <c r="S835">
        <v>0</v>
      </c>
      <c r="T835" t="s">
        <v>46</v>
      </c>
      <c r="U835" t="s">
        <v>46</v>
      </c>
      <c r="V835">
        <v>0</v>
      </c>
      <c r="W835" t="s">
        <v>38</v>
      </c>
      <c r="X835">
        <v>7</v>
      </c>
      <c r="Z835">
        <v>0</v>
      </c>
      <c r="AA835" t="s">
        <v>39</v>
      </c>
      <c r="AB835">
        <v>70.44</v>
      </c>
      <c r="AC835">
        <v>0</v>
      </c>
      <c r="AD835">
        <v>2</v>
      </c>
      <c r="AE835" t="s">
        <v>40</v>
      </c>
      <c r="AF835" s="1">
        <v>42673</v>
      </c>
    </row>
    <row r="836" spans="1:32" x14ac:dyDescent="0.25">
      <c r="A836" t="s">
        <v>32</v>
      </c>
      <c r="B836">
        <v>0</v>
      </c>
      <c r="C836">
        <v>7</v>
      </c>
      <c r="D836">
        <v>2017</v>
      </c>
      <c r="E836" t="s">
        <v>54</v>
      </c>
      <c r="F836">
        <v>15</v>
      </c>
      <c r="G836">
        <v>11</v>
      </c>
      <c r="H836">
        <v>0</v>
      </c>
      <c r="I836">
        <v>1</v>
      </c>
      <c r="J836">
        <v>1</v>
      </c>
      <c r="K836">
        <v>0</v>
      </c>
      <c r="L836">
        <v>0</v>
      </c>
      <c r="M836" t="s">
        <v>34</v>
      </c>
      <c r="N836" t="s">
        <v>43</v>
      </c>
      <c r="O836" t="s">
        <v>44</v>
      </c>
      <c r="P836" t="s">
        <v>45</v>
      </c>
      <c r="Q836">
        <v>0</v>
      </c>
      <c r="R836">
        <v>0</v>
      </c>
      <c r="S836">
        <v>0</v>
      </c>
      <c r="T836" t="s">
        <v>57</v>
      </c>
      <c r="U836" t="s">
        <v>72</v>
      </c>
      <c r="V836">
        <v>1</v>
      </c>
      <c r="W836" t="s">
        <v>38</v>
      </c>
      <c r="X836">
        <v>240</v>
      </c>
      <c r="Z836">
        <v>0</v>
      </c>
      <c r="AA836" t="s">
        <v>51</v>
      </c>
      <c r="AB836">
        <v>105</v>
      </c>
      <c r="AC836">
        <v>0</v>
      </c>
      <c r="AD836">
        <v>1</v>
      </c>
      <c r="AE836" t="s">
        <v>40</v>
      </c>
      <c r="AF836" s="1">
        <v>42837</v>
      </c>
    </row>
    <row r="837" spans="1:32" x14ac:dyDescent="0.25">
      <c r="A837" t="s">
        <v>41</v>
      </c>
      <c r="B837">
        <v>1</v>
      </c>
      <c r="C837">
        <v>199</v>
      </c>
      <c r="D837">
        <v>2016</v>
      </c>
      <c r="E837" t="s">
        <v>59</v>
      </c>
      <c r="F837">
        <v>44</v>
      </c>
      <c r="G837">
        <v>28</v>
      </c>
      <c r="H837">
        <v>0</v>
      </c>
      <c r="I837">
        <v>2</v>
      </c>
      <c r="J837">
        <v>2</v>
      </c>
      <c r="K837">
        <v>0</v>
      </c>
      <c r="L837">
        <v>0</v>
      </c>
      <c r="M837" t="s">
        <v>34</v>
      </c>
      <c r="N837" t="s">
        <v>43</v>
      </c>
      <c r="O837" t="s">
        <v>64</v>
      </c>
      <c r="P837" t="s">
        <v>45</v>
      </c>
      <c r="Q837">
        <v>0</v>
      </c>
      <c r="R837">
        <v>0</v>
      </c>
      <c r="S837">
        <v>0</v>
      </c>
      <c r="T837" t="s">
        <v>46</v>
      </c>
      <c r="U837" t="s">
        <v>46</v>
      </c>
      <c r="V837">
        <v>0</v>
      </c>
      <c r="W837" t="s">
        <v>38</v>
      </c>
      <c r="X837">
        <v>29</v>
      </c>
      <c r="Z837">
        <v>0</v>
      </c>
      <c r="AA837" t="s">
        <v>51</v>
      </c>
      <c r="AB837">
        <v>95</v>
      </c>
      <c r="AC837">
        <v>0</v>
      </c>
      <c r="AD837">
        <v>0</v>
      </c>
      <c r="AE837" t="s">
        <v>47</v>
      </c>
      <c r="AF837" s="1">
        <v>42664</v>
      </c>
    </row>
    <row r="838" spans="1:32" x14ac:dyDescent="0.25">
      <c r="A838" t="s">
        <v>41</v>
      </c>
      <c r="B838">
        <v>0</v>
      </c>
      <c r="C838">
        <v>188</v>
      </c>
      <c r="D838">
        <v>2015</v>
      </c>
      <c r="E838" t="s">
        <v>67</v>
      </c>
      <c r="F838">
        <v>35</v>
      </c>
      <c r="G838">
        <v>23</v>
      </c>
      <c r="H838">
        <v>2</v>
      </c>
      <c r="I838">
        <v>3</v>
      </c>
      <c r="J838">
        <v>2</v>
      </c>
      <c r="K838">
        <v>0</v>
      </c>
      <c r="L838">
        <v>0</v>
      </c>
      <c r="M838" t="s">
        <v>34</v>
      </c>
      <c r="N838" t="s">
        <v>43</v>
      </c>
      <c r="O838" t="s">
        <v>44</v>
      </c>
      <c r="P838" t="s">
        <v>45</v>
      </c>
      <c r="Q838">
        <v>0</v>
      </c>
      <c r="R838">
        <v>0</v>
      </c>
      <c r="S838">
        <v>0</v>
      </c>
      <c r="T838" t="s">
        <v>57</v>
      </c>
      <c r="U838" t="s">
        <v>57</v>
      </c>
      <c r="V838">
        <v>0</v>
      </c>
      <c r="W838" t="s">
        <v>38</v>
      </c>
      <c r="X838">
        <v>8</v>
      </c>
      <c r="Z838">
        <v>0</v>
      </c>
      <c r="AA838" t="s">
        <v>39</v>
      </c>
      <c r="AB838">
        <v>89.25</v>
      </c>
      <c r="AC838">
        <v>0</v>
      </c>
      <c r="AD838">
        <v>1</v>
      </c>
      <c r="AE838" t="s">
        <v>40</v>
      </c>
      <c r="AF838" s="1">
        <v>42244</v>
      </c>
    </row>
    <row r="839" spans="1:32" x14ac:dyDescent="0.25">
      <c r="A839" t="s">
        <v>41</v>
      </c>
      <c r="B839">
        <v>0</v>
      </c>
      <c r="C839">
        <v>26</v>
      </c>
      <c r="D839">
        <v>2017</v>
      </c>
      <c r="E839" t="s">
        <v>54</v>
      </c>
      <c r="F839">
        <v>17</v>
      </c>
      <c r="G839">
        <v>29</v>
      </c>
      <c r="H839">
        <v>0</v>
      </c>
      <c r="I839">
        <v>1</v>
      </c>
      <c r="J839">
        <v>2</v>
      </c>
      <c r="K839">
        <v>0</v>
      </c>
      <c r="L839">
        <v>0</v>
      </c>
      <c r="M839" t="s">
        <v>55</v>
      </c>
      <c r="N839" t="s">
        <v>63</v>
      </c>
      <c r="O839" t="s">
        <v>44</v>
      </c>
      <c r="P839" t="s">
        <v>45</v>
      </c>
      <c r="Q839">
        <v>0</v>
      </c>
      <c r="R839">
        <v>0</v>
      </c>
      <c r="S839">
        <v>0</v>
      </c>
      <c r="T839" t="s">
        <v>46</v>
      </c>
      <c r="U839" t="s">
        <v>57</v>
      </c>
      <c r="V839">
        <v>0</v>
      </c>
      <c r="W839" t="s">
        <v>38</v>
      </c>
      <c r="X839">
        <v>9</v>
      </c>
      <c r="Z839">
        <v>0</v>
      </c>
      <c r="AA839" t="s">
        <v>39</v>
      </c>
      <c r="AB839">
        <v>115</v>
      </c>
      <c r="AC839">
        <v>0</v>
      </c>
      <c r="AD839">
        <v>1</v>
      </c>
      <c r="AE839" t="s">
        <v>40</v>
      </c>
      <c r="AF839" s="1">
        <v>42855</v>
      </c>
    </row>
    <row r="840" spans="1:32" x14ac:dyDescent="0.25">
      <c r="A840" t="s">
        <v>41</v>
      </c>
      <c r="B840">
        <v>0</v>
      </c>
      <c r="C840">
        <v>90</v>
      </c>
      <c r="D840">
        <v>2017</v>
      </c>
      <c r="E840" t="s">
        <v>69</v>
      </c>
      <c r="F840">
        <v>21</v>
      </c>
      <c r="G840">
        <v>21</v>
      </c>
      <c r="H840">
        <v>2</v>
      </c>
      <c r="I840">
        <v>1</v>
      </c>
      <c r="J840">
        <v>2</v>
      </c>
      <c r="K840">
        <v>0</v>
      </c>
      <c r="L840">
        <v>0</v>
      </c>
      <c r="M840" t="s">
        <v>34</v>
      </c>
      <c r="N840" t="s">
        <v>70</v>
      </c>
      <c r="O840" t="s">
        <v>36</v>
      </c>
      <c r="P840" t="s">
        <v>36</v>
      </c>
      <c r="Q840">
        <v>0</v>
      </c>
      <c r="R840">
        <v>0</v>
      </c>
      <c r="S840">
        <v>0</v>
      </c>
      <c r="T840" t="s">
        <v>46</v>
      </c>
      <c r="U840" t="s">
        <v>46</v>
      </c>
      <c r="V840">
        <v>0</v>
      </c>
      <c r="W840" t="s">
        <v>38</v>
      </c>
      <c r="X840">
        <v>14</v>
      </c>
      <c r="Z840">
        <v>0</v>
      </c>
      <c r="AA840" t="s">
        <v>39</v>
      </c>
      <c r="AB840">
        <v>117</v>
      </c>
      <c r="AC840">
        <v>0</v>
      </c>
      <c r="AD840">
        <v>1</v>
      </c>
      <c r="AE840" t="s">
        <v>40</v>
      </c>
      <c r="AF840" s="1">
        <v>42879</v>
      </c>
    </row>
    <row r="841" spans="1:32" x14ac:dyDescent="0.25">
      <c r="A841" t="s">
        <v>41</v>
      </c>
      <c r="B841">
        <v>1</v>
      </c>
      <c r="C841">
        <v>186</v>
      </c>
      <c r="D841">
        <v>2017</v>
      </c>
      <c r="E841" t="s">
        <v>69</v>
      </c>
      <c r="F841">
        <v>22</v>
      </c>
      <c r="G841">
        <v>30</v>
      </c>
      <c r="H841">
        <v>0</v>
      </c>
      <c r="I841">
        <v>2</v>
      </c>
      <c r="J841">
        <v>2</v>
      </c>
      <c r="K841">
        <v>0</v>
      </c>
      <c r="L841">
        <v>0</v>
      </c>
      <c r="M841" t="s">
        <v>34</v>
      </c>
      <c r="N841" t="s">
        <v>43</v>
      </c>
      <c r="O841" t="s">
        <v>64</v>
      </c>
      <c r="P841" t="s">
        <v>45</v>
      </c>
      <c r="Q841">
        <v>0</v>
      </c>
      <c r="R841">
        <v>0</v>
      </c>
      <c r="S841">
        <v>0</v>
      </c>
      <c r="T841" t="s">
        <v>46</v>
      </c>
      <c r="U841" t="s">
        <v>46</v>
      </c>
      <c r="V841">
        <v>0</v>
      </c>
      <c r="W841" t="s">
        <v>68</v>
      </c>
      <c r="X841">
        <v>19</v>
      </c>
      <c r="Z841">
        <v>0</v>
      </c>
      <c r="AA841" t="s">
        <v>39</v>
      </c>
      <c r="AB841">
        <v>130</v>
      </c>
      <c r="AC841">
        <v>0</v>
      </c>
      <c r="AD841">
        <v>0</v>
      </c>
      <c r="AE841" t="s">
        <v>47</v>
      </c>
      <c r="AF841" s="1">
        <v>42699</v>
      </c>
    </row>
    <row r="842" spans="1:32" x14ac:dyDescent="0.25">
      <c r="A842" t="s">
        <v>32</v>
      </c>
      <c r="B842">
        <v>0</v>
      </c>
      <c r="C842">
        <v>56</v>
      </c>
      <c r="D842">
        <v>2017</v>
      </c>
      <c r="E842" t="s">
        <v>69</v>
      </c>
      <c r="F842">
        <v>21</v>
      </c>
      <c r="G842">
        <v>24</v>
      </c>
      <c r="H842">
        <v>0</v>
      </c>
      <c r="I842">
        <v>1</v>
      </c>
      <c r="J842">
        <v>2</v>
      </c>
      <c r="K842">
        <v>0</v>
      </c>
      <c r="L842">
        <v>0</v>
      </c>
      <c r="M842" t="s">
        <v>34</v>
      </c>
      <c r="N842" t="s">
        <v>56</v>
      </c>
      <c r="O842" t="s">
        <v>49</v>
      </c>
      <c r="P842" t="s">
        <v>45</v>
      </c>
      <c r="Q842">
        <v>0</v>
      </c>
      <c r="R842">
        <v>0</v>
      </c>
      <c r="S842">
        <v>0</v>
      </c>
      <c r="T842" t="s">
        <v>57</v>
      </c>
      <c r="U842" t="s">
        <v>57</v>
      </c>
      <c r="V842">
        <v>0</v>
      </c>
      <c r="W842" t="s">
        <v>38</v>
      </c>
      <c r="Y842">
        <v>251</v>
      </c>
      <c r="Z842">
        <v>0</v>
      </c>
      <c r="AA842" t="s">
        <v>39</v>
      </c>
      <c r="AB842">
        <v>62</v>
      </c>
      <c r="AC842">
        <v>0</v>
      </c>
      <c r="AD842">
        <v>0</v>
      </c>
      <c r="AE842" t="s">
        <v>40</v>
      </c>
      <c r="AF842" s="1">
        <v>42880</v>
      </c>
    </row>
    <row r="843" spans="1:32" x14ac:dyDescent="0.25">
      <c r="A843" t="s">
        <v>32</v>
      </c>
      <c r="B843">
        <v>0</v>
      </c>
      <c r="C843">
        <v>20</v>
      </c>
      <c r="D843">
        <v>2015</v>
      </c>
      <c r="E843" t="s">
        <v>42</v>
      </c>
      <c r="F843">
        <v>31</v>
      </c>
      <c r="G843">
        <v>30</v>
      </c>
      <c r="H843">
        <v>1</v>
      </c>
      <c r="I843">
        <v>3</v>
      </c>
      <c r="J843">
        <v>2</v>
      </c>
      <c r="K843">
        <v>1</v>
      </c>
      <c r="L843">
        <v>0</v>
      </c>
      <c r="M843" t="s">
        <v>34</v>
      </c>
      <c r="N843" t="s">
        <v>48</v>
      </c>
      <c r="O843" t="s">
        <v>44</v>
      </c>
      <c r="P843" t="s">
        <v>45</v>
      </c>
      <c r="Q843">
        <v>0</v>
      </c>
      <c r="R843">
        <v>0</v>
      </c>
      <c r="S843">
        <v>0</v>
      </c>
      <c r="T843" t="s">
        <v>46</v>
      </c>
      <c r="U843" t="s">
        <v>104</v>
      </c>
      <c r="V843">
        <v>0</v>
      </c>
      <c r="W843" t="s">
        <v>38</v>
      </c>
      <c r="X843">
        <v>240</v>
      </c>
      <c r="Z843">
        <v>0</v>
      </c>
      <c r="AA843" t="s">
        <v>39</v>
      </c>
      <c r="AB843">
        <v>193</v>
      </c>
      <c r="AC843">
        <v>0</v>
      </c>
      <c r="AD843">
        <v>1</v>
      </c>
      <c r="AE843" t="s">
        <v>40</v>
      </c>
      <c r="AF843" s="1">
        <v>42219</v>
      </c>
    </row>
    <row r="844" spans="1:32" x14ac:dyDescent="0.25">
      <c r="A844" t="s">
        <v>41</v>
      </c>
      <c r="B844">
        <v>1</v>
      </c>
      <c r="C844">
        <v>262</v>
      </c>
      <c r="D844">
        <v>2015</v>
      </c>
      <c r="E844" t="s">
        <v>42</v>
      </c>
      <c r="F844">
        <v>28</v>
      </c>
      <c r="G844">
        <v>6</v>
      </c>
      <c r="H844">
        <v>1</v>
      </c>
      <c r="I844">
        <v>1</v>
      </c>
      <c r="J844">
        <v>2</v>
      </c>
      <c r="K844">
        <v>0</v>
      </c>
      <c r="L844">
        <v>0</v>
      </c>
      <c r="M844" t="s">
        <v>34</v>
      </c>
      <c r="N844" t="s">
        <v>43</v>
      </c>
      <c r="O844" t="s">
        <v>64</v>
      </c>
      <c r="P844" t="s">
        <v>45</v>
      </c>
      <c r="Q844">
        <v>0</v>
      </c>
      <c r="R844">
        <v>1</v>
      </c>
      <c r="S844">
        <v>0</v>
      </c>
      <c r="T844" t="s">
        <v>46</v>
      </c>
      <c r="U844" t="s">
        <v>46</v>
      </c>
      <c r="V844">
        <v>0</v>
      </c>
      <c r="W844" t="s">
        <v>38</v>
      </c>
      <c r="X844">
        <v>1</v>
      </c>
      <c r="Z844">
        <v>0</v>
      </c>
      <c r="AA844" t="s">
        <v>73</v>
      </c>
      <c r="AB844">
        <v>62</v>
      </c>
      <c r="AC844">
        <v>0</v>
      </c>
      <c r="AD844">
        <v>0</v>
      </c>
      <c r="AE844" t="s">
        <v>47</v>
      </c>
      <c r="AF844" s="1">
        <v>42005</v>
      </c>
    </row>
    <row r="845" spans="1:32" x14ac:dyDescent="0.25">
      <c r="A845" t="s">
        <v>32</v>
      </c>
      <c r="B845">
        <v>1</v>
      </c>
      <c r="C845">
        <v>14</v>
      </c>
      <c r="D845">
        <v>2016</v>
      </c>
      <c r="E845" t="s">
        <v>59</v>
      </c>
      <c r="F845">
        <v>44</v>
      </c>
      <c r="G845">
        <v>25</v>
      </c>
      <c r="H845">
        <v>0</v>
      </c>
      <c r="I845">
        <v>3</v>
      </c>
      <c r="J845">
        <v>2</v>
      </c>
      <c r="K845">
        <v>0</v>
      </c>
      <c r="L845">
        <v>0</v>
      </c>
      <c r="M845" t="s">
        <v>34</v>
      </c>
      <c r="N845" t="s">
        <v>109</v>
      </c>
      <c r="O845" t="s">
        <v>116</v>
      </c>
      <c r="P845" t="s">
        <v>36</v>
      </c>
      <c r="Q845">
        <v>0</v>
      </c>
      <c r="R845">
        <v>1</v>
      </c>
      <c r="S845">
        <v>1</v>
      </c>
      <c r="T845" t="s">
        <v>46</v>
      </c>
      <c r="U845" t="s">
        <v>72</v>
      </c>
      <c r="V845">
        <v>0</v>
      </c>
      <c r="W845" t="s">
        <v>38</v>
      </c>
      <c r="Z845">
        <v>0</v>
      </c>
      <c r="AA845" t="s">
        <v>39</v>
      </c>
      <c r="AB845">
        <v>0</v>
      </c>
      <c r="AC845">
        <v>0</v>
      </c>
      <c r="AD845">
        <v>2</v>
      </c>
      <c r="AE845" t="s">
        <v>47</v>
      </c>
      <c r="AF845" s="1">
        <v>42661</v>
      </c>
    </row>
    <row r="846" spans="1:32" x14ac:dyDescent="0.25">
      <c r="A846" t="s">
        <v>41</v>
      </c>
      <c r="B846">
        <v>1</v>
      </c>
      <c r="C846">
        <v>443</v>
      </c>
      <c r="D846">
        <v>2016</v>
      </c>
      <c r="E846" t="s">
        <v>59</v>
      </c>
      <c r="F846">
        <v>41</v>
      </c>
      <c r="G846">
        <v>7</v>
      </c>
      <c r="H846">
        <v>0</v>
      </c>
      <c r="I846">
        <v>2</v>
      </c>
      <c r="J846">
        <v>2</v>
      </c>
      <c r="K846">
        <v>0</v>
      </c>
      <c r="L846">
        <v>0</v>
      </c>
      <c r="M846" t="s">
        <v>34</v>
      </c>
      <c r="N846" t="s">
        <v>43</v>
      </c>
      <c r="O846" t="s">
        <v>64</v>
      </c>
      <c r="P846" t="s">
        <v>45</v>
      </c>
      <c r="Q846">
        <v>0</v>
      </c>
      <c r="R846">
        <v>0</v>
      </c>
      <c r="S846">
        <v>0</v>
      </c>
      <c r="T846" t="s">
        <v>46</v>
      </c>
      <c r="U846" t="s">
        <v>46</v>
      </c>
      <c r="V846">
        <v>0</v>
      </c>
      <c r="W846" t="s">
        <v>68</v>
      </c>
      <c r="X846">
        <v>1</v>
      </c>
      <c r="Z846">
        <v>391</v>
      </c>
      <c r="AA846" t="s">
        <v>39</v>
      </c>
      <c r="AB846">
        <v>65</v>
      </c>
      <c r="AC846">
        <v>0</v>
      </c>
      <c r="AD846">
        <v>0</v>
      </c>
      <c r="AE846" t="s">
        <v>47</v>
      </c>
      <c r="AF846" s="1">
        <v>42633</v>
      </c>
    </row>
    <row r="847" spans="1:32" x14ac:dyDescent="0.25">
      <c r="A847" t="s">
        <v>41</v>
      </c>
      <c r="B847">
        <v>0</v>
      </c>
      <c r="C847">
        <v>97</v>
      </c>
      <c r="D847">
        <v>2015</v>
      </c>
      <c r="E847" t="s">
        <v>59</v>
      </c>
      <c r="F847">
        <v>41</v>
      </c>
      <c r="G847">
        <v>7</v>
      </c>
      <c r="H847">
        <v>0</v>
      </c>
      <c r="I847">
        <v>2</v>
      </c>
      <c r="J847">
        <v>2</v>
      </c>
      <c r="K847">
        <v>0</v>
      </c>
      <c r="L847">
        <v>0</v>
      </c>
      <c r="M847" t="s">
        <v>34</v>
      </c>
      <c r="N847" t="s">
        <v>43</v>
      </c>
      <c r="O847" t="s">
        <v>64</v>
      </c>
      <c r="P847" t="s">
        <v>45</v>
      </c>
      <c r="Q847">
        <v>0</v>
      </c>
      <c r="R847">
        <v>0</v>
      </c>
      <c r="S847">
        <v>0</v>
      </c>
      <c r="T847" t="s">
        <v>46</v>
      </c>
      <c r="U847" t="s">
        <v>46</v>
      </c>
      <c r="V847">
        <v>0</v>
      </c>
      <c r="W847" t="s">
        <v>38</v>
      </c>
      <c r="X847">
        <v>1</v>
      </c>
      <c r="Z847">
        <v>0</v>
      </c>
      <c r="AA847" t="s">
        <v>51</v>
      </c>
      <c r="AB847">
        <v>62</v>
      </c>
      <c r="AC847">
        <v>0</v>
      </c>
      <c r="AD847">
        <v>0</v>
      </c>
      <c r="AE847" t="s">
        <v>40</v>
      </c>
      <c r="AF847" s="1">
        <v>42286</v>
      </c>
    </row>
    <row r="848" spans="1:32" x14ac:dyDescent="0.25">
      <c r="A848" t="s">
        <v>41</v>
      </c>
      <c r="B848">
        <v>1</v>
      </c>
      <c r="C848">
        <v>250</v>
      </c>
      <c r="D848">
        <v>2016</v>
      </c>
      <c r="E848" t="s">
        <v>62</v>
      </c>
      <c r="F848">
        <v>40</v>
      </c>
      <c r="G848">
        <v>26</v>
      </c>
      <c r="H848">
        <v>1</v>
      </c>
      <c r="I848">
        <v>3</v>
      </c>
      <c r="J848">
        <v>2</v>
      </c>
      <c r="K848">
        <v>0</v>
      </c>
      <c r="L848">
        <v>0</v>
      </c>
      <c r="M848" t="s">
        <v>34</v>
      </c>
      <c r="N848" t="s">
        <v>43</v>
      </c>
      <c r="O848" t="s">
        <v>49</v>
      </c>
      <c r="P848" t="s">
        <v>45</v>
      </c>
      <c r="Q848">
        <v>0</v>
      </c>
      <c r="R848">
        <v>0</v>
      </c>
      <c r="S848">
        <v>0</v>
      </c>
      <c r="T848" t="s">
        <v>46</v>
      </c>
      <c r="U848" t="s">
        <v>46</v>
      </c>
      <c r="V848">
        <v>0</v>
      </c>
      <c r="W848" t="s">
        <v>68</v>
      </c>
      <c r="X848">
        <v>3</v>
      </c>
      <c r="Z848">
        <v>0</v>
      </c>
      <c r="AA848" t="s">
        <v>39</v>
      </c>
      <c r="AB848">
        <v>95</v>
      </c>
      <c r="AC848">
        <v>0</v>
      </c>
      <c r="AD848">
        <v>0</v>
      </c>
      <c r="AE848" t="s">
        <v>47</v>
      </c>
      <c r="AF848" s="1">
        <v>42549</v>
      </c>
    </row>
    <row r="849" spans="1:32" x14ac:dyDescent="0.25">
      <c r="A849" t="s">
        <v>41</v>
      </c>
      <c r="B849">
        <v>1</v>
      </c>
      <c r="C849">
        <v>72</v>
      </c>
      <c r="D849">
        <v>2017</v>
      </c>
      <c r="E849" t="s">
        <v>67</v>
      </c>
      <c r="F849">
        <v>33</v>
      </c>
      <c r="G849">
        <v>17</v>
      </c>
      <c r="H849">
        <v>0</v>
      </c>
      <c r="I849">
        <v>3</v>
      </c>
      <c r="J849">
        <v>2</v>
      </c>
      <c r="K849">
        <v>1</v>
      </c>
      <c r="L849">
        <v>0</v>
      </c>
      <c r="M849" t="s">
        <v>34</v>
      </c>
      <c r="N849" t="s">
        <v>70</v>
      </c>
      <c r="O849" t="s">
        <v>36</v>
      </c>
      <c r="P849" t="s">
        <v>36</v>
      </c>
      <c r="Q849">
        <v>0</v>
      </c>
      <c r="R849">
        <v>0</v>
      </c>
      <c r="S849">
        <v>0</v>
      </c>
      <c r="T849" t="s">
        <v>86</v>
      </c>
      <c r="U849" t="s">
        <v>86</v>
      </c>
      <c r="V849">
        <v>0</v>
      </c>
      <c r="W849" t="s">
        <v>38</v>
      </c>
      <c r="X849">
        <v>14</v>
      </c>
      <c r="Z849">
        <v>0</v>
      </c>
      <c r="AA849" t="s">
        <v>39</v>
      </c>
      <c r="AB849">
        <v>138.02000000000001</v>
      </c>
      <c r="AC849">
        <v>0</v>
      </c>
      <c r="AD849">
        <v>2</v>
      </c>
      <c r="AE849" t="s">
        <v>47</v>
      </c>
      <c r="AF849" s="1">
        <v>42892</v>
      </c>
    </row>
    <row r="850" spans="1:32" x14ac:dyDescent="0.25">
      <c r="A850" t="s">
        <v>32</v>
      </c>
      <c r="B850">
        <v>1</v>
      </c>
      <c r="C850">
        <v>112</v>
      </c>
      <c r="D850">
        <v>2016</v>
      </c>
      <c r="E850" t="s">
        <v>66</v>
      </c>
      <c r="F850">
        <v>7</v>
      </c>
      <c r="G850">
        <v>12</v>
      </c>
      <c r="H850">
        <v>0</v>
      </c>
      <c r="I850">
        <v>2</v>
      </c>
      <c r="J850">
        <v>2</v>
      </c>
      <c r="K850">
        <v>0</v>
      </c>
      <c r="L850">
        <v>0</v>
      </c>
      <c r="M850" t="s">
        <v>90</v>
      </c>
      <c r="N850" t="s">
        <v>43</v>
      </c>
      <c r="O850" t="s">
        <v>64</v>
      </c>
      <c r="P850" t="s">
        <v>45</v>
      </c>
      <c r="Q850">
        <v>0</v>
      </c>
      <c r="R850">
        <v>0</v>
      </c>
      <c r="S850">
        <v>0</v>
      </c>
      <c r="T850" t="s">
        <v>46</v>
      </c>
      <c r="U850" t="s">
        <v>46</v>
      </c>
      <c r="V850">
        <v>0</v>
      </c>
      <c r="W850" t="s">
        <v>38</v>
      </c>
      <c r="X850">
        <v>134</v>
      </c>
      <c r="Z850">
        <v>0</v>
      </c>
      <c r="AA850" t="s">
        <v>51</v>
      </c>
      <c r="AB850">
        <v>68</v>
      </c>
      <c r="AC850">
        <v>0</v>
      </c>
      <c r="AD850">
        <v>0</v>
      </c>
      <c r="AE850" t="s">
        <v>47</v>
      </c>
      <c r="AF850" s="1">
        <v>42410</v>
      </c>
    </row>
    <row r="851" spans="1:32" x14ac:dyDescent="0.25">
      <c r="A851" t="s">
        <v>41</v>
      </c>
      <c r="B851">
        <v>1</v>
      </c>
      <c r="C851">
        <v>312</v>
      </c>
      <c r="D851">
        <v>2015</v>
      </c>
      <c r="E851" t="s">
        <v>67</v>
      </c>
      <c r="F851">
        <v>35</v>
      </c>
      <c r="G851">
        <v>25</v>
      </c>
      <c r="H851">
        <v>0</v>
      </c>
      <c r="I851">
        <v>4</v>
      </c>
      <c r="J851">
        <v>2</v>
      </c>
      <c r="K851">
        <v>0</v>
      </c>
      <c r="L851">
        <v>0</v>
      </c>
      <c r="M851" t="s">
        <v>34</v>
      </c>
      <c r="N851" t="s">
        <v>43</v>
      </c>
      <c r="O851" t="s">
        <v>64</v>
      </c>
      <c r="P851" t="s">
        <v>45</v>
      </c>
      <c r="Q851">
        <v>0</v>
      </c>
      <c r="R851">
        <v>1</v>
      </c>
      <c r="S851">
        <v>0</v>
      </c>
      <c r="T851" t="s">
        <v>46</v>
      </c>
      <c r="U851" t="s">
        <v>46</v>
      </c>
      <c r="V851">
        <v>0</v>
      </c>
      <c r="W851" t="s">
        <v>38</v>
      </c>
      <c r="X851">
        <v>1</v>
      </c>
      <c r="Z851">
        <v>0</v>
      </c>
      <c r="AA851" t="s">
        <v>51</v>
      </c>
      <c r="AB851">
        <v>62</v>
      </c>
      <c r="AC851">
        <v>0</v>
      </c>
      <c r="AD851">
        <v>0</v>
      </c>
      <c r="AE851" t="s">
        <v>47</v>
      </c>
      <c r="AF851" s="1">
        <v>42191</v>
      </c>
    </row>
    <row r="852" spans="1:32" x14ac:dyDescent="0.25">
      <c r="A852" t="s">
        <v>41</v>
      </c>
      <c r="B852">
        <v>0</v>
      </c>
      <c r="C852">
        <v>39</v>
      </c>
      <c r="D852">
        <v>2015</v>
      </c>
      <c r="E852" t="s">
        <v>67</v>
      </c>
      <c r="F852">
        <v>33</v>
      </c>
      <c r="G852">
        <v>14</v>
      </c>
      <c r="H852">
        <v>0</v>
      </c>
      <c r="I852">
        <v>2</v>
      </c>
      <c r="J852">
        <v>2</v>
      </c>
      <c r="K852">
        <v>0</v>
      </c>
      <c r="L852">
        <v>0</v>
      </c>
      <c r="M852" t="s">
        <v>60</v>
      </c>
      <c r="N852" t="s">
        <v>56</v>
      </c>
      <c r="O852" t="s">
        <v>49</v>
      </c>
      <c r="P852" t="s">
        <v>45</v>
      </c>
      <c r="Q852">
        <v>0</v>
      </c>
      <c r="R852">
        <v>0</v>
      </c>
      <c r="S852">
        <v>0</v>
      </c>
      <c r="T852" t="s">
        <v>46</v>
      </c>
      <c r="U852" t="s">
        <v>57</v>
      </c>
      <c r="V852">
        <v>0</v>
      </c>
      <c r="W852" t="s">
        <v>38</v>
      </c>
      <c r="X852">
        <v>6</v>
      </c>
      <c r="Z852">
        <v>0</v>
      </c>
      <c r="AA852" t="s">
        <v>51</v>
      </c>
      <c r="AB852">
        <v>109</v>
      </c>
      <c r="AC852">
        <v>0</v>
      </c>
      <c r="AD852">
        <v>0</v>
      </c>
      <c r="AE852" t="s">
        <v>40</v>
      </c>
      <c r="AF852" s="1">
        <v>42232</v>
      </c>
    </row>
    <row r="853" spans="1:32" x14ac:dyDescent="0.25">
      <c r="A853" t="s">
        <v>41</v>
      </c>
      <c r="B853">
        <v>1</v>
      </c>
      <c r="C853">
        <v>302</v>
      </c>
      <c r="D853">
        <v>2016</v>
      </c>
      <c r="E853" t="s">
        <v>62</v>
      </c>
      <c r="F853">
        <v>38</v>
      </c>
      <c r="G853">
        <v>16</v>
      </c>
      <c r="H853">
        <v>1</v>
      </c>
      <c r="I853">
        <v>2</v>
      </c>
      <c r="J853">
        <v>2</v>
      </c>
      <c r="K853">
        <v>0</v>
      </c>
      <c r="L853">
        <v>0</v>
      </c>
      <c r="M853" t="s">
        <v>34</v>
      </c>
      <c r="N853" t="s">
        <v>43</v>
      </c>
      <c r="O853" t="s">
        <v>49</v>
      </c>
      <c r="P853" t="s">
        <v>45</v>
      </c>
      <c r="Q853">
        <v>0</v>
      </c>
      <c r="R853">
        <v>0</v>
      </c>
      <c r="S853">
        <v>0</v>
      </c>
      <c r="T853" t="s">
        <v>46</v>
      </c>
      <c r="U853" t="s">
        <v>46</v>
      </c>
      <c r="V853">
        <v>0</v>
      </c>
      <c r="W853" t="s">
        <v>68</v>
      </c>
      <c r="X853">
        <v>12</v>
      </c>
      <c r="Z853">
        <v>70</v>
      </c>
      <c r="AA853" t="s">
        <v>39</v>
      </c>
      <c r="AB853">
        <v>100</v>
      </c>
      <c r="AC853">
        <v>0</v>
      </c>
      <c r="AD853">
        <v>0</v>
      </c>
      <c r="AE853" t="s">
        <v>47</v>
      </c>
      <c r="AF853" s="1">
        <v>42397</v>
      </c>
    </row>
    <row r="854" spans="1:32" x14ac:dyDescent="0.25">
      <c r="A854" t="s">
        <v>41</v>
      </c>
      <c r="B854">
        <v>1</v>
      </c>
      <c r="C854">
        <v>346</v>
      </c>
      <c r="D854">
        <v>2015</v>
      </c>
      <c r="E854" t="s">
        <v>62</v>
      </c>
      <c r="F854">
        <v>40</v>
      </c>
      <c r="G854">
        <v>28</v>
      </c>
      <c r="H854">
        <v>1</v>
      </c>
      <c r="I854">
        <v>1</v>
      </c>
      <c r="J854">
        <v>2</v>
      </c>
      <c r="K854">
        <v>0</v>
      </c>
      <c r="L854">
        <v>0</v>
      </c>
      <c r="M854" t="s">
        <v>34</v>
      </c>
      <c r="N854" t="s">
        <v>43</v>
      </c>
      <c r="O854" t="s">
        <v>64</v>
      </c>
      <c r="P854" t="s">
        <v>45</v>
      </c>
      <c r="Q854">
        <v>0</v>
      </c>
      <c r="R854">
        <v>1</v>
      </c>
      <c r="S854">
        <v>0</v>
      </c>
      <c r="T854" t="s">
        <v>46</v>
      </c>
      <c r="U854" t="s">
        <v>46</v>
      </c>
      <c r="V854">
        <v>0</v>
      </c>
      <c r="W854" t="s">
        <v>68</v>
      </c>
      <c r="X854">
        <v>1</v>
      </c>
      <c r="Z854">
        <v>0</v>
      </c>
      <c r="AA854" t="s">
        <v>73</v>
      </c>
      <c r="AB854">
        <v>62</v>
      </c>
      <c r="AC854">
        <v>0</v>
      </c>
      <c r="AD854">
        <v>0</v>
      </c>
      <c r="AE854" t="s">
        <v>47</v>
      </c>
      <c r="AF854" s="1">
        <v>42005</v>
      </c>
    </row>
    <row r="855" spans="1:32" x14ac:dyDescent="0.25">
      <c r="A855" t="s">
        <v>41</v>
      </c>
      <c r="B855">
        <v>0</v>
      </c>
      <c r="C855">
        <v>9</v>
      </c>
      <c r="D855">
        <v>2016</v>
      </c>
      <c r="E855" t="s">
        <v>83</v>
      </c>
      <c r="F855">
        <v>25</v>
      </c>
      <c r="G855">
        <v>17</v>
      </c>
      <c r="H855">
        <v>0</v>
      </c>
      <c r="I855">
        <v>2</v>
      </c>
      <c r="J855">
        <v>3</v>
      </c>
      <c r="K855">
        <v>0</v>
      </c>
      <c r="L855">
        <v>0</v>
      </c>
      <c r="M855" t="s">
        <v>34</v>
      </c>
      <c r="N855" t="s">
        <v>110</v>
      </c>
      <c r="O855" t="s">
        <v>44</v>
      </c>
      <c r="P855" t="s">
        <v>45</v>
      </c>
      <c r="Q855">
        <v>0</v>
      </c>
      <c r="R855">
        <v>0</v>
      </c>
      <c r="S855">
        <v>0</v>
      </c>
      <c r="T855" t="s">
        <v>57</v>
      </c>
      <c r="U855" t="s">
        <v>57</v>
      </c>
      <c r="V855">
        <v>0</v>
      </c>
      <c r="W855" t="s">
        <v>38</v>
      </c>
      <c r="X855">
        <v>9</v>
      </c>
      <c r="Z855">
        <v>0</v>
      </c>
      <c r="AA855" t="s">
        <v>39</v>
      </c>
      <c r="AB855">
        <v>177</v>
      </c>
      <c r="AC855">
        <v>0</v>
      </c>
      <c r="AD855">
        <v>2</v>
      </c>
      <c r="AE855" t="s">
        <v>40</v>
      </c>
      <c r="AF855" s="1">
        <v>42540</v>
      </c>
    </row>
    <row r="856" spans="1:32" x14ac:dyDescent="0.25">
      <c r="A856" t="s">
        <v>41</v>
      </c>
      <c r="B856">
        <v>0</v>
      </c>
      <c r="C856">
        <v>124</v>
      </c>
      <c r="D856">
        <v>2016</v>
      </c>
      <c r="E856" t="s">
        <v>83</v>
      </c>
      <c r="F856">
        <v>27</v>
      </c>
      <c r="G856">
        <v>30</v>
      </c>
      <c r="H856">
        <v>0</v>
      </c>
      <c r="I856">
        <v>2</v>
      </c>
      <c r="J856">
        <v>2</v>
      </c>
      <c r="K856">
        <v>0</v>
      </c>
      <c r="L856">
        <v>0</v>
      </c>
      <c r="M856" t="s">
        <v>34</v>
      </c>
      <c r="N856" t="s">
        <v>109</v>
      </c>
      <c r="O856" t="s">
        <v>44</v>
      </c>
      <c r="P856" t="s">
        <v>45</v>
      </c>
      <c r="Q856">
        <v>0</v>
      </c>
      <c r="R856">
        <v>0</v>
      </c>
      <c r="S856">
        <v>0</v>
      </c>
      <c r="T856" t="s">
        <v>86</v>
      </c>
      <c r="U856" t="s">
        <v>86</v>
      </c>
      <c r="V856">
        <v>1</v>
      </c>
      <c r="W856" t="s">
        <v>38</v>
      </c>
      <c r="X856">
        <v>9</v>
      </c>
      <c r="Z856">
        <v>0</v>
      </c>
      <c r="AA856" t="s">
        <v>51</v>
      </c>
      <c r="AB856">
        <v>97.55</v>
      </c>
      <c r="AC856">
        <v>0</v>
      </c>
      <c r="AD856">
        <v>0</v>
      </c>
      <c r="AE856" t="s">
        <v>40</v>
      </c>
      <c r="AF856" s="1">
        <v>42553</v>
      </c>
    </row>
    <row r="857" spans="1:32" x14ac:dyDescent="0.25">
      <c r="A857" t="s">
        <v>32</v>
      </c>
      <c r="B857">
        <v>1</v>
      </c>
      <c r="C857">
        <v>54</v>
      </c>
      <c r="D857">
        <v>2016</v>
      </c>
      <c r="E857" t="s">
        <v>42</v>
      </c>
      <c r="F857">
        <v>29</v>
      </c>
      <c r="G857">
        <v>15</v>
      </c>
      <c r="H857">
        <v>0</v>
      </c>
      <c r="I857">
        <v>2</v>
      </c>
      <c r="J857">
        <v>2</v>
      </c>
      <c r="K857">
        <v>0</v>
      </c>
      <c r="L857">
        <v>0</v>
      </c>
      <c r="M857" t="s">
        <v>34</v>
      </c>
      <c r="N857" t="s">
        <v>63</v>
      </c>
      <c r="O857" t="s">
        <v>44</v>
      </c>
      <c r="P857" t="s">
        <v>45</v>
      </c>
      <c r="Q857">
        <v>0</v>
      </c>
      <c r="R857">
        <v>0</v>
      </c>
      <c r="S857">
        <v>0</v>
      </c>
      <c r="T857" t="s">
        <v>46</v>
      </c>
      <c r="U857" t="s">
        <v>46</v>
      </c>
      <c r="V857">
        <v>0</v>
      </c>
      <c r="W857" t="s">
        <v>38</v>
      </c>
      <c r="X857">
        <v>240</v>
      </c>
      <c r="Z857">
        <v>0</v>
      </c>
      <c r="AA857" t="s">
        <v>39</v>
      </c>
      <c r="AB857">
        <v>160</v>
      </c>
      <c r="AC857">
        <v>0</v>
      </c>
      <c r="AD857">
        <v>0</v>
      </c>
      <c r="AE857" t="s">
        <v>47</v>
      </c>
      <c r="AF857" s="1">
        <v>42534</v>
      </c>
    </row>
    <row r="858" spans="1:32" x14ac:dyDescent="0.25">
      <c r="A858" t="s">
        <v>41</v>
      </c>
      <c r="B858">
        <v>1</v>
      </c>
      <c r="C858">
        <v>161</v>
      </c>
      <c r="D858">
        <v>2017</v>
      </c>
      <c r="E858" t="s">
        <v>69</v>
      </c>
      <c r="F858">
        <v>18</v>
      </c>
      <c r="G858">
        <v>5</v>
      </c>
      <c r="H858">
        <v>0</v>
      </c>
      <c r="I858">
        <v>2</v>
      </c>
      <c r="J858">
        <v>2</v>
      </c>
      <c r="K858">
        <v>0</v>
      </c>
      <c r="L858">
        <v>0</v>
      </c>
      <c r="M858" t="s">
        <v>34</v>
      </c>
      <c r="N858" t="s">
        <v>43</v>
      </c>
      <c r="O858" t="s">
        <v>64</v>
      </c>
      <c r="P858" t="s">
        <v>45</v>
      </c>
      <c r="Q858">
        <v>0</v>
      </c>
      <c r="R858">
        <v>0</v>
      </c>
      <c r="S858">
        <v>0</v>
      </c>
      <c r="T858" t="s">
        <v>46</v>
      </c>
      <c r="U858" t="s">
        <v>46</v>
      </c>
      <c r="V858">
        <v>0</v>
      </c>
      <c r="W858" t="s">
        <v>68</v>
      </c>
      <c r="X858">
        <v>30</v>
      </c>
      <c r="Z858">
        <v>0</v>
      </c>
      <c r="AA858" t="s">
        <v>39</v>
      </c>
      <c r="AB858">
        <v>120</v>
      </c>
      <c r="AC858">
        <v>0</v>
      </c>
      <c r="AD858">
        <v>0</v>
      </c>
      <c r="AE858" t="s">
        <v>47</v>
      </c>
      <c r="AF858" s="1">
        <v>42699</v>
      </c>
    </row>
    <row r="859" spans="1:32" x14ac:dyDescent="0.25">
      <c r="A859" t="s">
        <v>41</v>
      </c>
      <c r="B859">
        <v>0</v>
      </c>
      <c r="C859">
        <v>3</v>
      </c>
      <c r="D859">
        <v>2016</v>
      </c>
      <c r="E859" t="s">
        <v>62</v>
      </c>
      <c r="F859">
        <v>40</v>
      </c>
      <c r="G859">
        <v>26</v>
      </c>
      <c r="H859">
        <v>3</v>
      </c>
      <c r="I859">
        <v>7</v>
      </c>
      <c r="J859">
        <v>1</v>
      </c>
      <c r="K859">
        <v>0</v>
      </c>
      <c r="L859">
        <v>0</v>
      </c>
      <c r="M859" t="s">
        <v>34</v>
      </c>
      <c r="N859" t="s">
        <v>43</v>
      </c>
      <c r="O859" t="s">
        <v>76</v>
      </c>
      <c r="P859" t="s">
        <v>76</v>
      </c>
      <c r="Q859">
        <v>1</v>
      </c>
      <c r="R859">
        <v>4</v>
      </c>
      <c r="S859">
        <v>46</v>
      </c>
      <c r="T859" t="s">
        <v>46</v>
      </c>
      <c r="U859" t="s">
        <v>46</v>
      </c>
      <c r="V859">
        <v>0</v>
      </c>
      <c r="W859" t="s">
        <v>38</v>
      </c>
      <c r="Y859">
        <v>40</v>
      </c>
      <c r="Z859">
        <v>0</v>
      </c>
      <c r="AA859" t="s">
        <v>39</v>
      </c>
      <c r="AB859">
        <v>65</v>
      </c>
      <c r="AC859">
        <v>0</v>
      </c>
      <c r="AD859">
        <v>0</v>
      </c>
      <c r="AE859" t="s">
        <v>40</v>
      </c>
      <c r="AF859" s="1">
        <v>42649</v>
      </c>
    </row>
    <row r="860" spans="1:32" x14ac:dyDescent="0.25">
      <c r="A860" t="s">
        <v>41</v>
      </c>
      <c r="B860">
        <v>0</v>
      </c>
      <c r="C860">
        <v>69</v>
      </c>
      <c r="D860">
        <v>2015</v>
      </c>
      <c r="E860" t="s">
        <v>59</v>
      </c>
      <c r="F860">
        <v>44</v>
      </c>
      <c r="G860">
        <v>25</v>
      </c>
      <c r="H860">
        <v>2</v>
      </c>
      <c r="I860">
        <v>1</v>
      </c>
      <c r="J860">
        <v>2</v>
      </c>
      <c r="K860">
        <v>0</v>
      </c>
      <c r="L860">
        <v>0</v>
      </c>
      <c r="M860" t="s">
        <v>34</v>
      </c>
      <c r="N860" t="s">
        <v>43</v>
      </c>
      <c r="O860" t="s">
        <v>64</v>
      </c>
      <c r="P860" t="s">
        <v>45</v>
      </c>
      <c r="Q860">
        <v>0</v>
      </c>
      <c r="R860">
        <v>0</v>
      </c>
      <c r="S860">
        <v>0</v>
      </c>
      <c r="T860" t="s">
        <v>46</v>
      </c>
      <c r="U860" t="s">
        <v>46</v>
      </c>
      <c r="V860">
        <v>0</v>
      </c>
      <c r="W860" t="s">
        <v>38</v>
      </c>
      <c r="X860">
        <v>37</v>
      </c>
      <c r="Z860">
        <v>58</v>
      </c>
      <c r="AA860" t="s">
        <v>51</v>
      </c>
      <c r="AB860">
        <v>85.67</v>
      </c>
      <c r="AC860">
        <v>0</v>
      </c>
      <c r="AD860">
        <v>0</v>
      </c>
      <c r="AE860" t="s">
        <v>40</v>
      </c>
      <c r="AF860" s="1">
        <v>42305</v>
      </c>
    </row>
    <row r="861" spans="1:32" x14ac:dyDescent="0.25">
      <c r="A861" t="s">
        <v>41</v>
      </c>
      <c r="B861">
        <v>1</v>
      </c>
      <c r="C861">
        <v>420</v>
      </c>
      <c r="D861">
        <v>2016</v>
      </c>
      <c r="E861" t="s">
        <v>62</v>
      </c>
      <c r="F861">
        <v>36</v>
      </c>
      <c r="G861">
        <v>3</v>
      </c>
      <c r="H861">
        <v>2</v>
      </c>
      <c r="I861">
        <v>2</v>
      </c>
      <c r="J861">
        <v>2</v>
      </c>
      <c r="K861">
        <v>0</v>
      </c>
      <c r="L861">
        <v>0</v>
      </c>
      <c r="M861" t="s">
        <v>34</v>
      </c>
      <c r="N861" t="s">
        <v>43</v>
      </c>
      <c r="O861" t="s">
        <v>64</v>
      </c>
      <c r="P861" t="s">
        <v>45</v>
      </c>
      <c r="Q861">
        <v>0</v>
      </c>
      <c r="R861">
        <v>0</v>
      </c>
      <c r="S861">
        <v>0</v>
      </c>
      <c r="T861" t="s">
        <v>46</v>
      </c>
      <c r="U861" t="s">
        <v>46</v>
      </c>
      <c r="V861">
        <v>0</v>
      </c>
      <c r="W861" t="s">
        <v>68</v>
      </c>
      <c r="X861">
        <v>35</v>
      </c>
      <c r="Z861">
        <v>0</v>
      </c>
      <c r="AA861" t="s">
        <v>39</v>
      </c>
      <c r="AB861">
        <v>75</v>
      </c>
      <c r="AC861">
        <v>0</v>
      </c>
      <c r="AD861">
        <v>0</v>
      </c>
      <c r="AE861" t="s">
        <v>47</v>
      </c>
      <c r="AF861" s="1">
        <v>42289</v>
      </c>
    </row>
    <row r="862" spans="1:32" x14ac:dyDescent="0.25">
      <c r="A862" t="s">
        <v>41</v>
      </c>
      <c r="B862">
        <v>1</v>
      </c>
      <c r="C862">
        <v>327</v>
      </c>
      <c r="D862">
        <v>2015</v>
      </c>
      <c r="E862" t="s">
        <v>62</v>
      </c>
      <c r="F862">
        <v>37</v>
      </c>
      <c r="G862">
        <v>9</v>
      </c>
      <c r="H862">
        <v>0</v>
      </c>
      <c r="I862">
        <v>2</v>
      </c>
      <c r="J862">
        <v>2</v>
      </c>
      <c r="K862">
        <v>0</v>
      </c>
      <c r="L862">
        <v>0</v>
      </c>
      <c r="M862" t="s">
        <v>34</v>
      </c>
      <c r="N862" t="s">
        <v>43</v>
      </c>
      <c r="O862" t="s">
        <v>64</v>
      </c>
      <c r="P862" t="s">
        <v>45</v>
      </c>
      <c r="Q862">
        <v>0</v>
      </c>
      <c r="R862">
        <v>1</v>
      </c>
      <c r="S862">
        <v>0</v>
      </c>
      <c r="T862" t="s">
        <v>46</v>
      </c>
      <c r="U862" t="s">
        <v>46</v>
      </c>
      <c r="V862">
        <v>0</v>
      </c>
      <c r="W862" t="s">
        <v>68</v>
      </c>
      <c r="X862">
        <v>1</v>
      </c>
      <c r="Z862">
        <v>0</v>
      </c>
      <c r="AA862" t="s">
        <v>51</v>
      </c>
      <c r="AB862">
        <v>62</v>
      </c>
      <c r="AC862">
        <v>0</v>
      </c>
      <c r="AD862">
        <v>0</v>
      </c>
      <c r="AE862" t="s">
        <v>47</v>
      </c>
      <c r="AF862" s="1">
        <v>42187</v>
      </c>
    </row>
    <row r="863" spans="1:32" x14ac:dyDescent="0.25">
      <c r="A863" t="s">
        <v>41</v>
      </c>
      <c r="B863">
        <v>0</v>
      </c>
      <c r="C863">
        <v>7</v>
      </c>
      <c r="D863">
        <v>2015</v>
      </c>
      <c r="E863" t="s">
        <v>62</v>
      </c>
      <c r="F863">
        <v>39</v>
      </c>
      <c r="G863">
        <v>21</v>
      </c>
      <c r="H863">
        <v>1</v>
      </c>
      <c r="I863">
        <v>2</v>
      </c>
      <c r="J863">
        <v>2</v>
      </c>
      <c r="K863">
        <v>0</v>
      </c>
      <c r="L863">
        <v>0</v>
      </c>
      <c r="M863" t="s">
        <v>34</v>
      </c>
      <c r="N863" t="s">
        <v>100</v>
      </c>
      <c r="O863" t="s">
        <v>44</v>
      </c>
      <c r="P863" t="s">
        <v>45</v>
      </c>
      <c r="Q863">
        <v>0</v>
      </c>
      <c r="R863">
        <v>0</v>
      </c>
      <c r="S863">
        <v>0</v>
      </c>
      <c r="T863" t="s">
        <v>57</v>
      </c>
      <c r="U863" t="s">
        <v>57</v>
      </c>
      <c r="V863">
        <v>0</v>
      </c>
      <c r="W863" t="s">
        <v>38</v>
      </c>
      <c r="X863">
        <v>9</v>
      </c>
      <c r="Z863">
        <v>0</v>
      </c>
      <c r="AA863" t="s">
        <v>73</v>
      </c>
      <c r="AB863">
        <v>136</v>
      </c>
      <c r="AC863">
        <v>0</v>
      </c>
      <c r="AD863">
        <v>2</v>
      </c>
      <c r="AE863" t="s">
        <v>40</v>
      </c>
      <c r="AF863" s="1">
        <v>42271</v>
      </c>
    </row>
    <row r="864" spans="1:32" x14ac:dyDescent="0.25">
      <c r="A864" t="s">
        <v>41</v>
      </c>
      <c r="B864">
        <v>0</v>
      </c>
      <c r="C864">
        <v>122</v>
      </c>
      <c r="D864">
        <v>2016</v>
      </c>
      <c r="E864" t="s">
        <v>52</v>
      </c>
      <c r="F864">
        <v>14</v>
      </c>
      <c r="G864">
        <v>27</v>
      </c>
      <c r="H864">
        <v>2</v>
      </c>
      <c r="I864">
        <v>1</v>
      </c>
      <c r="J864">
        <v>2</v>
      </c>
      <c r="K864">
        <v>0</v>
      </c>
      <c r="L864">
        <v>0</v>
      </c>
      <c r="M864" t="s">
        <v>60</v>
      </c>
      <c r="N864" t="s">
        <v>43</v>
      </c>
      <c r="O864" t="s">
        <v>49</v>
      </c>
      <c r="P864" t="s">
        <v>45</v>
      </c>
      <c r="Q864">
        <v>0</v>
      </c>
      <c r="R864">
        <v>0</v>
      </c>
      <c r="S864">
        <v>0</v>
      </c>
      <c r="T864" t="s">
        <v>46</v>
      </c>
      <c r="U864" t="s">
        <v>46</v>
      </c>
      <c r="V864">
        <v>0</v>
      </c>
      <c r="W864" t="s">
        <v>38</v>
      </c>
      <c r="X864">
        <v>26</v>
      </c>
      <c r="Z864">
        <v>0</v>
      </c>
      <c r="AA864" t="s">
        <v>51</v>
      </c>
      <c r="AB864">
        <v>107</v>
      </c>
      <c r="AC864">
        <v>0</v>
      </c>
      <c r="AD864">
        <v>1</v>
      </c>
      <c r="AE864" t="s">
        <v>40</v>
      </c>
      <c r="AF864" s="1">
        <v>42459</v>
      </c>
    </row>
    <row r="865" spans="1:32" x14ac:dyDescent="0.25">
      <c r="A865" t="s">
        <v>41</v>
      </c>
      <c r="B865">
        <v>0</v>
      </c>
      <c r="C865">
        <v>3</v>
      </c>
      <c r="D865">
        <v>2016</v>
      </c>
      <c r="E865" t="s">
        <v>54</v>
      </c>
      <c r="F865">
        <v>18</v>
      </c>
      <c r="G865">
        <v>25</v>
      </c>
      <c r="H865">
        <v>1</v>
      </c>
      <c r="I865">
        <v>0</v>
      </c>
      <c r="J865">
        <v>1</v>
      </c>
      <c r="K865">
        <v>0</v>
      </c>
      <c r="L865">
        <v>0</v>
      </c>
      <c r="M865" t="s">
        <v>34</v>
      </c>
      <c r="N865" t="s">
        <v>43</v>
      </c>
      <c r="O865" t="s">
        <v>76</v>
      </c>
      <c r="P865" t="s">
        <v>76</v>
      </c>
      <c r="Q865">
        <v>1</v>
      </c>
      <c r="R865">
        <v>0</v>
      </c>
      <c r="S865">
        <v>4</v>
      </c>
      <c r="T865" t="s">
        <v>46</v>
      </c>
      <c r="U865" t="s">
        <v>46</v>
      </c>
      <c r="V865">
        <v>0</v>
      </c>
      <c r="W865" t="s">
        <v>38</v>
      </c>
      <c r="Y865">
        <v>40</v>
      </c>
      <c r="Z865">
        <v>0</v>
      </c>
      <c r="AA865" t="s">
        <v>39</v>
      </c>
      <c r="AB865">
        <v>65</v>
      </c>
      <c r="AC865">
        <v>0</v>
      </c>
      <c r="AD865">
        <v>0</v>
      </c>
      <c r="AE865" t="s">
        <v>40</v>
      </c>
      <c r="AF865" s="1">
        <v>42486</v>
      </c>
    </row>
    <row r="866" spans="1:32" x14ac:dyDescent="0.25">
      <c r="A866" t="s">
        <v>41</v>
      </c>
      <c r="B866">
        <v>0</v>
      </c>
      <c r="C866">
        <v>178</v>
      </c>
      <c r="D866">
        <v>2016</v>
      </c>
      <c r="E866" t="s">
        <v>67</v>
      </c>
      <c r="F866">
        <v>35</v>
      </c>
      <c r="G866">
        <v>23</v>
      </c>
      <c r="H866">
        <v>0</v>
      </c>
      <c r="I866">
        <v>3</v>
      </c>
      <c r="J866">
        <v>3</v>
      </c>
      <c r="K866">
        <v>0</v>
      </c>
      <c r="L866">
        <v>0</v>
      </c>
      <c r="M866" t="s">
        <v>34</v>
      </c>
      <c r="N866" t="s">
        <v>106</v>
      </c>
      <c r="O866" t="s">
        <v>44</v>
      </c>
      <c r="P866" t="s">
        <v>45</v>
      </c>
      <c r="Q866">
        <v>0</v>
      </c>
      <c r="R866">
        <v>0</v>
      </c>
      <c r="S866">
        <v>0</v>
      </c>
      <c r="T866" t="s">
        <v>57</v>
      </c>
      <c r="U866" t="s">
        <v>57</v>
      </c>
      <c r="V866">
        <v>1</v>
      </c>
      <c r="W866" t="s">
        <v>38</v>
      </c>
      <c r="X866">
        <v>9</v>
      </c>
      <c r="Z866">
        <v>0</v>
      </c>
      <c r="AA866" t="s">
        <v>39</v>
      </c>
      <c r="AB866">
        <v>143.69999999999999</v>
      </c>
      <c r="AC866">
        <v>1</v>
      </c>
      <c r="AD866">
        <v>1</v>
      </c>
      <c r="AE866" t="s">
        <v>40</v>
      </c>
      <c r="AF866" s="1">
        <v>42608</v>
      </c>
    </row>
    <row r="867" spans="1:32" x14ac:dyDescent="0.25">
      <c r="A867" t="s">
        <v>41</v>
      </c>
      <c r="B867">
        <v>0</v>
      </c>
      <c r="C867">
        <v>83</v>
      </c>
      <c r="D867">
        <v>2016</v>
      </c>
      <c r="E867" t="s">
        <v>52</v>
      </c>
      <c r="F867">
        <v>14</v>
      </c>
      <c r="G867">
        <v>28</v>
      </c>
      <c r="H867">
        <v>1</v>
      </c>
      <c r="I867">
        <v>4</v>
      </c>
      <c r="J867">
        <v>2</v>
      </c>
      <c r="K867">
        <v>0</v>
      </c>
      <c r="L867">
        <v>0</v>
      </c>
      <c r="M867" t="s">
        <v>34</v>
      </c>
      <c r="N867" t="s">
        <v>43</v>
      </c>
      <c r="O867" t="s">
        <v>49</v>
      </c>
      <c r="P867" t="s">
        <v>45</v>
      </c>
      <c r="Q867">
        <v>0</v>
      </c>
      <c r="R867">
        <v>0</v>
      </c>
      <c r="S867">
        <v>0</v>
      </c>
      <c r="T867" t="s">
        <v>46</v>
      </c>
      <c r="U867" t="s">
        <v>46</v>
      </c>
      <c r="V867">
        <v>0</v>
      </c>
      <c r="W867" t="s">
        <v>38</v>
      </c>
      <c r="X867">
        <v>16</v>
      </c>
      <c r="Z867">
        <v>0</v>
      </c>
      <c r="AA867" t="s">
        <v>39</v>
      </c>
      <c r="AB867">
        <v>80.75</v>
      </c>
      <c r="AC867">
        <v>0</v>
      </c>
      <c r="AD867">
        <v>0</v>
      </c>
      <c r="AE867" t="s">
        <v>40</v>
      </c>
      <c r="AF867" s="1">
        <v>42462</v>
      </c>
    </row>
    <row r="868" spans="1:32" x14ac:dyDescent="0.25">
      <c r="A868" t="s">
        <v>41</v>
      </c>
      <c r="B868">
        <v>1</v>
      </c>
      <c r="C868">
        <v>279</v>
      </c>
      <c r="D868">
        <v>2015</v>
      </c>
      <c r="E868" t="s">
        <v>42</v>
      </c>
      <c r="F868">
        <v>30</v>
      </c>
      <c r="G868">
        <v>23</v>
      </c>
      <c r="H868">
        <v>0</v>
      </c>
      <c r="I868">
        <v>2</v>
      </c>
      <c r="J868">
        <v>2</v>
      </c>
      <c r="K868">
        <v>0</v>
      </c>
      <c r="L868">
        <v>0</v>
      </c>
      <c r="M868" t="s">
        <v>34</v>
      </c>
      <c r="N868" t="s">
        <v>43</v>
      </c>
      <c r="O868" t="s">
        <v>64</v>
      </c>
      <c r="P868" t="s">
        <v>45</v>
      </c>
      <c r="Q868">
        <v>1</v>
      </c>
      <c r="R868">
        <v>1</v>
      </c>
      <c r="S868">
        <v>0</v>
      </c>
      <c r="T868" t="s">
        <v>46</v>
      </c>
      <c r="U868" t="s">
        <v>46</v>
      </c>
      <c r="V868">
        <v>0</v>
      </c>
      <c r="W868" t="s">
        <v>38</v>
      </c>
      <c r="X868">
        <v>1</v>
      </c>
      <c r="Z868">
        <v>0</v>
      </c>
      <c r="AA868" t="s">
        <v>51</v>
      </c>
      <c r="AB868">
        <v>62.8</v>
      </c>
      <c r="AC868">
        <v>0</v>
      </c>
      <c r="AD868">
        <v>0</v>
      </c>
      <c r="AE868" t="s">
        <v>47</v>
      </c>
      <c r="AF868" s="1">
        <v>41929</v>
      </c>
    </row>
    <row r="869" spans="1:32" x14ac:dyDescent="0.25">
      <c r="A869" t="s">
        <v>32</v>
      </c>
      <c r="B869">
        <v>1</v>
      </c>
      <c r="C869">
        <v>162</v>
      </c>
      <c r="D869">
        <v>2016</v>
      </c>
      <c r="E869" t="s">
        <v>67</v>
      </c>
      <c r="F869">
        <v>36</v>
      </c>
      <c r="G869">
        <v>31</v>
      </c>
      <c r="H869">
        <v>2</v>
      </c>
      <c r="I869">
        <v>7</v>
      </c>
      <c r="J869">
        <v>2</v>
      </c>
      <c r="K869">
        <v>0</v>
      </c>
      <c r="L869">
        <v>0</v>
      </c>
      <c r="M869" t="s">
        <v>34</v>
      </c>
      <c r="N869" t="s">
        <v>35</v>
      </c>
      <c r="O869" t="s">
        <v>44</v>
      </c>
      <c r="P869" t="s">
        <v>45</v>
      </c>
      <c r="Q869">
        <v>0</v>
      </c>
      <c r="R869">
        <v>0</v>
      </c>
      <c r="S869">
        <v>0</v>
      </c>
      <c r="T869" t="s">
        <v>46</v>
      </c>
      <c r="U869" t="s">
        <v>46</v>
      </c>
      <c r="V869">
        <v>0</v>
      </c>
      <c r="W869" t="s">
        <v>38</v>
      </c>
      <c r="X869">
        <v>240</v>
      </c>
      <c r="Z869">
        <v>0</v>
      </c>
      <c r="AA869" t="s">
        <v>39</v>
      </c>
      <c r="AB869">
        <v>141.33000000000001</v>
      </c>
      <c r="AC869">
        <v>0</v>
      </c>
      <c r="AD869">
        <v>0</v>
      </c>
      <c r="AE869" t="s">
        <v>47</v>
      </c>
      <c r="AF869" s="1">
        <v>42572</v>
      </c>
    </row>
    <row r="870" spans="1:32" x14ac:dyDescent="0.25">
      <c r="A870" t="s">
        <v>32</v>
      </c>
      <c r="B870">
        <v>0</v>
      </c>
      <c r="C870">
        <v>16</v>
      </c>
      <c r="D870">
        <v>2016</v>
      </c>
      <c r="E870" t="s">
        <v>33</v>
      </c>
      <c r="F870">
        <v>52</v>
      </c>
      <c r="G870">
        <v>24</v>
      </c>
      <c r="H870">
        <v>2</v>
      </c>
      <c r="I870">
        <v>1</v>
      </c>
      <c r="J870">
        <v>2</v>
      </c>
      <c r="K870">
        <v>0</v>
      </c>
      <c r="L870">
        <v>0</v>
      </c>
      <c r="M870" t="s">
        <v>34</v>
      </c>
      <c r="N870" t="s">
        <v>35</v>
      </c>
      <c r="O870" t="s">
        <v>36</v>
      </c>
      <c r="P870" t="s">
        <v>36</v>
      </c>
      <c r="Q870">
        <v>0</v>
      </c>
      <c r="R870">
        <v>0</v>
      </c>
      <c r="S870">
        <v>0</v>
      </c>
      <c r="T870" t="s">
        <v>72</v>
      </c>
      <c r="U870" t="s">
        <v>72</v>
      </c>
      <c r="V870">
        <v>0</v>
      </c>
      <c r="W870" t="s">
        <v>38</v>
      </c>
      <c r="Z870">
        <v>0</v>
      </c>
      <c r="AA870" t="s">
        <v>39</v>
      </c>
      <c r="AB870">
        <v>99.33</v>
      </c>
      <c r="AC870">
        <v>0</v>
      </c>
      <c r="AD870">
        <v>0</v>
      </c>
      <c r="AE870" t="s">
        <v>40</v>
      </c>
      <c r="AF870" s="1">
        <v>42731</v>
      </c>
    </row>
    <row r="871" spans="1:32" x14ac:dyDescent="0.25">
      <c r="A871" t="s">
        <v>32</v>
      </c>
      <c r="B871">
        <v>1</v>
      </c>
      <c r="C871">
        <v>108</v>
      </c>
      <c r="D871">
        <v>2016</v>
      </c>
      <c r="E871" t="s">
        <v>52</v>
      </c>
      <c r="F871">
        <v>13</v>
      </c>
      <c r="G871">
        <v>21</v>
      </c>
      <c r="H871">
        <v>1</v>
      </c>
      <c r="I871">
        <v>1</v>
      </c>
      <c r="J871">
        <v>2</v>
      </c>
      <c r="K871">
        <v>0</v>
      </c>
      <c r="L871">
        <v>0</v>
      </c>
      <c r="M871" t="s">
        <v>34</v>
      </c>
      <c r="N871" t="s">
        <v>43</v>
      </c>
      <c r="O871" t="s">
        <v>44</v>
      </c>
      <c r="P871" t="s">
        <v>45</v>
      </c>
      <c r="Q871">
        <v>0</v>
      </c>
      <c r="R871">
        <v>0</v>
      </c>
      <c r="S871">
        <v>0</v>
      </c>
      <c r="T871" t="s">
        <v>46</v>
      </c>
      <c r="U871" t="s">
        <v>46</v>
      </c>
      <c r="V871">
        <v>1</v>
      </c>
      <c r="W871" t="s">
        <v>38</v>
      </c>
      <c r="X871">
        <v>240</v>
      </c>
      <c r="Z871">
        <v>0</v>
      </c>
      <c r="AA871" t="s">
        <v>39</v>
      </c>
      <c r="AB871">
        <v>48</v>
      </c>
      <c r="AC871">
        <v>0</v>
      </c>
      <c r="AD871">
        <v>1</v>
      </c>
      <c r="AE871" t="s">
        <v>47</v>
      </c>
      <c r="AF871" s="1">
        <v>42373</v>
      </c>
    </row>
    <row r="872" spans="1:32" x14ac:dyDescent="0.25">
      <c r="A872" t="s">
        <v>41</v>
      </c>
      <c r="B872">
        <v>0</v>
      </c>
      <c r="C872">
        <v>13</v>
      </c>
      <c r="D872">
        <v>2016</v>
      </c>
      <c r="E872" t="s">
        <v>59</v>
      </c>
      <c r="F872">
        <v>42</v>
      </c>
      <c r="G872">
        <v>10</v>
      </c>
      <c r="H872">
        <v>1</v>
      </c>
      <c r="I872">
        <v>2</v>
      </c>
      <c r="J872">
        <v>2</v>
      </c>
      <c r="K872">
        <v>0</v>
      </c>
      <c r="L872">
        <v>0</v>
      </c>
      <c r="M872" t="s">
        <v>34</v>
      </c>
      <c r="N872" t="s">
        <v>71</v>
      </c>
      <c r="O872" t="s">
        <v>76</v>
      </c>
      <c r="P872" t="s">
        <v>76</v>
      </c>
      <c r="Q872">
        <v>0</v>
      </c>
      <c r="R872">
        <v>0</v>
      </c>
      <c r="S872">
        <v>0</v>
      </c>
      <c r="T872" t="s">
        <v>46</v>
      </c>
      <c r="U872" t="s">
        <v>46</v>
      </c>
      <c r="V872">
        <v>0</v>
      </c>
      <c r="W872" t="s">
        <v>38</v>
      </c>
      <c r="Y872">
        <v>332</v>
      </c>
      <c r="Z872">
        <v>0</v>
      </c>
      <c r="AA872" t="s">
        <v>39</v>
      </c>
      <c r="AB872">
        <v>159</v>
      </c>
      <c r="AC872">
        <v>0</v>
      </c>
      <c r="AD872">
        <v>0</v>
      </c>
      <c r="AE872" t="s">
        <v>40</v>
      </c>
      <c r="AF872" s="1">
        <v>42656</v>
      </c>
    </row>
    <row r="873" spans="1:32" x14ac:dyDescent="0.25">
      <c r="A873" t="s">
        <v>32</v>
      </c>
      <c r="B873">
        <v>0</v>
      </c>
      <c r="C873">
        <v>130</v>
      </c>
      <c r="D873">
        <v>2016</v>
      </c>
      <c r="E873" t="s">
        <v>67</v>
      </c>
      <c r="F873">
        <v>34</v>
      </c>
      <c r="G873">
        <v>20</v>
      </c>
      <c r="H873">
        <v>4</v>
      </c>
      <c r="I873">
        <v>10</v>
      </c>
      <c r="J873">
        <v>2</v>
      </c>
      <c r="K873">
        <v>0</v>
      </c>
      <c r="L873">
        <v>0</v>
      </c>
      <c r="M873" t="s">
        <v>34</v>
      </c>
      <c r="N873" t="s">
        <v>95</v>
      </c>
      <c r="O873" t="s">
        <v>36</v>
      </c>
      <c r="P873" t="s">
        <v>36</v>
      </c>
      <c r="Q873">
        <v>0</v>
      </c>
      <c r="R873">
        <v>0</v>
      </c>
      <c r="S873">
        <v>0</v>
      </c>
      <c r="T873" t="s">
        <v>57</v>
      </c>
      <c r="U873" t="s">
        <v>57</v>
      </c>
      <c r="V873">
        <v>0</v>
      </c>
      <c r="W873" t="s">
        <v>38</v>
      </c>
      <c r="Z873">
        <v>0</v>
      </c>
      <c r="AA873" t="s">
        <v>39</v>
      </c>
      <c r="AB873">
        <v>189.86</v>
      </c>
      <c r="AC873">
        <v>0</v>
      </c>
      <c r="AD873">
        <v>0</v>
      </c>
      <c r="AE873" t="s">
        <v>40</v>
      </c>
      <c r="AF873" s="1">
        <v>42616</v>
      </c>
    </row>
    <row r="874" spans="1:32" x14ac:dyDescent="0.25">
      <c r="A874" t="s">
        <v>41</v>
      </c>
      <c r="B874">
        <v>1</v>
      </c>
      <c r="C874">
        <v>178</v>
      </c>
      <c r="D874">
        <v>2016</v>
      </c>
      <c r="E874" t="s">
        <v>67</v>
      </c>
      <c r="F874">
        <v>34</v>
      </c>
      <c r="G874">
        <v>18</v>
      </c>
      <c r="H874">
        <v>0</v>
      </c>
      <c r="I874">
        <v>3</v>
      </c>
      <c r="J874">
        <v>1</v>
      </c>
      <c r="K874">
        <v>1</v>
      </c>
      <c r="L874">
        <v>0</v>
      </c>
      <c r="M874" t="s">
        <v>34</v>
      </c>
      <c r="N874" t="s">
        <v>106</v>
      </c>
      <c r="O874" t="s">
        <v>44</v>
      </c>
      <c r="P874" t="s">
        <v>45</v>
      </c>
      <c r="Q874">
        <v>0</v>
      </c>
      <c r="R874">
        <v>0</v>
      </c>
      <c r="S874">
        <v>0</v>
      </c>
      <c r="T874" t="s">
        <v>46</v>
      </c>
      <c r="U874" t="s">
        <v>46</v>
      </c>
      <c r="V874">
        <v>0</v>
      </c>
      <c r="W874" t="s">
        <v>38</v>
      </c>
      <c r="X874">
        <v>9</v>
      </c>
      <c r="Z874">
        <v>0</v>
      </c>
      <c r="AA874" t="s">
        <v>39</v>
      </c>
      <c r="AB874">
        <v>124.5</v>
      </c>
      <c r="AC874">
        <v>0</v>
      </c>
      <c r="AD874">
        <v>0</v>
      </c>
      <c r="AE874" t="s">
        <v>47</v>
      </c>
      <c r="AF874" s="1">
        <v>42433</v>
      </c>
    </row>
    <row r="875" spans="1:32" x14ac:dyDescent="0.25">
      <c r="A875" t="s">
        <v>32</v>
      </c>
      <c r="B875">
        <v>0</v>
      </c>
      <c r="C875">
        <v>217</v>
      </c>
      <c r="D875">
        <v>2017</v>
      </c>
      <c r="E875" t="s">
        <v>67</v>
      </c>
      <c r="F875">
        <v>35</v>
      </c>
      <c r="G875">
        <v>29</v>
      </c>
      <c r="H875">
        <v>0</v>
      </c>
      <c r="I875">
        <v>4</v>
      </c>
      <c r="J875">
        <v>2</v>
      </c>
      <c r="K875">
        <v>0</v>
      </c>
      <c r="L875">
        <v>0</v>
      </c>
      <c r="M875" t="s">
        <v>34</v>
      </c>
      <c r="N875" t="s">
        <v>99</v>
      </c>
      <c r="O875" t="s">
        <v>49</v>
      </c>
      <c r="P875" t="s">
        <v>45</v>
      </c>
      <c r="Q875">
        <v>0</v>
      </c>
      <c r="R875">
        <v>0</v>
      </c>
      <c r="S875">
        <v>0</v>
      </c>
      <c r="T875" t="s">
        <v>46</v>
      </c>
      <c r="U875" t="s">
        <v>46</v>
      </c>
      <c r="V875">
        <v>2</v>
      </c>
      <c r="W875" t="s">
        <v>38</v>
      </c>
      <c r="X875">
        <v>410</v>
      </c>
      <c r="Z875">
        <v>0</v>
      </c>
      <c r="AA875" t="s">
        <v>39</v>
      </c>
      <c r="AB875">
        <v>106.35</v>
      </c>
      <c r="AC875">
        <v>0</v>
      </c>
      <c r="AD875">
        <v>1</v>
      </c>
      <c r="AE875" t="s">
        <v>40</v>
      </c>
      <c r="AF875" s="1">
        <v>42980</v>
      </c>
    </row>
    <row r="876" spans="1:32" x14ac:dyDescent="0.25">
      <c r="A876" t="s">
        <v>32</v>
      </c>
      <c r="B876">
        <v>0</v>
      </c>
      <c r="C876">
        <v>73</v>
      </c>
      <c r="D876">
        <v>2017</v>
      </c>
      <c r="E876" t="s">
        <v>66</v>
      </c>
      <c r="F876">
        <v>7</v>
      </c>
      <c r="G876">
        <v>17</v>
      </c>
      <c r="H876">
        <v>1</v>
      </c>
      <c r="I876">
        <v>2</v>
      </c>
      <c r="J876">
        <v>2</v>
      </c>
      <c r="K876">
        <v>0</v>
      </c>
      <c r="L876">
        <v>0</v>
      </c>
      <c r="M876" t="s">
        <v>34</v>
      </c>
      <c r="N876" t="s">
        <v>35</v>
      </c>
      <c r="O876" t="s">
        <v>76</v>
      </c>
      <c r="P876" t="s">
        <v>76</v>
      </c>
      <c r="Q876">
        <v>0</v>
      </c>
      <c r="R876">
        <v>0</v>
      </c>
      <c r="S876">
        <v>0</v>
      </c>
      <c r="T876" t="s">
        <v>46</v>
      </c>
      <c r="U876" t="s">
        <v>46</v>
      </c>
      <c r="V876">
        <v>0</v>
      </c>
      <c r="W876" t="s">
        <v>38</v>
      </c>
      <c r="Y876">
        <v>498</v>
      </c>
      <c r="Z876">
        <v>0</v>
      </c>
      <c r="AA876" t="s">
        <v>51</v>
      </c>
      <c r="AB876">
        <v>40</v>
      </c>
      <c r="AC876">
        <v>0</v>
      </c>
      <c r="AD876">
        <v>0</v>
      </c>
      <c r="AE876" t="s">
        <v>40</v>
      </c>
      <c r="AF876" s="1">
        <v>42786</v>
      </c>
    </row>
    <row r="877" spans="1:32" x14ac:dyDescent="0.25">
      <c r="A877" t="s">
        <v>32</v>
      </c>
      <c r="B877">
        <v>0</v>
      </c>
      <c r="C877">
        <v>4</v>
      </c>
      <c r="D877">
        <v>2016</v>
      </c>
      <c r="E877" t="s">
        <v>61</v>
      </c>
      <c r="F877">
        <v>48</v>
      </c>
      <c r="G877">
        <v>26</v>
      </c>
      <c r="H877">
        <v>2</v>
      </c>
      <c r="I877">
        <v>1</v>
      </c>
      <c r="J877">
        <v>1</v>
      </c>
      <c r="K877">
        <v>0</v>
      </c>
      <c r="L877">
        <v>0</v>
      </c>
      <c r="M877" t="s">
        <v>34</v>
      </c>
      <c r="N877" t="s">
        <v>70</v>
      </c>
      <c r="O877" t="s">
        <v>44</v>
      </c>
      <c r="P877" t="s">
        <v>45</v>
      </c>
      <c r="Q877">
        <v>0</v>
      </c>
      <c r="R877">
        <v>0</v>
      </c>
      <c r="S877">
        <v>0</v>
      </c>
      <c r="T877" t="s">
        <v>46</v>
      </c>
      <c r="U877" t="s">
        <v>57</v>
      </c>
      <c r="V877">
        <v>0</v>
      </c>
      <c r="W877" t="s">
        <v>38</v>
      </c>
      <c r="X877">
        <v>240</v>
      </c>
      <c r="Z877">
        <v>0</v>
      </c>
      <c r="AA877" t="s">
        <v>39</v>
      </c>
      <c r="AB877">
        <v>43</v>
      </c>
      <c r="AC877">
        <v>0</v>
      </c>
      <c r="AD877">
        <v>1</v>
      </c>
      <c r="AE877" t="s">
        <v>40</v>
      </c>
      <c r="AF877" s="1">
        <v>42703</v>
      </c>
    </row>
    <row r="878" spans="1:32" x14ac:dyDescent="0.25">
      <c r="A878" t="s">
        <v>32</v>
      </c>
      <c r="B878">
        <v>1</v>
      </c>
      <c r="C878">
        <v>126</v>
      </c>
      <c r="D878">
        <v>2017</v>
      </c>
      <c r="E878" t="s">
        <v>83</v>
      </c>
      <c r="F878">
        <v>25</v>
      </c>
      <c r="G878">
        <v>20</v>
      </c>
      <c r="H878">
        <v>0</v>
      </c>
      <c r="I878">
        <v>4</v>
      </c>
      <c r="J878">
        <v>2</v>
      </c>
      <c r="K878">
        <v>0</v>
      </c>
      <c r="L878">
        <v>0</v>
      </c>
      <c r="M878" t="s">
        <v>34</v>
      </c>
      <c r="N878" t="s">
        <v>43</v>
      </c>
      <c r="O878" t="s">
        <v>49</v>
      </c>
      <c r="P878" t="s">
        <v>45</v>
      </c>
      <c r="Q878">
        <v>0</v>
      </c>
      <c r="R878">
        <v>0</v>
      </c>
      <c r="S878">
        <v>0</v>
      </c>
      <c r="T878" t="s">
        <v>46</v>
      </c>
      <c r="U878" t="s">
        <v>46</v>
      </c>
      <c r="V878">
        <v>0</v>
      </c>
      <c r="W878" t="s">
        <v>38</v>
      </c>
      <c r="X878">
        <v>410</v>
      </c>
      <c r="Z878">
        <v>0</v>
      </c>
      <c r="AA878" t="s">
        <v>39</v>
      </c>
      <c r="AB878">
        <v>63</v>
      </c>
      <c r="AC878">
        <v>0</v>
      </c>
      <c r="AD878">
        <v>0</v>
      </c>
      <c r="AE878" t="s">
        <v>47</v>
      </c>
      <c r="AF878" s="1">
        <v>42780</v>
      </c>
    </row>
    <row r="879" spans="1:32" x14ac:dyDescent="0.25">
      <c r="A879" t="s">
        <v>41</v>
      </c>
      <c r="B879">
        <v>0</v>
      </c>
      <c r="C879">
        <v>7</v>
      </c>
      <c r="D879">
        <v>2016</v>
      </c>
      <c r="E879" t="s">
        <v>67</v>
      </c>
      <c r="F879">
        <v>35</v>
      </c>
      <c r="G879">
        <v>26</v>
      </c>
      <c r="H879">
        <v>2</v>
      </c>
      <c r="I879">
        <v>2</v>
      </c>
      <c r="J879">
        <v>2</v>
      </c>
      <c r="K879">
        <v>0</v>
      </c>
      <c r="L879">
        <v>0</v>
      </c>
      <c r="M879" t="s">
        <v>34</v>
      </c>
      <c r="N879" t="s">
        <v>78</v>
      </c>
      <c r="O879" t="s">
        <v>44</v>
      </c>
      <c r="P879" t="s">
        <v>45</v>
      </c>
      <c r="Q879">
        <v>0</v>
      </c>
      <c r="R879">
        <v>0</v>
      </c>
      <c r="S879">
        <v>0</v>
      </c>
      <c r="T879" t="s">
        <v>46</v>
      </c>
      <c r="U879" t="s">
        <v>46</v>
      </c>
      <c r="V879">
        <v>0</v>
      </c>
      <c r="W879" t="s">
        <v>38</v>
      </c>
      <c r="X879">
        <v>9</v>
      </c>
      <c r="Z879">
        <v>0</v>
      </c>
      <c r="AA879" t="s">
        <v>39</v>
      </c>
      <c r="AB879">
        <v>143</v>
      </c>
      <c r="AC879">
        <v>0</v>
      </c>
      <c r="AD879">
        <v>1</v>
      </c>
      <c r="AE879" t="s">
        <v>40</v>
      </c>
      <c r="AF879" s="1">
        <v>42612</v>
      </c>
    </row>
    <row r="880" spans="1:32" x14ac:dyDescent="0.25">
      <c r="A880" t="s">
        <v>41</v>
      </c>
      <c r="B880">
        <v>1</v>
      </c>
      <c r="C880">
        <v>230</v>
      </c>
      <c r="D880">
        <v>2016</v>
      </c>
      <c r="E880" t="s">
        <v>42</v>
      </c>
      <c r="F880">
        <v>31</v>
      </c>
      <c r="G880">
        <v>26</v>
      </c>
      <c r="H880">
        <v>0</v>
      </c>
      <c r="I880">
        <v>3</v>
      </c>
      <c r="J880">
        <v>2</v>
      </c>
      <c r="K880">
        <v>0</v>
      </c>
      <c r="L880">
        <v>0</v>
      </c>
      <c r="M880" t="s">
        <v>34</v>
      </c>
      <c r="N880" t="s">
        <v>65</v>
      </c>
      <c r="O880" t="s">
        <v>44</v>
      </c>
      <c r="P880" t="s">
        <v>45</v>
      </c>
      <c r="Q880">
        <v>0</v>
      </c>
      <c r="R880">
        <v>0</v>
      </c>
      <c r="S880">
        <v>0</v>
      </c>
      <c r="T880" t="s">
        <v>86</v>
      </c>
      <c r="U880" t="s">
        <v>86</v>
      </c>
      <c r="V880">
        <v>1</v>
      </c>
      <c r="W880" t="s">
        <v>38</v>
      </c>
      <c r="X880">
        <v>9</v>
      </c>
      <c r="Z880">
        <v>0</v>
      </c>
      <c r="AA880" t="s">
        <v>51</v>
      </c>
      <c r="AB880">
        <v>95.75</v>
      </c>
      <c r="AC880">
        <v>0</v>
      </c>
      <c r="AD880">
        <v>1</v>
      </c>
      <c r="AE880" t="s">
        <v>47</v>
      </c>
      <c r="AF880" s="1">
        <v>42394</v>
      </c>
    </row>
    <row r="881" spans="1:32" x14ac:dyDescent="0.25">
      <c r="A881" t="s">
        <v>32</v>
      </c>
      <c r="B881">
        <v>1</v>
      </c>
      <c r="C881">
        <v>72</v>
      </c>
      <c r="D881">
        <v>2016</v>
      </c>
      <c r="E881" t="s">
        <v>66</v>
      </c>
      <c r="F881">
        <v>6</v>
      </c>
      <c r="G881">
        <v>6</v>
      </c>
      <c r="H881">
        <v>2</v>
      </c>
      <c r="I881">
        <v>1</v>
      </c>
      <c r="J881">
        <v>2</v>
      </c>
      <c r="K881">
        <v>0</v>
      </c>
      <c r="L881">
        <v>0</v>
      </c>
      <c r="M881" t="s">
        <v>60</v>
      </c>
      <c r="N881" t="s">
        <v>43</v>
      </c>
      <c r="O881" t="s">
        <v>64</v>
      </c>
      <c r="P881" t="s">
        <v>36</v>
      </c>
      <c r="Q881">
        <v>0</v>
      </c>
      <c r="R881">
        <v>0</v>
      </c>
      <c r="S881">
        <v>0</v>
      </c>
      <c r="T881" t="s">
        <v>57</v>
      </c>
      <c r="U881" t="s">
        <v>57</v>
      </c>
      <c r="V881">
        <v>0</v>
      </c>
      <c r="W881" t="s">
        <v>38</v>
      </c>
      <c r="Z881">
        <v>0</v>
      </c>
      <c r="AA881" t="s">
        <v>51</v>
      </c>
      <c r="AB881">
        <v>73.33</v>
      </c>
      <c r="AC881">
        <v>0</v>
      </c>
      <c r="AD881">
        <v>0</v>
      </c>
      <c r="AE881" t="s">
        <v>47</v>
      </c>
      <c r="AF881" s="1">
        <v>42388</v>
      </c>
    </row>
    <row r="882" spans="1:32" x14ac:dyDescent="0.25">
      <c r="A882" t="s">
        <v>41</v>
      </c>
      <c r="B882">
        <v>1</v>
      </c>
      <c r="C882">
        <v>226</v>
      </c>
      <c r="D882">
        <v>2017</v>
      </c>
      <c r="E882" t="s">
        <v>83</v>
      </c>
      <c r="F882">
        <v>24</v>
      </c>
      <c r="G882">
        <v>16</v>
      </c>
      <c r="H882">
        <v>1</v>
      </c>
      <c r="I882">
        <v>2</v>
      </c>
      <c r="J882">
        <v>2</v>
      </c>
      <c r="K882">
        <v>0</v>
      </c>
      <c r="L882">
        <v>0</v>
      </c>
      <c r="M882" t="s">
        <v>34</v>
      </c>
      <c r="N882" t="s">
        <v>43</v>
      </c>
      <c r="O882" t="s">
        <v>49</v>
      </c>
      <c r="P882" t="s">
        <v>45</v>
      </c>
      <c r="Q882">
        <v>0</v>
      </c>
      <c r="R882">
        <v>0</v>
      </c>
      <c r="S882">
        <v>0</v>
      </c>
      <c r="T882" t="s">
        <v>46</v>
      </c>
      <c r="U882" t="s">
        <v>46</v>
      </c>
      <c r="V882">
        <v>0</v>
      </c>
      <c r="W882" t="s">
        <v>68</v>
      </c>
      <c r="X882">
        <v>20</v>
      </c>
      <c r="Z882">
        <v>0</v>
      </c>
      <c r="AA882" t="s">
        <v>39</v>
      </c>
      <c r="AB882">
        <v>105</v>
      </c>
      <c r="AC882">
        <v>0</v>
      </c>
      <c r="AD882">
        <v>0</v>
      </c>
      <c r="AE882" t="s">
        <v>47</v>
      </c>
      <c r="AF882" s="1">
        <v>42846</v>
      </c>
    </row>
    <row r="883" spans="1:32" x14ac:dyDescent="0.25">
      <c r="A883" t="s">
        <v>32</v>
      </c>
      <c r="B883">
        <v>0</v>
      </c>
      <c r="C883">
        <v>63</v>
      </c>
      <c r="D883">
        <v>2017</v>
      </c>
      <c r="E883" t="s">
        <v>54</v>
      </c>
      <c r="F883">
        <v>15</v>
      </c>
      <c r="G883">
        <v>10</v>
      </c>
      <c r="H883">
        <v>1</v>
      </c>
      <c r="I883">
        <v>2</v>
      </c>
      <c r="J883">
        <v>1</v>
      </c>
      <c r="K883">
        <v>0</v>
      </c>
      <c r="L883">
        <v>0</v>
      </c>
      <c r="M883" t="s">
        <v>60</v>
      </c>
      <c r="N883" t="s">
        <v>35</v>
      </c>
      <c r="O883" t="s">
        <v>49</v>
      </c>
      <c r="P883" t="s">
        <v>45</v>
      </c>
      <c r="Q883">
        <v>0</v>
      </c>
      <c r="R883">
        <v>0</v>
      </c>
      <c r="S883">
        <v>0</v>
      </c>
      <c r="T883" t="s">
        <v>46</v>
      </c>
      <c r="U883" t="s">
        <v>46</v>
      </c>
      <c r="V883">
        <v>0</v>
      </c>
      <c r="W883" t="s">
        <v>38</v>
      </c>
      <c r="X883">
        <v>40</v>
      </c>
      <c r="Z883">
        <v>0</v>
      </c>
      <c r="AA883" t="s">
        <v>73</v>
      </c>
      <c r="AB883">
        <v>63.95</v>
      </c>
      <c r="AC883">
        <v>0</v>
      </c>
      <c r="AD883">
        <v>0</v>
      </c>
      <c r="AE883" t="s">
        <v>40</v>
      </c>
      <c r="AF883" s="1">
        <v>42838</v>
      </c>
    </row>
    <row r="884" spans="1:32" x14ac:dyDescent="0.25">
      <c r="A884" t="s">
        <v>41</v>
      </c>
      <c r="B884">
        <v>0</v>
      </c>
      <c r="C884">
        <v>127</v>
      </c>
      <c r="D884">
        <v>2016</v>
      </c>
      <c r="E884" t="s">
        <v>54</v>
      </c>
      <c r="F884">
        <v>18</v>
      </c>
      <c r="G884">
        <v>28</v>
      </c>
      <c r="H884">
        <v>1</v>
      </c>
      <c r="I884">
        <v>3</v>
      </c>
      <c r="J884">
        <v>2</v>
      </c>
      <c r="K884">
        <v>0</v>
      </c>
      <c r="L884">
        <v>0</v>
      </c>
      <c r="M884" t="s">
        <v>34</v>
      </c>
      <c r="N884" t="s">
        <v>71</v>
      </c>
      <c r="O884" t="s">
        <v>49</v>
      </c>
      <c r="P884" t="s">
        <v>45</v>
      </c>
      <c r="Q884">
        <v>0</v>
      </c>
      <c r="R884">
        <v>0</v>
      </c>
      <c r="S884">
        <v>0</v>
      </c>
      <c r="T884" t="s">
        <v>46</v>
      </c>
      <c r="U884" t="s">
        <v>46</v>
      </c>
      <c r="V884">
        <v>0</v>
      </c>
      <c r="W884" t="s">
        <v>38</v>
      </c>
      <c r="X884">
        <v>3</v>
      </c>
      <c r="Z884">
        <v>0</v>
      </c>
      <c r="AA884" t="s">
        <v>39</v>
      </c>
      <c r="AB884">
        <v>90</v>
      </c>
      <c r="AC884">
        <v>0</v>
      </c>
      <c r="AD884">
        <v>0</v>
      </c>
      <c r="AE884" t="s">
        <v>40</v>
      </c>
      <c r="AF884" s="1">
        <v>42492</v>
      </c>
    </row>
    <row r="885" spans="1:32" x14ac:dyDescent="0.25">
      <c r="A885" t="s">
        <v>41</v>
      </c>
      <c r="B885">
        <v>1</v>
      </c>
      <c r="C885">
        <v>87</v>
      </c>
      <c r="D885">
        <v>2017</v>
      </c>
      <c r="E885" t="s">
        <v>54</v>
      </c>
      <c r="F885">
        <v>15</v>
      </c>
      <c r="G885">
        <v>15</v>
      </c>
      <c r="H885">
        <v>2</v>
      </c>
      <c r="I885">
        <v>2</v>
      </c>
      <c r="J885">
        <v>2</v>
      </c>
      <c r="K885">
        <v>0</v>
      </c>
      <c r="L885">
        <v>0</v>
      </c>
      <c r="M885" t="s">
        <v>34</v>
      </c>
      <c r="N885" t="s">
        <v>43</v>
      </c>
      <c r="O885" t="s">
        <v>64</v>
      </c>
      <c r="P885" t="s">
        <v>45</v>
      </c>
      <c r="Q885">
        <v>0</v>
      </c>
      <c r="R885">
        <v>0</v>
      </c>
      <c r="S885">
        <v>0</v>
      </c>
      <c r="T885" t="s">
        <v>46</v>
      </c>
      <c r="U885" t="s">
        <v>46</v>
      </c>
      <c r="V885">
        <v>0</v>
      </c>
      <c r="W885" t="s">
        <v>68</v>
      </c>
      <c r="X885">
        <v>1</v>
      </c>
      <c r="Z885">
        <v>0</v>
      </c>
      <c r="AA885" t="s">
        <v>39</v>
      </c>
      <c r="AB885">
        <v>95</v>
      </c>
      <c r="AC885">
        <v>0</v>
      </c>
      <c r="AD885">
        <v>0</v>
      </c>
      <c r="AE885" t="s">
        <v>47</v>
      </c>
      <c r="AF885" s="1">
        <v>42753</v>
      </c>
    </row>
    <row r="886" spans="1:32" x14ac:dyDescent="0.25">
      <c r="A886" t="s">
        <v>41</v>
      </c>
      <c r="B886">
        <v>1</v>
      </c>
      <c r="C886">
        <v>19</v>
      </c>
      <c r="D886">
        <v>2016</v>
      </c>
      <c r="E886" t="s">
        <v>62</v>
      </c>
      <c r="F886">
        <v>39</v>
      </c>
      <c r="G886">
        <v>23</v>
      </c>
      <c r="H886">
        <v>1</v>
      </c>
      <c r="I886">
        <v>2</v>
      </c>
      <c r="J886">
        <v>2</v>
      </c>
      <c r="K886">
        <v>0</v>
      </c>
      <c r="L886">
        <v>0</v>
      </c>
      <c r="M886" t="s">
        <v>34</v>
      </c>
      <c r="N886" t="s">
        <v>56</v>
      </c>
      <c r="O886" t="s">
        <v>44</v>
      </c>
      <c r="P886" t="s">
        <v>45</v>
      </c>
      <c r="Q886">
        <v>0</v>
      </c>
      <c r="R886">
        <v>0</v>
      </c>
      <c r="S886">
        <v>0</v>
      </c>
      <c r="T886" t="s">
        <v>46</v>
      </c>
      <c r="U886" t="s">
        <v>46</v>
      </c>
      <c r="V886">
        <v>0</v>
      </c>
      <c r="W886" t="s">
        <v>38</v>
      </c>
      <c r="X886">
        <v>9</v>
      </c>
      <c r="Z886">
        <v>0</v>
      </c>
      <c r="AA886" t="s">
        <v>39</v>
      </c>
      <c r="AB886">
        <v>159</v>
      </c>
      <c r="AC886">
        <v>0</v>
      </c>
      <c r="AD886">
        <v>1</v>
      </c>
      <c r="AE886" t="s">
        <v>47</v>
      </c>
      <c r="AF886" s="1">
        <v>42633</v>
      </c>
    </row>
    <row r="887" spans="1:32" x14ac:dyDescent="0.25">
      <c r="A887" t="s">
        <v>41</v>
      </c>
      <c r="B887">
        <v>0</v>
      </c>
      <c r="C887">
        <v>21</v>
      </c>
      <c r="D887">
        <v>2017</v>
      </c>
      <c r="E887" t="s">
        <v>66</v>
      </c>
      <c r="F887">
        <v>8</v>
      </c>
      <c r="G887">
        <v>20</v>
      </c>
      <c r="H887">
        <v>1</v>
      </c>
      <c r="I887">
        <v>1</v>
      </c>
      <c r="J887">
        <v>2</v>
      </c>
      <c r="K887">
        <v>0</v>
      </c>
      <c r="L887">
        <v>0</v>
      </c>
      <c r="M887" t="s">
        <v>55</v>
      </c>
      <c r="N887" t="s">
        <v>70</v>
      </c>
      <c r="O887" t="s">
        <v>44</v>
      </c>
      <c r="P887" t="s">
        <v>45</v>
      </c>
      <c r="Q887">
        <v>0</v>
      </c>
      <c r="R887">
        <v>0</v>
      </c>
      <c r="S887">
        <v>0</v>
      </c>
      <c r="T887" t="s">
        <v>46</v>
      </c>
      <c r="U887" t="s">
        <v>46</v>
      </c>
      <c r="V887">
        <v>0</v>
      </c>
      <c r="W887" t="s">
        <v>38</v>
      </c>
      <c r="X887">
        <v>9</v>
      </c>
      <c r="Z887">
        <v>0</v>
      </c>
      <c r="AA887" t="s">
        <v>39</v>
      </c>
      <c r="AB887">
        <v>80</v>
      </c>
      <c r="AC887">
        <v>0</v>
      </c>
      <c r="AD887">
        <v>0</v>
      </c>
      <c r="AE887" t="s">
        <v>40</v>
      </c>
      <c r="AF887" s="1">
        <v>42788</v>
      </c>
    </row>
    <row r="888" spans="1:32" x14ac:dyDescent="0.25">
      <c r="A888" t="s">
        <v>32</v>
      </c>
      <c r="B888">
        <v>0</v>
      </c>
      <c r="C888">
        <v>39</v>
      </c>
      <c r="D888">
        <v>2015</v>
      </c>
      <c r="E888" t="s">
        <v>61</v>
      </c>
      <c r="F888">
        <v>46</v>
      </c>
      <c r="G888">
        <v>11</v>
      </c>
      <c r="H888">
        <v>1</v>
      </c>
      <c r="I888">
        <v>4</v>
      </c>
      <c r="J888">
        <v>2</v>
      </c>
      <c r="K888">
        <v>0</v>
      </c>
      <c r="L888">
        <v>0</v>
      </c>
      <c r="M888" t="s">
        <v>34</v>
      </c>
      <c r="N888" t="s">
        <v>56</v>
      </c>
      <c r="O888" t="s">
        <v>44</v>
      </c>
      <c r="P888" t="s">
        <v>45</v>
      </c>
      <c r="Q888">
        <v>0</v>
      </c>
      <c r="R888">
        <v>0</v>
      </c>
      <c r="S888">
        <v>0</v>
      </c>
      <c r="T888" t="s">
        <v>57</v>
      </c>
      <c r="U888" t="s">
        <v>57</v>
      </c>
      <c r="V888">
        <v>0</v>
      </c>
      <c r="W888" t="s">
        <v>38</v>
      </c>
      <c r="X888">
        <v>240</v>
      </c>
      <c r="Z888">
        <v>0</v>
      </c>
      <c r="AA888" t="s">
        <v>39</v>
      </c>
      <c r="AB888">
        <v>66.64</v>
      </c>
      <c r="AC888">
        <v>0</v>
      </c>
      <c r="AD888">
        <v>0</v>
      </c>
      <c r="AE888" t="s">
        <v>40</v>
      </c>
      <c r="AF888" s="1">
        <v>42324</v>
      </c>
    </row>
    <row r="889" spans="1:32" x14ac:dyDescent="0.25">
      <c r="A889" t="s">
        <v>41</v>
      </c>
      <c r="B889">
        <v>1</v>
      </c>
      <c r="C889">
        <v>3</v>
      </c>
      <c r="D889">
        <v>2015</v>
      </c>
      <c r="E889" t="s">
        <v>62</v>
      </c>
      <c r="F889">
        <v>36</v>
      </c>
      <c r="G889">
        <v>5</v>
      </c>
      <c r="H889">
        <v>2</v>
      </c>
      <c r="I889">
        <v>2</v>
      </c>
      <c r="J889">
        <v>1</v>
      </c>
      <c r="K889">
        <v>0</v>
      </c>
      <c r="L889">
        <v>0</v>
      </c>
      <c r="M889" t="s">
        <v>34</v>
      </c>
      <c r="N889" t="s">
        <v>43</v>
      </c>
      <c r="O889" t="s">
        <v>64</v>
      </c>
      <c r="P889" t="s">
        <v>45</v>
      </c>
      <c r="Q889">
        <v>0</v>
      </c>
      <c r="R889">
        <v>0</v>
      </c>
      <c r="S889">
        <v>0</v>
      </c>
      <c r="T889" t="s">
        <v>46</v>
      </c>
      <c r="U889" t="s">
        <v>46</v>
      </c>
      <c r="V889">
        <v>0</v>
      </c>
      <c r="W889" t="s">
        <v>38</v>
      </c>
      <c r="X889">
        <v>1</v>
      </c>
      <c r="Z889">
        <v>0</v>
      </c>
      <c r="AA889" t="s">
        <v>51</v>
      </c>
      <c r="AB889">
        <v>0</v>
      </c>
      <c r="AC889">
        <v>0</v>
      </c>
      <c r="AD889">
        <v>0</v>
      </c>
      <c r="AE889" t="s">
        <v>47</v>
      </c>
      <c r="AF889" s="1">
        <v>42250</v>
      </c>
    </row>
    <row r="890" spans="1:32" x14ac:dyDescent="0.25">
      <c r="A890" t="s">
        <v>41</v>
      </c>
      <c r="B890">
        <v>0</v>
      </c>
      <c r="C890">
        <v>6</v>
      </c>
      <c r="D890">
        <v>2016</v>
      </c>
      <c r="E890" t="s">
        <v>62</v>
      </c>
      <c r="F890">
        <v>39</v>
      </c>
      <c r="G890">
        <v>22</v>
      </c>
      <c r="H890">
        <v>0</v>
      </c>
      <c r="I890">
        <v>1</v>
      </c>
      <c r="J890">
        <v>2</v>
      </c>
      <c r="K890">
        <v>0</v>
      </c>
      <c r="L890">
        <v>0</v>
      </c>
      <c r="M890" t="s">
        <v>55</v>
      </c>
      <c r="N890" t="s">
        <v>106</v>
      </c>
      <c r="O890" t="s">
        <v>44</v>
      </c>
      <c r="P890" t="s">
        <v>45</v>
      </c>
      <c r="Q890">
        <v>0</v>
      </c>
      <c r="R890">
        <v>0</v>
      </c>
      <c r="S890">
        <v>0</v>
      </c>
      <c r="T890" t="s">
        <v>46</v>
      </c>
      <c r="U890" t="s">
        <v>46</v>
      </c>
      <c r="V890">
        <v>0</v>
      </c>
      <c r="W890" t="s">
        <v>38</v>
      </c>
      <c r="X890">
        <v>9</v>
      </c>
      <c r="Z890">
        <v>0</v>
      </c>
      <c r="AA890" t="s">
        <v>39</v>
      </c>
      <c r="AB890">
        <v>159</v>
      </c>
      <c r="AC890">
        <v>0</v>
      </c>
      <c r="AD890">
        <v>3</v>
      </c>
      <c r="AE890" t="s">
        <v>40</v>
      </c>
      <c r="AF890" s="1">
        <v>42636</v>
      </c>
    </row>
    <row r="891" spans="1:32" x14ac:dyDescent="0.25">
      <c r="A891" t="s">
        <v>41</v>
      </c>
      <c r="B891">
        <v>1</v>
      </c>
      <c r="C891">
        <v>169</v>
      </c>
      <c r="D891">
        <v>2017</v>
      </c>
      <c r="E891" t="s">
        <v>54</v>
      </c>
      <c r="F891">
        <v>16</v>
      </c>
      <c r="G891">
        <v>21</v>
      </c>
      <c r="H891">
        <v>2</v>
      </c>
      <c r="I891">
        <v>3</v>
      </c>
      <c r="J891">
        <v>2</v>
      </c>
      <c r="K891">
        <v>1</v>
      </c>
      <c r="L891">
        <v>0</v>
      </c>
      <c r="M891" t="s">
        <v>34</v>
      </c>
      <c r="N891" t="s">
        <v>70</v>
      </c>
      <c r="O891" t="s">
        <v>44</v>
      </c>
      <c r="P891" t="s">
        <v>45</v>
      </c>
      <c r="Q891">
        <v>0</v>
      </c>
      <c r="R891">
        <v>0</v>
      </c>
      <c r="S891">
        <v>0</v>
      </c>
      <c r="T891" t="s">
        <v>46</v>
      </c>
      <c r="U891" t="s">
        <v>46</v>
      </c>
      <c r="V891">
        <v>0</v>
      </c>
      <c r="W891" t="s">
        <v>38</v>
      </c>
      <c r="X891">
        <v>9</v>
      </c>
      <c r="Z891">
        <v>0</v>
      </c>
      <c r="AA891" t="s">
        <v>39</v>
      </c>
      <c r="AB891">
        <v>117</v>
      </c>
      <c r="AC891">
        <v>0</v>
      </c>
      <c r="AD891">
        <v>1</v>
      </c>
      <c r="AE891" t="s">
        <v>47</v>
      </c>
      <c r="AF891" s="1">
        <v>42682</v>
      </c>
    </row>
    <row r="892" spans="1:32" x14ac:dyDescent="0.25">
      <c r="A892" t="s">
        <v>32</v>
      </c>
      <c r="B892">
        <v>1</v>
      </c>
      <c r="C892">
        <v>95</v>
      </c>
      <c r="D892">
        <v>2017</v>
      </c>
      <c r="E892" t="s">
        <v>54</v>
      </c>
      <c r="F892">
        <v>14</v>
      </c>
      <c r="G892">
        <v>8</v>
      </c>
      <c r="H892">
        <v>2</v>
      </c>
      <c r="I892">
        <v>3</v>
      </c>
      <c r="J892">
        <v>3</v>
      </c>
      <c r="K892">
        <v>1</v>
      </c>
      <c r="L892">
        <v>0</v>
      </c>
      <c r="M892" t="s">
        <v>34</v>
      </c>
      <c r="N892" t="s">
        <v>43</v>
      </c>
      <c r="O892" t="s">
        <v>44</v>
      </c>
      <c r="P892" t="s">
        <v>45</v>
      </c>
      <c r="Q892">
        <v>0</v>
      </c>
      <c r="R892">
        <v>0</v>
      </c>
      <c r="S892">
        <v>0</v>
      </c>
      <c r="T892" t="s">
        <v>92</v>
      </c>
      <c r="U892" t="s">
        <v>92</v>
      </c>
      <c r="V892">
        <v>0</v>
      </c>
      <c r="W892" t="s">
        <v>38</v>
      </c>
      <c r="X892">
        <v>240</v>
      </c>
      <c r="Z892">
        <v>0</v>
      </c>
      <c r="AA892" t="s">
        <v>39</v>
      </c>
      <c r="AB892">
        <v>150</v>
      </c>
      <c r="AC892">
        <v>0</v>
      </c>
      <c r="AD892">
        <v>0</v>
      </c>
      <c r="AE892" t="s">
        <v>47</v>
      </c>
      <c r="AF892" s="1">
        <v>42754</v>
      </c>
    </row>
    <row r="893" spans="1:32" x14ac:dyDescent="0.25">
      <c r="A893" t="s">
        <v>41</v>
      </c>
      <c r="B893">
        <v>0</v>
      </c>
      <c r="C893">
        <v>27</v>
      </c>
      <c r="D893">
        <v>2017</v>
      </c>
      <c r="E893" t="s">
        <v>66</v>
      </c>
      <c r="F893">
        <v>6</v>
      </c>
      <c r="G893">
        <v>5</v>
      </c>
      <c r="H893">
        <v>2</v>
      </c>
      <c r="I893">
        <v>2</v>
      </c>
      <c r="J893">
        <v>1</v>
      </c>
      <c r="K893">
        <v>0</v>
      </c>
      <c r="L893">
        <v>0</v>
      </c>
      <c r="M893" t="s">
        <v>34</v>
      </c>
      <c r="N893" t="s">
        <v>110</v>
      </c>
      <c r="O893" t="s">
        <v>44</v>
      </c>
      <c r="P893" t="s">
        <v>45</v>
      </c>
      <c r="Q893">
        <v>0</v>
      </c>
      <c r="R893">
        <v>0</v>
      </c>
      <c r="S893">
        <v>0</v>
      </c>
      <c r="T893" t="s">
        <v>46</v>
      </c>
      <c r="U893" t="s">
        <v>46</v>
      </c>
      <c r="V893">
        <v>0</v>
      </c>
      <c r="W893" t="s">
        <v>38</v>
      </c>
      <c r="X893">
        <v>9</v>
      </c>
      <c r="Z893">
        <v>0</v>
      </c>
      <c r="AA893" t="s">
        <v>39</v>
      </c>
      <c r="AB893">
        <v>68</v>
      </c>
      <c r="AC893">
        <v>0</v>
      </c>
      <c r="AD893">
        <v>1</v>
      </c>
      <c r="AE893" t="s">
        <v>40</v>
      </c>
      <c r="AF893" s="1">
        <v>42775</v>
      </c>
    </row>
    <row r="894" spans="1:32" x14ac:dyDescent="0.25">
      <c r="A894" t="s">
        <v>32</v>
      </c>
      <c r="B894">
        <v>1</v>
      </c>
      <c r="C894">
        <v>155</v>
      </c>
      <c r="D894">
        <v>2015</v>
      </c>
      <c r="E894" t="s">
        <v>59</v>
      </c>
      <c r="F894">
        <v>44</v>
      </c>
      <c r="G894">
        <v>31</v>
      </c>
      <c r="H894">
        <v>0</v>
      </c>
      <c r="I894">
        <v>1</v>
      </c>
      <c r="J894">
        <v>2</v>
      </c>
      <c r="K894">
        <v>0</v>
      </c>
      <c r="L894">
        <v>0</v>
      </c>
      <c r="M894" t="s">
        <v>34</v>
      </c>
      <c r="N894" t="s">
        <v>43</v>
      </c>
      <c r="O894" t="s">
        <v>64</v>
      </c>
      <c r="P894" t="s">
        <v>36</v>
      </c>
      <c r="Q894">
        <v>0</v>
      </c>
      <c r="R894">
        <v>0</v>
      </c>
      <c r="S894">
        <v>0</v>
      </c>
      <c r="T894" t="s">
        <v>46</v>
      </c>
      <c r="U894" t="s">
        <v>46</v>
      </c>
      <c r="V894">
        <v>0</v>
      </c>
      <c r="W894" t="s">
        <v>68</v>
      </c>
      <c r="Z894">
        <v>0</v>
      </c>
      <c r="AA894" t="s">
        <v>39</v>
      </c>
      <c r="AB894">
        <v>36</v>
      </c>
      <c r="AC894">
        <v>0</v>
      </c>
      <c r="AD894">
        <v>0</v>
      </c>
      <c r="AE894" t="s">
        <v>47</v>
      </c>
      <c r="AF894" s="1">
        <v>42303</v>
      </c>
    </row>
    <row r="895" spans="1:32" x14ac:dyDescent="0.25">
      <c r="A895" t="s">
        <v>41</v>
      </c>
      <c r="B895">
        <v>0</v>
      </c>
      <c r="C895">
        <v>14</v>
      </c>
      <c r="D895">
        <v>2017</v>
      </c>
      <c r="E895" t="s">
        <v>69</v>
      </c>
      <c r="F895">
        <v>18</v>
      </c>
      <c r="G895">
        <v>2</v>
      </c>
      <c r="H895">
        <v>0</v>
      </c>
      <c r="I895">
        <v>4</v>
      </c>
      <c r="J895">
        <v>2</v>
      </c>
      <c r="K895">
        <v>0</v>
      </c>
      <c r="L895">
        <v>0</v>
      </c>
      <c r="M895" t="s">
        <v>55</v>
      </c>
      <c r="N895" t="s">
        <v>106</v>
      </c>
      <c r="O895" t="s">
        <v>44</v>
      </c>
      <c r="P895" t="s">
        <v>45</v>
      </c>
      <c r="Q895">
        <v>0</v>
      </c>
      <c r="R895">
        <v>0</v>
      </c>
      <c r="S895">
        <v>0</v>
      </c>
      <c r="T895" t="s">
        <v>46</v>
      </c>
      <c r="U895" t="s">
        <v>46</v>
      </c>
      <c r="V895">
        <v>0</v>
      </c>
      <c r="W895" t="s">
        <v>38</v>
      </c>
      <c r="X895">
        <v>9</v>
      </c>
      <c r="Z895">
        <v>0</v>
      </c>
      <c r="AA895" t="s">
        <v>39</v>
      </c>
      <c r="AB895">
        <v>127.5</v>
      </c>
      <c r="AC895">
        <v>0</v>
      </c>
      <c r="AD895">
        <v>1</v>
      </c>
      <c r="AE895" t="s">
        <v>40</v>
      </c>
      <c r="AF895" s="1">
        <v>42861</v>
      </c>
    </row>
    <row r="896" spans="1:32" x14ac:dyDescent="0.25">
      <c r="A896" t="s">
        <v>32</v>
      </c>
      <c r="B896">
        <v>0</v>
      </c>
      <c r="C896">
        <v>0</v>
      </c>
      <c r="D896">
        <v>2017</v>
      </c>
      <c r="E896" t="s">
        <v>42</v>
      </c>
      <c r="F896">
        <v>28</v>
      </c>
      <c r="G896">
        <v>12</v>
      </c>
      <c r="H896">
        <v>0</v>
      </c>
      <c r="I896">
        <v>1</v>
      </c>
      <c r="J896">
        <v>2</v>
      </c>
      <c r="K896">
        <v>0</v>
      </c>
      <c r="L896">
        <v>0</v>
      </c>
      <c r="M896" t="s">
        <v>34</v>
      </c>
      <c r="N896" t="s">
        <v>43</v>
      </c>
      <c r="O896" t="s">
        <v>44</v>
      </c>
      <c r="P896" t="s">
        <v>45</v>
      </c>
      <c r="Q896">
        <v>0</v>
      </c>
      <c r="R896">
        <v>0</v>
      </c>
      <c r="S896">
        <v>0</v>
      </c>
      <c r="T896" t="s">
        <v>46</v>
      </c>
      <c r="U896" t="s">
        <v>46</v>
      </c>
      <c r="V896">
        <v>1</v>
      </c>
      <c r="W896" t="s">
        <v>38</v>
      </c>
      <c r="X896">
        <v>240</v>
      </c>
      <c r="Z896">
        <v>0</v>
      </c>
      <c r="AA896" t="s">
        <v>39</v>
      </c>
      <c r="AB896">
        <v>8</v>
      </c>
      <c r="AC896">
        <v>0</v>
      </c>
      <c r="AD896">
        <v>0</v>
      </c>
      <c r="AE896" t="s">
        <v>40</v>
      </c>
      <c r="AF896" s="1">
        <v>42929</v>
      </c>
    </row>
    <row r="897" spans="1:32" x14ac:dyDescent="0.25">
      <c r="A897" t="s">
        <v>32</v>
      </c>
      <c r="B897">
        <v>0</v>
      </c>
      <c r="C897">
        <v>277</v>
      </c>
      <c r="D897">
        <v>2015</v>
      </c>
      <c r="E897" t="s">
        <v>59</v>
      </c>
      <c r="F897">
        <v>41</v>
      </c>
      <c r="G897">
        <v>6</v>
      </c>
      <c r="H897">
        <v>2</v>
      </c>
      <c r="I897">
        <v>5</v>
      </c>
      <c r="J897">
        <v>2</v>
      </c>
      <c r="K897">
        <v>0</v>
      </c>
      <c r="L897">
        <v>0</v>
      </c>
      <c r="M897" t="s">
        <v>60</v>
      </c>
      <c r="N897" t="s">
        <v>35</v>
      </c>
      <c r="O897" t="s">
        <v>64</v>
      </c>
      <c r="P897" t="s">
        <v>36</v>
      </c>
      <c r="Q897">
        <v>0</v>
      </c>
      <c r="R897">
        <v>0</v>
      </c>
      <c r="S897">
        <v>0</v>
      </c>
      <c r="T897" t="s">
        <v>57</v>
      </c>
      <c r="U897" t="s">
        <v>72</v>
      </c>
      <c r="V897">
        <v>0</v>
      </c>
      <c r="W897" t="s">
        <v>38</v>
      </c>
      <c r="X897">
        <v>273</v>
      </c>
      <c r="Z897">
        <v>0</v>
      </c>
      <c r="AA897" t="s">
        <v>51</v>
      </c>
      <c r="AB897">
        <v>68.739999999999995</v>
      </c>
      <c r="AC897">
        <v>0</v>
      </c>
      <c r="AD897">
        <v>0</v>
      </c>
      <c r="AE897" t="s">
        <v>40</v>
      </c>
      <c r="AF897" s="1">
        <v>42290</v>
      </c>
    </row>
    <row r="898" spans="1:32" x14ac:dyDescent="0.25">
      <c r="A898" t="s">
        <v>41</v>
      </c>
      <c r="B898">
        <v>1</v>
      </c>
      <c r="C898">
        <v>6</v>
      </c>
      <c r="D898">
        <v>2015</v>
      </c>
      <c r="E898" t="s">
        <v>62</v>
      </c>
      <c r="F898">
        <v>37</v>
      </c>
      <c r="G898">
        <v>11</v>
      </c>
      <c r="H898">
        <v>1</v>
      </c>
      <c r="I898">
        <v>2</v>
      </c>
      <c r="J898">
        <v>2</v>
      </c>
      <c r="K898">
        <v>0</v>
      </c>
      <c r="L898">
        <v>0</v>
      </c>
      <c r="M898" t="s">
        <v>34</v>
      </c>
      <c r="N898" t="s">
        <v>43</v>
      </c>
      <c r="O898" t="s">
        <v>44</v>
      </c>
      <c r="P898" t="s">
        <v>45</v>
      </c>
      <c r="Q898">
        <v>0</v>
      </c>
      <c r="R898">
        <v>0</v>
      </c>
      <c r="S898">
        <v>0</v>
      </c>
      <c r="T898" t="s">
        <v>46</v>
      </c>
      <c r="U898" t="s">
        <v>46</v>
      </c>
      <c r="V898">
        <v>0</v>
      </c>
      <c r="W898" t="s">
        <v>38</v>
      </c>
      <c r="X898">
        <v>9</v>
      </c>
      <c r="Z898">
        <v>0</v>
      </c>
      <c r="AA898" t="s">
        <v>39</v>
      </c>
      <c r="AB898">
        <v>127</v>
      </c>
      <c r="AC898">
        <v>0</v>
      </c>
      <c r="AD898">
        <v>0</v>
      </c>
      <c r="AE898" t="s">
        <v>47</v>
      </c>
      <c r="AF898" s="1">
        <v>42254</v>
      </c>
    </row>
    <row r="899" spans="1:32" x14ac:dyDescent="0.25">
      <c r="A899" t="s">
        <v>41</v>
      </c>
      <c r="B899">
        <v>1</v>
      </c>
      <c r="C899">
        <v>46</v>
      </c>
      <c r="D899">
        <v>2017</v>
      </c>
      <c r="E899" t="s">
        <v>52</v>
      </c>
      <c r="F899">
        <v>13</v>
      </c>
      <c r="G899">
        <v>27</v>
      </c>
      <c r="H899">
        <v>1</v>
      </c>
      <c r="I899">
        <v>2</v>
      </c>
      <c r="J899">
        <v>2</v>
      </c>
      <c r="K899">
        <v>0</v>
      </c>
      <c r="L899">
        <v>0</v>
      </c>
      <c r="M899" t="s">
        <v>34</v>
      </c>
      <c r="N899" t="s">
        <v>95</v>
      </c>
      <c r="O899" t="s">
        <v>44</v>
      </c>
      <c r="P899" t="s">
        <v>45</v>
      </c>
      <c r="Q899">
        <v>0</v>
      </c>
      <c r="R899">
        <v>0</v>
      </c>
      <c r="S899">
        <v>0</v>
      </c>
      <c r="T899" t="s">
        <v>46</v>
      </c>
      <c r="U899" t="s">
        <v>46</v>
      </c>
      <c r="V899">
        <v>0</v>
      </c>
      <c r="W899" t="s">
        <v>38</v>
      </c>
      <c r="X899">
        <v>9</v>
      </c>
      <c r="Z899">
        <v>0</v>
      </c>
      <c r="AA899" t="s">
        <v>39</v>
      </c>
      <c r="AB899">
        <v>106.2</v>
      </c>
      <c r="AC899">
        <v>0</v>
      </c>
      <c r="AD899">
        <v>0</v>
      </c>
      <c r="AE899" t="s">
        <v>47</v>
      </c>
      <c r="AF899" s="1">
        <v>42776</v>
      </c>
    </row>
    <row r="900" spans="1:32" x14ac:dyDescent="0.25">
      <c r="A900" t="s">
        <v>32</v>
      </c>
      <c r="B900">
        <v>1</v>
      </c>
      <c r="C900">
        <v>77</v>
      </c>
      <c r="D900">
        <v>2015</v>
      </c>
      <c r="E900" t="s">
        <v>62</v>
      </c>
      <c r="F900">
        <v>40</v>
      </c>
      <c r="G900">
        <v>28</v>
      </c>
      <c r="H900">
        <v>1</v>
      </c>
      <c r="I900">
        <v>3</v>
      </c>
      <c r="J900">
        <v>2</v>
      </c>
      <c r="K900">
        <v>0</v>
      </c>
      <c r="L900">
        <v>0</v>
      </c>
      <c r="M900" t="s">
        <v>34</v>
      </c>
      <c r="N900" t="s">
        <v>43</v>
      </c>
      <c r="O900" t="s">
        <v>49</v>
      </c>
      <c r="P900" t="s">
        <v>45</v>
      </c>
      <c r="Q900">
        <v>0</v>
      </c>
      <c r="R900">
        <v>0</v>
      </c>
      <c r="S900">
        <v>0</v>
      </c>
      <c r="T900" t="s">
        <v>72</v>
      </c>
      <c r="U900" t="s">
        <v>72</v>
      </c>
      <c r="V900">
        <v>0</v>
      </c>
      <c r="W900" t="s">
        <v>38</v>
      </c>
      <c r="X900">
        <v>175</v>
      </c>
      <c r="Z900">
        <v>0</v>
      </c>
      <c r="AA900" t="s">
        <v>39</v>
      </c>
      <c r="AB900">
        <v>74.599999999999994</v>
      </c>
      <c r="AC900">
        <v>0</v>
      </c>
      <c r="AD900">
        <v>1</v>
      </c>
      <c r="AE900" t="s">
        <v>47</v>
      </c>
      <c r="AF900" s="1">
        <v>42210</v>
      </c>
    </row>
    <row r="901" spans="1:32" x14ac:dyDescent="0.25">
      <c r="A901" t="s">
        <v>32</v>
      </c>
      <c r="B901">
        <v>0</v>
      </c>
      <c r="C901">
        <v>315</v>
      </c>
      <c r="D901">
        <v>2015</v>
      </c>
      <c r="E901" t="s">
        <v>62</v>
      </c>
      <c r="F901">
        <v>40</v>
      </c>
      <c r="G901">
        <v>29</v>
      </c>
      <c r="H901">
        <v>2</v>
      </c>
      <c r="I901">
        <v>7</v>
      </c>
      <c r="J901">
        <v>2</v>
      </c>
      <c r="K901">
        <v>0</v>
      </c>
      <c r="L901">
        <v>0</v>
      </c>
      <c r="M901" t="s">
        <v>60</v>
      </c>
      <c r="N901" t="s">
        <v>35</v>
      </c>
      <c r="O901" t="s">
        <v>49</v>
      </c>
      <c r="P901" t="s">
        <v>45</v>
      </c>
      <c r="Q901">
        <v>0</v>
      </c>
      <c r="R901">
        <v>0</v>
      </c>
      <c r="S901">
        <v>0</v>
      </c>
      <c r="T901" t="s">
        <v>57</v>
      </c>
      <c r="U901" t="s">
        <v>57</v>
      </c>
      <c r="V901">
        <v>0</v>
      </c>
      <c r="W901" t="s">
        <v>38</v>
      </c>
      <c r="X901">
        <v>40</v>
      </c>
      <c r="Z901">
        <v>0</v>
      </c>
      <c r="AA901" t="s">
        <v>73</v>
      </c>
      <c r="AB901">
        <v>71.260000000000005</v>
      </c>
      <c r="AC901">
        <v>0</v>
      </c>
      <c r="AD901">
        <v>0</v>
      </c>
      <c r="AE901" t="s">
        <v>40</v>
      </c>
      <c r="AF901" s="1">
        <v>42285</v>
      </c>
    </row>
    <row r="902" spans="1:32" x14ac:dyDescent="0.25">
      <c r="A902" t="s">
        <v>41</v>
      </c>
      <c r="B902">
        <v>0</v>
      </c>
      <c r="C902">
        <v>263</v>
      </c>
      <c r="D902">
        <v>2017</v>
      </c>
      <c r="E902" t="s">
        <v>83</v>
      </c>
      <c r="F902">
        <v>25</v>
      </c>
      <c r="G902">
        <v>23</v>
      </c>
      <c r="H902">
        <v>2</v>
      </c>
      <c r="I902">
        <v>2</v>
      </c>
      <c r="J902">
        <v>2</v>
      </c>
      <c r="K902">
        <v>0</v>
      </c>
      <c r="L902">
        <v>0</v>
      </c>
      <c r="M902" t="s">
        <v>34</v>
      </c>
      <c r="N902" t="s">
        <v>43</v>
      </c>
      <c r="O902" t="s">
        <v>64</v>
      </c>
      <c r="P902" t="s">
        <v>45</v>
      </c>
      <c r="Q902">
        <v>0</v>
      </c>
      <c r="R902">
        <v>0</v>
      </c>
      <c r="S902">
        <v>0</v>
      </c>
      <c r="T902" t="s">
        <v>46</v>
      </c>
      <c r="U902" t="s">
        <v>46</v>
      </c>
      <c r="V902">
        <v>0</v>
      </c>
      <c r="W902" t="s">
        <v>38</v>
      </c>
      <c r="X902">
        <v>37</v>
      </c>
      <c r="Z902">
        <v>0</v>
      </c>
      <c r="AA902" t="s">
        <v>51</v>
      </c>
      <c r="AB902">
        <v>105</v>
      </c>
      <c r="AC902">
        <v>0</v>
      </c>
      <c r="AD902">
        <v>1</v>
      </c>
      <c r="AE902" t="s">
        <v>40</v>
      </c>
      <c r="AF902" s="1">
        <v>42913</v>
      </c>
    </row>
    <row r="903" spans="1:32" x14ac:dyDescent="0.25">
      <c r="A903" t="s">
        <v>41</v>
      </c>
      <c r="B903">
        <v>1</v>
      </c>
      <c r="C903">
        <v>112</v>
      </c>
      <c r="D903">
        <v>2017</v>
      </c>
      <c r="E903" t="s">
        <v>54</v>
      </c>
      <c r="F903">
        <v>15</v>
      </c>
      <c r="G903">
        <v>12</v>
      </c>
      <c r="H903">
        <v>0</v>
      </c>
      <c r="I903">
        <v>3</v>
      </c>
      <c r="J903">
        <v>3</v>
      </c>
      <c r="K903">
        <v>0</v>
      </c>
      <c r="L903">
        <v>0</v>
      </c>
      <c r="M903" t="s">
        <v>34</v>
      </c>
      <c r="N903" t="s">
        <v>56</v>
      </c>
      <c r="O903" t="s">
        <v>44</v>
      </c>
      <c r="P903" t="s">
        <v>45</v>
      </c>
      <c r="Q903">
        <v>0</v>
      </c>
      <c r="R903">
        <v>0</v>
      </c>
      <c r="S903">
        <v>0</v>
      </c>
      <c r="T903" t="s">
        <v>57</v>
      </c>
      <c r="U903" t="s">
        <v>57</v>
      </c>
      <c r="V903">
        <v>0</v>
      </c>
      <c r="W903" t="s">
        <v>38</v>
      </c>
      <c r="X903">
        <v>9</v>
      </c>
      <c r="Z903">
        <v>0</v>
      </c>
      <c r="AA903" t="s">
        <v>39</v>
      </c>
      <c r="AB903">
        <v>172.5</v>
      </c>
      <c r="AC903">
        <v>0</v>
      </c>
      <c r="AD903">
        <v>1</v>
      </c>
      <c r="AE903" t="s">
        <v>47</v>
      </c>
      <c r="AF903" s="1">
        <v>42743</v>
      </c>
    </row>
    <row r="904" spans="1:32" x14ac:dyDescent="0.25">
      <c r="A904" t="s">
        <v>41</v>
      </c>
      <c r="B904">
        <v>0</v>
      </c>
      <c r="C904">
        <v>3</v>
      </c>
      <c r="D904">
        <v>2017</v>
      </c>
      <c r="E904" t="s">
        <v>74</v>
      </c>
      <c r="F904">
        <v>1</v>
      </c>
      <c r="G904">
        <v>5</v>
      </c>
      <c r="H904">
        <v>0</v>
      </c>
      <c r="I904">
        <v>3</v>
      </c>
      <c r="J904">
        <v>1</v>
      </c>
      <c r="K904">
        <v>0</v>
      </c>
      <c r="L904">
        <v>0</v>
      </c>
      <c r="M904" t="s">
        <v>34</v>
      </c>
      <c r="N904" t="s">
        <v>71</v>
      </c>
      <c r="O904" t="s">
        <v>44</v>
      </c>
      <c r="P904" t="s">
        <v>45</v>
      </c>
      <c r="Q904">
        <v>0</v>
      </c>
      <c r="R904">
        <v>0</v>
      </c>
      <c r="S904">
        <v>0</v>
      </c>
      <c r="T904" t="s">
        <v>46</v>
      </c>
      <c r="U904" t="s">
        <v>46</v>
      </c>
      <c r="V904">
        <v>0</v>
      </c>
      <c r="W904" t="s">
        <v>38</v>
      </c>
      <c r="X904">
        <v>9</v>
      </c>
      <c r="Z904">
        <v>0</v>
      </c>
      <c r="AA904" t="s">
        <v>39</v>
      </c>
      <c r="AB904">
        <v>90.1</v>
      </c>
      <c r="AC904">
        <v>0</v>
      </c>
      <c r="AD904">
        <v>1</v>
      </c>
      <c r="AE904" t="s">
        <v>40</v>
      </c>
      <c r="AF904" s="1">
        <v>42743</v>
      </c>
    </row>
    <row r="905" spans="1:32" x14ac:dyDescent="0.25">
      <c r="A905" t="s">
        <v>32</v>
      </c>
      <c r="B905">
        <v>0</v>
      </c>
      <c r="C905">
        <v>222</v>
      </c>
      <c r="D905">
        <v>2017</v>
      </c>
      <c r="E905" t="s">
        <v>83</v>
      </c>
      <c r="F905">
        <v>25</v>
      </c>
      <c r="G905">
        <v>23</v>
      </c>
      <c r="H905">
        <v>2</v>
      </c>
      <c r="I905">
        <v>3</v>
      </c>
      <c r="J905">
        <v>2</v>
      </c>
      <c r="K905">
        <v>0</v>
      </c>
      <c r="L905">
        <v>0</v>
      </c>
      <c r="M905" t="s">
        <v>34</v>
      </c>
      <c r="N905" t="s">
        <v>35</v>
      </c>
      <c r="O905" t="s">
        <v>44</v>
      </c>
      <c r="P905" t="s">
        <v>45</v>
      </c>
      <c r="Q905">
        <v>0</v>
      </c>
      <c r="R905">
        <v>0</v>
      </c>
      <c r="S905">
        <v>0</v>
      </c>
      <c r="T905" t="s">
        <v>46</v>
      </c>
      <c r="U905" t="s">
        <v>46</v>
      </c>
      <c r="V905">
        <v>0</v>
      </c>
      <c r="W905" t="s">
        <v>38</v>
      </c>
      <c r="X905">
        <v>241</v>
      </c>
      <c r="Z905">
        <v>0</v>
      </c>
      <c r="AA905" t="s">
        <v>39</v>
      </c>
      <c r="AB905">
        <v>76.23</v>
      </c>
      <c r="AC905">
        <v>0</v>
      </c>
      <c r="AD905">
        <v>1</v>
      </c>
      <c r="AE905" t="s">
        <v>40</v>
      </c>
      <c r="AF905" s="1">
        <v>42914</v>
      </c>
    </row>
    <row r="906" spans="1:32" x14ac:dyDescent="0.25">
      <c r="A906" t="s">
        <v>41</v>
      </c>
      <c r="B906">
        <v>1</v>
      </c>
      <c r="C906">
        <v>128</v>
      </c>
      <c r="D906">
        <v>2017</v>
      </c>
      <c r="E906" t="s">
        <v>67</v>
      </c>
      <c r="F906">
        <v>31</v>
      </c>
      <c r="G906">
        <v>4</v>
      </c>
      <c r="H906">
        <v>0</v>
      </c>
      <c r="I906">
        <v>1</v>
      </c>
      <c r="J906">
        <v>3</v>
      </c>
      <c r="K906">
        <v>0</v>
      </c>
      <c r="L906">
        <v>0</v>
      </c>
      <c r="M906" t="s">
        <v>34</v>
      </c>
      <c r="N906" t="s">
        <v>35</v>
      </c>
      <c r="O906" t="s">
        <v>44</v>
      </c>
      <c r="P906" t="s">
        <v>45</v>
      </c>
      <c r="Q906">
        <v>0</v>
      </c>
      <c r="R906">
        <v>0</v>
      </c>
      <c r="S906">
        <v>0</v>
      </c>
      <c r="T906" t="s">
        <v>57</v>
      </c>
      <c r="U906" t="s">
        <v>57</v>
      </c>
      <c r="V906">
        <v>0</v>
      </c>
      <c r="W906" t="s">
        <v>38</v>
      </c>
      <c r="X906">
        <v>9</v>
      </c>
      <c r="Z906">
        <v>0</v>
      </c>
      <c r="AA906" t="s">
        <v>39</v>
      </c>
      <c r="AB906">
        <v>195</v>
      </c>
      <c r="AC906">
        <v>0</v>
      </c>
      <c r="AD906">
        <v>0</v>
      </c>
      <c r="AE906" t="s">
        <v>47</v>
      </c>
      <c r="AF906" s="1">
        <v>42928</v>
      </c>
    </row>
    <row r="907" spans="1:32" x14ac:dyDescent="0.25">
      <c r="A907" t="s">
        <v>41</v>
      </c>
      <c r="B907">
        <v>1</v>
      </c>
      <c r="C907">
        <v>40</v>
      </c>
      <c r="D907">
        <v>2017</v>
      </c>
      <c r="E907" t="s">
        <v>52</v>
      </c>
      <c r="F907">
        <v>13</v>
      </c>
      <c r="G907">
        <v>29</v>
      </c>
      <c r="H907">
        <v>0</v>
      </c>
      <c r="I907">
        <v>3</v>
      </c>
      <c r="J907">
        <v>2</v>
      </c>
      <c r="K907">
        <v>0</v>
      </c>
      <c r="L907">
        <v>0</v>
      </c>
      <c r="M907" t="s">
        <v>34</v>
      </c>
      <c r="N907" t="s">
        <v>70</v>
      </c>
      <c r="O907" t="s">
        <v>44</v>
      </c>
      <c r="P907" t="s">
        <v>45</v>
      </c>
      <c r="Q907">
        <v>0</v>
      </c>
      <c r="R907">
        <v>0</v>
      </c>
      <c r="S907">
        <v>0</v>
      </c>
      <c r="T907" t="s">
        <v>72</v>
      </c>
      <c r="U907" t="s">
        <v>72</v>
      </c>
      <c r="V907">
        <v>0</v>
      </c>
      <c r="W907" t="s">
        <v>38</v>
      </c>
      <c r="X907">
        <v>9</v>
      </c>
      <c r="Z907">
        <v>0</v>
      </c>
      <c r="AA907" t="s">
        <v>39</v>
      </c>
      <c r="AB907">
        <v>158</v>
      </c>
      <c r="AC907">
        <v>0</v>
      </c>
      <c r="AD907">
        <v>0</v>
      </c>
      <c r="AE907" t="s">
        <v>47</v>
      </c>
      <c r="AF907" s="1">
        <v>42813</v>
      </c>
    </row>
    <row r="908" spans="1:32" x14ac:dyDescent="0.25">
      <c r="A908" t="s">
        <v>32</v>
      </c>
      <c r="B908">
        <v>0</v>
      </c>
      <c r="C908">
        <v>34</v>
      </c>
      <c r="D908">
        <v>2016</v>
      </c>
      <c r="E908" t="s">
        <v>52</v>
      </c>
      <c r="F908">
        <v>11</v>
      </c>
      <c r="G908">
        <v>8</v>
      </c>
      <c r="H908">
        <v>2</v>
      </c>
      <c r="I908">
        <v>5</v>
      </c>
      <c r="J908">
        <v>2</v>
      </c>
      <c r="K908">
        <v>0</v>
      </c>
      <c r="L908">
        <v>0</v>
      </c>
      <c r="M908" t="s">
        <v>90</v>
      </c>
      <c r="N908" t="s">
        <v>35</v>
      </c>
      <c r="O908" t="s">
        <v>49</v>
      </c>
      <c r="P908" t="s">
        <v>45</v>
      </c>
      <c r="Q908">
        <v>0</v>
      </c>
      <c r="R908">
        <v>0</v>
      </c>
      <c r="S908">
        <v>0</v>
      </c>
      <c r="T908" t="s">
        <v>72</v>
      </c>
      <c r="U908" t="s">
        <v>72</v>
      </c>
      <c r="V908">
        <v>0</v>
      </c>
      <c r="W908" t="s">
        <v>38</v>
      </c>
      <c r="X908">
        <v>115</v>
      </c>
      <c r="Z908">
        <v>0</v>
      </c>
      <c r="AA908" t="s">
        <v>39</v>
      </c>
      <c r="AB908">
        <v>83.33</v>
      </c>
      <c r="AC908">
        <v>0</v>
      </c>
      <c r="AD908">
        <v>1</v>
      </c>
      <c r="AE908" t="s">
        <v>40</v>
      </c>
      <c r="AF908" s="1">
        <v>42444</v>
      </c>
    </row>
    <row r="909" spans="1:32" x14ac:dyDescent="0.25">
      <c r="A909" t="s">
        <v>41</v>
      </c>
      <c r="B909">
        <v>0</v>
      </c>
      <c r="C909">
        <v>8</v>
      </c>
      <c r="D909">
        <v>2015</v>
      </c>
      <c r="E909" t="s">
        <v>59</v>
      </c>
      <c r="F909">
        <v>44</v>
      </c>
      <c r="G909">
        <v>29</v>
      </c>
      <c r="H909">
        <v>1</v>
      </c>
      <c r="I909">
        <v>3</v>
      </c>
      <c r="J909">
        <v>2</v>
      </c>
      <c r="K909">
        <v>0</v>
      </c>
      <c r="L909">
        <v>0</v>
      </c>
      <c r="M909" t="s">
        <v>55</v>
      </c>
      <c r="N909" t="s">
        <v>35</v>
      </c>
      <c r="O909" t="s">
        <v>44</v>
      </c>
      <c r="P909" t="s">
        <v>45</v>
      </c>
      <c r="Q909">
        <v>0</v>
      </c>
      <c r="R909">
        <v>0</v>
      </c>
      <c r="S909">
        <v>0</v>
      </c>
      <c r="T909" t="s">
        <v>46</v>
      </c>
      <c r="U909" t="s">
        <v>46</v>
      </c>
      <c r="V909">
        <v>0</v>
      </c>
      <c r="W909" t="s">
        <v>38</v>
      </c>
      <c r="X909">
        <v>9</v>
      </c>
      <c r="Z909">
        <v>0</v>
      </c>
      <c r="AA909" t="s">
        <v>73</v>
      </c>
      <c r="AB909">
        <v>94.24</v>
      </c>
      <c r="AC909">
        <v>0</v>
      </c>
      <c r="AD909">
        <v>0</v>
      </c>
      <c r="AE909" t="s">
        <v>40</v>
      </c>
      <c r="AF909" s="1">
        <v>42310</v>
      </c>
    </row>
    <row r="910" spans="1:32" x14ac:dyDescent="0.25">
      <c r="A910" t="s">
        <v>41</v>
      </c>
      <c r="B910">
        <v>1</v>
      </c>
      <c r="C910">
        <v>196</v>
      </c>
      <c r="D910">
        <v>2016</v>
      </c>
      <c r="E910" t="s">
        <v>67</v>
      </c>
      <c r="F910">
        <v>32</v>
      </c>
      <c r="G910">
        <v>4</v>
      </c>
      <c r="H910">
        <v>0</v>
      </c>
      <c r="I910">
        <v>3</v>
      </c>
      <c r="J910">
        <v>2</v>
      </c>
      <c r="K910">
        <v>0</v>
      </c>
      <c r="L910">
        <v>0</v>
      </c>
      <c r="M910" t="s">
        <v>34</v>
      </c>
      <c r="N910" t="s">
        <v>63</v>
      </c>
      <c r="O910" t="s">
        <v>44</v>
      </c>
      <c r="P910" t="s">
        <v>45</v>
      </c>
      <c r="Q910">
        <v>0</v>
      </c>
      <c r="R910">
        <v>0</v>
      </c>
      <c r="S910">
        <v>0</v>
      </c>
      <c r="T910" t="s">
        <v>46</v>
      </c>
      <c r="U910" t="s">
        <v>46</v>
      </c>
      <c r="V910">
        <v>0</v>
      </c>
      <c r="W910" t="s">
        <v>38</v>
      </c>
      <c r="X910">
        <v>9</v>
      </c>
      <c r="Z910">
        <v>0</v>
      </c>
      <c r="AA910" t="s">
        <v>39</v>
      </c>
      <c r="AB910">
        <v>105.3</v>
      </c>
      <c r="AC910">
        <v>0</v>
      </c>
      <c r="AD910">
        <v>0</v>
      </c>
      <c r="AE910" t="s">
        <v>47</v>
      </c>
      <c r="AF910" s="1">
        <v>42394</v>
      </c>
    </row>
    <row r="911" spans="1:32" x14ac:dyDescent="0.25">
      <c r="A911" t="s">
        <v>32</v>
      </c>
      <c r="B911">
        <v>0</v>
      </c>
      <c r="C911">
        <v>3</v>
      </c>
      <c r="D911">
        <v>2016</v>
      </c>
      <c r="E911" t="s">
        <v>33</v>
      </c>
      <c r="F911">
        <v>49</v>
      </c>
      <c r="G911">
        <v>1</v>
      </c>
      <c r="H911">
        <v>0</v>
      </c>
      <c r="I911">
        <v>2</v>
      </c>
      <c r="J911">
        <v>2</v>
      </c>
      <c r="K911">
        <v>0</v>
      </c>
      <c r="L911">
        <v>0</v>
      </c>
      <c r="M911" t="s">
        <v>34</v>
      </c>
      <c r="N911" t="s">
        <v>43</v>
      </c>
      <c r="O911" t="s">
        <v>44</v>
      </c>
      <c r="P911" t="s">
        <v>45</v>
      </c>
      <c r="Q911">
        <v>0</v>
      </c>
      <c r="R911">
        <v>0</v>
      </c>
      <c r="S911">
        <v>0</v>
      </c>
      <c r="T911" t="s">
        <v>46</v>
      </c>
      <c r="U911" t="s">
        <v>57</v>
      </c>
      <c r="V911">
        <v>0</v>
      </c>
      <c r="W911" t="s">
        <v>38</v>
      </c>
      <c r="X911">
        <v>240</v>
      </c>
      <c r="Z911">
        <v>0</v>
      </c>
      <c r="AA911" t="s">
        <v>39</v>
      </c>
      <c r="AB911">
        <v>48</v>
      </c>
      <c r="AC911">
        <v>0</v>
      </c>
      <c r="AD911">
        <v>1</v>
      </c>
      <c r="AE911" t="s">
        <v>40</v>
      </c>
      <c r="AF911" s="1">
        <v>42707</v>
      </c>
    </row>
    <row r="912" spans="1:32" x14ac:dyDescent="0.25">
      <c r="A912" t="s">
        <v>32</v>
      </c>
      <c r="B912">
        <v>0</v>
      </c>
      <c r="C912">
        <v>274</v>
      </c>
      <c r="D912">
        <v>2017</v>
      </c>
      <c r="E912" t="s">
        <v>67</v>
      </c>
      <c r="F912">
        <v>33</v>
      </c>
      <c r="G912">
        <v>16</v>
      </c>
      <c r="H912">
        <v>2</v>
      </c>
      <c r="I912">
        <v>4</v>
      </c>
      <c r="J912">
        <v>2</v>
      </c>
      <c r="K912">
        <v>1</v>
      </c>
      <c r="L912">
        <v>0</v>
      </c>
      <c r="M912" t="s">
        <v>60</v>
      </c>
      <c r="N912" t="s">
        <v>43</v>
      </c>
      <c r="O912" t="s">
        <v>36</v>
      </c>
      <c r="P912" t="s">
        <v>36</v>
      </c>
      <c r="Q912">
        <v>0</v>
      </c>
      <c r="R912">
        <v>0</v>
      </c>
      <c r="S912">
        <v>0</v>
      </c>
      <c r="T912" t="s">
        <v>104</v>
      </c>
      <c r="U912" t="s">
        <v>104</v>
      </c>
      <c r="V912">
        <v>0</v>
      </c>
      <c r="W912" t="s">
        <v>38</v>
      </c>
      <c r="X912">
        <v>250</v>
      </c>
      <c r="Z912">
        <v>0</v>
      </c>
      <c r="AA912" t="s">
        <v>39</v>
      </c>
      <c r="AB912">
        <v>224.1</v>
      </c>
      <c r="AC912">
        <v>1</v>
      </c>
      <c r="AD912">
        <v>3</v>
      </c>
      <c r="AE912" t="s">
        <v>40</v>
      </c>
      <c r="AF912" s="1">
        <v>42969</v>
      </c>
    </row>
    <row r="913" spans="1:32" x14ac:dyDescent="0.25">
      <c r="A913" t="s">
        <v>32</v>
      </c>
      <c r="B913">
        <v>0</v>
      </c>
      <c r="C913">
        <v>6</v>
      </c>
      <c r="D913">
        <v>2016</v>
      </c>
      <c r="E913" t="s">
        <v>52</v>
      </c>
      <c r="F913">
        <v>12</v>
      </c>
      <c r="G913">
        <v>15</v>
      </c>
      <c r="H913">
        <v>0</v>
      </c>
      <c r="I913">
        <v>2</v>
      </c>
      <c r="J913">
        <v>1</v>
      </c>
      <c r="K913">
        <v>0</v>
      </c>
      <c r="L913">
        <v>0</v>
      </c>
      <c r="M913" t="s">
        <v>34</v>
      </c>
      <c r="O913" t="s">
        <v>76</v>
      </c>
      <c r="P913" t="s">
        <v>76</v>
      </c>
      <c r="Q913">
        <v>0</v>
      </c>
      <c r="R913">
        <v>0</v>
      </c>
      <c r="S913">
        <v>0</v>
      </c>
      <c r="T913" t="s">
        <v>46</v>
      </c>
      <c r="U913" t="s">
        <v>57</v>
      </c>
      <c r="V913">
        <v>0</v>
      </c>
      <c r="W913" t="s">
        <v>38</v>
      </c>
      <c r="Z913">
        <v>0</v>
      </c>
      <c r="AA913" t="s">
        <v>39</v>
      </c>
      <c r="AB913">
        <v>30</v>
      </c>
      <c r="AC913">
        <v>0</v>
      </c>
      <c r="AD913">
        <v>0</v>
      </c>
      <c r="AE913" t="s">
        <v>40</v>
      </c>
      <c r="AF913" s="1">
        <v>42446</v>
      </c>
    </row>
    <row r="914" spans="1:32" x14ac:dyDescent="0.25">
      <c r="A914" t="s">
        <v>41</v>
      </c>
      <c r="B914">
        <v>0</v>
      </c>
      <c r="C914">
        <v>5</v>
      </c>
      <c r="D914">
        <v>2015</v>
      </c>
      <c r="E914" t="s">
        <v>33</v>
      </c>
      <c r="F914">
        <v>50</v>
      </c>
      <c r="G914">
        <v>9</v>
      </c>
      <c r="H914">
        <v>0</v>
      </c>
      <c r="I914">
        <v>3</v>
      </c>
      <c r="J914">
        <v>2</v>
      </c>
      <c r="K914">
        <v>0</v>
      </c>
      <c r="L914">
        <v>0</v>
      </c>
      <c r="M914" t="s">
        <v>34</v>
      </c>
      <c r="N914" t="s">
        <v>70</v>
      </c>
      <c r="O914" t="s">
        <v>49</v>
      </c>
      <c r="P914" t="s">
        <v>45</v>
      </c>
      <c r="Q914">
        <v>0</v>
      </c>
      <c r="R914">
        <v>0</v>
      </c>
      <c r="S914">
        <v>0</v>
      </c>
      <c r="T914" t="s">
        <v>46</v>
      </c>
      <c r="U914" t="s">
        <v>57</v>
      </c>
      <c r="V914">
        <v>0</v>
      </c>
      <c r="W914" t="s">
        <v>38</v>
      </c>
      <c r="X914">
        <v>28</v>
      </c>
      <c r="Z914">
        <v>0</v>
      </c>
      <c r="AA914" t="s">
        <v>51</v>
      </c>
      <c r="AB914">
        <v>58</v>
      </c>
      <c r="AC914">
        <v>0</v>
      </c>
      <c r="AD914">
        <v>1</v>
      </c>
      <c r="AE914" t="s">
        <v>40</v>
      </c>
      <c r="AF914" s="1">
        <v>42350</v>
      </c>
    </row>
    <row r="915" spans="1:32" x14ac:dyDescent="0.25">
      <c r="A915" t="s">
        <v>32</v>
      </c>
      <c r="B915">
        <v>0</v>
      </c>
      <c r="C915">
        <v>0</v>
      </c>
      <c r="D915">
        <v>2015</v>
      </c>
      <c r="E915" t="s">
        <v>62</v>
      </c>
      <c r="F915">
        <v>40</v>
      </c>
      <c r="G915">
        <v>30</v>
      </c>
      <c r="H915">
        <v>0</v>
      </c>
      <c r="I915">
        <v>1</v>
      </c>
      <c r="J915">
        <v>2</v>
      </c>
      <c r="K915">
        <v>0</v>
      </c>
      <c r="L915">
        <v>0</v>
      </c>
      <c r="M915" t="s">
        <v>34</v>
      </c>
      <c r="N915" t="s">
        <v>56</v>
      </c>
      <c r="O915" t="s">
        <v>76</v>
      </c>
      <c r="P915" t="s">
        <v>76</v>
      </c>
      <c r="Q915">
        <v>0</v>
      </c>
      <c r="R915">
        <v>0</v>
      </c>
      <c r="S915">
        <v>0</v>
      </c>
      <c r="T915" t="s">
        <v>84</v>
      </c>
      <c r="U915" t="s">
        <v>84</v>
      </c>
      <c r="V915">
        <v>0</v>
      </c>
      <c r="W915" t="s">
        <v>38</v>
      </c>
      <c r="X915">
        <v>110</v>
      </c>
      <c r="Z915">
        <v>0</v>
      </c>
      <c r="AA915" t="s">
        <v>39</v>
      </c>
      <c r="AB915">
        <v>90.1</v>
      </c>
      <c r="AC915">
        <v>0</v>
      </c>
      <c r="AD915">
        <v>0</v>
      </c>
      <c r="AE915" t="s">
        <v>40</v>
      </c>
      <c r="AF915" s="1">
        <v>42278</v>
      </c>
    </row>
    <row r="916" spans="1:32" x14ac:dyDescent="0.25">
      <c r="A916" t="s">
        <v>41</v>
      </c>
      <c r="B916">
        <v>0</v>
      </c>
      <c r="C916">
        <v>219</v>
      </c>
      <c r="D916">
        <v>2017</v>
      </c>
      <c r="E916" t="s">
        <v>83</v>
      </c>
      <c r="F916">
        <v>25</v>
      </c>
      <c r="G916">
        <v>18</v>
      </c>
      <c r="H916">
        <v>2</v>
      </c>
      <c r="I916">
        <v>3</v>
      </c>
      <c r="J916">
        <v>2</v>
      </c>
      <c r="K916">
        <v>0</v>
      </c>
      <c r="L916">
        <v>0</v>
      </c>
      <c r="M916" t="s">
        <v>34</v>
      </c>
      <c r="N916" t="s">
        <v>35</v>
      </c>
      <c r="O916" t="s">
        <v>44</v>
      </c>
      <c r="P916" t="s">
        <v>45</v>
      </c>
      <c r="Q916">
        <v>0</v>
      </c>
      <c r="R916">
        <v>0</v>
      </c>
      <c r="S916">
        <v>0</v>
      </c>
      <c r="T916" t="s">
        <v>46</v>
      </c>
      <c r="U916" t="s">
        <v>46</v>
      </c>
      <c r="V916">
        <v>0</v>
      </c>
      <c r="W916" t="s">
        <v>38</v>
      </c>
      <c r="X916">
        <v>9</v>
      </c>
      <c r="Z916">
        <v>0</v>
      </c>
      <c r="AA916" t="s">
        <v>39</v>
      </c>
      <c r="AB916">
        <v>117</v>
      </c>
      <c r="AC916">
        <v>0</v>
      </c>
      <c r="AD916">
        <v>1</v>
      </c>
      <c r="AE916" t="s">
        <v>40</v>
      </c>
      <c r="AF916" s="1">
        <v>42909</v>
      </c>
    </row>
    <row r="917" spans="1:32" x14ac:dyDescent="0.25">
      <c r="A917" t="s">
        <v>41</v>
      </c>
      <c r="B917">
        <v>0</v>
      </c>
      <c r="C917">
        <v>115</v>
      </c>
      <c r="D917">
        <v>2016</v>
      </c>
      <c r="E917" t="s">
        <v>69</v>
      </c>
      <c r="F917">
        <v>19</v>
      </c>
      <c r="G917">
        <v>4</v>
      </c>
      <c r="H917">
        <v>1</v>
      </c>
      <c r="I917">
        <v>4</v>
      </c>
      <c r="J917">
        <v>2</v>
      </c>
      <c r="K917">
        <v>0</v>
      </c>
      <c r="L917">
        <v>0</v>
      </c>
      <c r="M917" t="s">
        <v>34</v>
      </c>
      <c r="N917" t="s">
        <v>56</v>
      </c>
      <c r="O917" t="s">
        <v>44</v>
      </c>
      <c r="P917" t="s">
        <v>45</v>
      </c>
      <c r="Q917">
        <v>0</v>
      </c>
      <c r="R917">
        <v>0</v>
      </c>
      <c r="S917">
        <v>0</v>
      </c>
      <c r="T917" t="s">
        <v>46</v>
      </c>
      <c r="U917" t="s">
        <v>46</v>
      </c>
      <c r="V917">
        <v>0</v>
      </c>
      <c r="W917" t="s">
        <v>38</v>
      </c>
      <c r="X917">
        <v>9</v>
      </c>
      <c r="Z917">
        <v>0</v>
      </c>
      <c r="AA917" t="s">
        <v>51</v>
      </c>
      <c r="AB917">
        <v>99.45</v>
      </c>
      <c r="AC917">
        <v>0</v>
      </c>
      <c r="AD917">
        <v>1</v>
      </c>
      <c r="AE917" t="s">
        <v>40</v>
      </c>
      <c r="AF917" s="1">
        <v>42499</v>
      </c>
    </row>
    <row r="918" spans="1:32" x14ac:dyDescent="0.25">
      <c r="A918" t="s">
        <v>41</v>
      </c>
      <c r="B918">
        <v>0</v>
      </c>
      <c r="C918">
        <v>115</v>
      </c>
      <c r="D918">
        <v>2016</v>
      </c>
      <c r="E918" t="s">
        <v>54</v>
      </c>
      <c r="F918">
        <v>15</v>
      </c>
      <c r="G918">
        <v>8</v>
      </c>
      <c r="H918">
        <v>0</v>
      </c>
      <c r="I918">
        <v>2</v>
      </c>
      <c r="J918">
        <v>1</v>
      </c>
      <c r="K918">
        <v>0</v>
      </c>
      <c r="L918">
        <v>0</v>
      </c>
      <c r="M918" t="s">
        <v>34</v>
      </c>
      <c r="N918" t="s">
        <v>43</v>
      </c>
      <c r="O918" t="s">
        <v>64</v>
      </c>
      <c r="P918" t="s">
        <v>45</v>
      </c>
      <c r="Q918">
        <v>0</v>
      </c>
      <c r="R918">
        <v>0</v>
      </c>
      <c r="S918">
        <v>0</v>
      </c>
      <c r="T918" t="s">
        <v>46</v>
      </c>
      <c r="U918" t="s">
        <v>46</v>
      </c>
      <c r="V918">
        <v>1</v>
      </c>
      <c r="W918" t="s">
        <v>38</v>
      </c>
      <c r="X918">
        <v>1</v>
      </c>
      <c r="Z918">
        <v>34</v>
      </c>
      <c r="AA918" t="s">
        <v>51</v>
      </c>
      <c r="AB918">
        <v>57.5</v>
      </c>
      <c r="AC918">
        <v>0</v>
      </c>
      <c r="AD918">
        <v>0</v>
      </c>
      <c r="AE918" t="s">
        <v>40</v>
      </c>
      <c r="AF918" s="1">
        <v>42470</v>
      </c>
    </row>
    <row r="919" spans="1:32" x14ac:dyDescent="0.25">
      <c r="A919" t="s">
        <v>32</v>
      </c>
      <c r="B919">
        <v>0</v>
      </c>
      <c r="C919">
        <v>77</v>
      </c>
      <c r="D919">
        <v>2015</v>
      </c>
      <c r="E919" t="s">
        <v>62</v>
      </c>
      <c r="F919">
        <v>40</v>
      </c>
      <c r="G919">
        <v>28</v>
      </c>
      <c r="H919">
        <v>2</v>
      </c>
      <c r="I919">
        <v>5</v>
      </c>
      <c r="J919">
        <v>2</v>
      </c>
      <c r="K919">
        <v>0</v>
      </c>
      <c r="L919">
        <v>0</v>
      </c>
      <c r="M919" t="s">
        <v>60</v>
      </c>
      <c r="N919" t="s">
        <v>115</v>
      </c>
      <c r="O919" t="s">
        <v>44</v>
      </c>
      <c r="P919" t="s">
        <v>45</v>
      </c>
      <c r="Q919">
        <v>0</v>
      </c>
      <c r="R919">
        <v>0</v>
      </c>
      <c r="S919">
        <v>0</v>
      </c>
      <c r="T919" t="s">
        <v>57</v>
      </c>
      <c r="U919" t="s">
        <v>57</v>
      </c>
      <c r="V919">
        <v>0</v>
      </c>
      <c r="W919" t="s">
        <v>38</v>
      </c>
      <c r="X919">
        <v>241</v>
      </c>
      <c r="Z919">
        <v>0</v>
      </c>
      <c r="AA919" t="s">
        <v>39</v>
      </c>
      <c r="AB919">
        <v>78.099999999999994</v>
      </c>
      <c r="AC919">
        <v>0</v>
      </c>
      <c r="AD919">
        <v>2</v>
      </c>
      <c r="AE919" t="s">
        <v>40</v>
      </c>
      <c r="AF919" s="1">
        <v>42282</v>
      </c>
    </row>
    <row r="920" spans="1:32" x14ac:dyDescent="0.25">
      <c r="A920" t="s">
        <v>41</v>
      </c>
      <c r="B920">
        <v>1</v>
      </c>
      <c r="C920">
        <v>302</v>
      </c>
      <c r="D920">
        <v>2016</v>
      </c>
      <c r="E920" t="s">
        <v>59</v>
      </c>
      <c r="F920">
        <v>41</v>
      </c>
      <c r="G920">
        <v>6</v>
      </c>
      <c r="H920">
        <v>0</v>
      </c>
      <c r="I920">
        <v>3</v>
      </c>
      <c r="J920">
        <v>2</v>
      </c>
      <c r="K920">
        <v>0</v>
      </c>
      <c r="L920">
        <v>0</v>
      </c>
      <c r="M920" t="s">
        <v>34</v>
      </c>
      <c r="N920" t="s">
        <v>43</v>
      </c>
      <c r="O920" t="s">
        <v>49</v>
      </c>
      <c r="P920" t="s">
        <v>45</v>
      </c>
      <c r="Q920">
        <v>0</v>
      </c>
      <c r="R920">
        <v>1</v>
      </c>
      <c r="S920">
        <v>0</v>
      </c>
      <c r="T920" t="s">
        <v>46</v>
      </c>
      <c r="U920" t="s">
        <v>46</v>
      </c>
      <c r="V920">
        <v>0</v>
      </c>
      <c r="W920" t="s">
        <v>68</v>
      </c>
      <c r="X920">
        <v>3</v>
      </c>
      <c r="Z920">
        <v>0</v>
      </c>
      <c r="AA920" t="s">
        <v>39</v>
      </c>
      <c r="AB920">
        <v>105</v>
      </c>
      <c r="AC920">
        <v>0</v>
      </c>
      <c r="AD920">
        <v>0</v>
      </c>
      <c r="AE920" t="s">
        <v>47</v>
      </c>
      <c r="AF920" s="1">
        <v>42367</v>
      </c>
    </row>
    <row r="921" spans="1:32" x14ac:dyDescent="0.25">
      <c r="A921" t="s">
        <v>32</v>
      </c>
      <c r="B921">
        <v>0</v>
      </c>
      <c r="C921">
        <v>1</v>
      </c>
      <c r="D921">
        <v>2017</v>
      </c>
      <c r="E921" t="s">
        <v>66</v>
      </c>
      <c r="F921">
        <v>6</v>
      </c>
      <c r="G921">
        <v>11</v>
      </c>
      <c r="H921">
        <v>0</v>
      </c>
      <c r="I921">
        <v>1</v>
      </c>
      <c r="J921">
        <v>2</v>
      </c>
      <c r="K921">
        <v>0</v>
      </c>
      <c r="L921">
        <v>0</v>
      </c>
      <c r="M921" t="s">
        <v>34</v>
      </c>
      <c r="N921" t="s">
        <v>43</v>
      </c>
      <c r="O921" t="s">
        <v>44</v>
      </c>
      <c r="P921" t="s">
        <v>45</v>
      </c>
      <c r="Q921">
        <v>1</v>
      </c>
      <c r="R921">
        <v>0</v>
      </c>
      <c r="S921">
        <v>1</v>
      </c>
      <c r="T921" t="s">
        <v>46</v>
      </c>
      <c r="U921" t="s">
        <v>46</v>
      </c>
      <c r="V921">
        <v>0</v>
      </c>
      <c r="W921" t="s">
        <v>38</v>
      </c>
      <c r="X921">
        <v>240</v>
      </c>
      <c r="Z921">
        <v>0</v>
      </c>
      <c r="AA921" t="s">
        <v>39</v>
      </c>
      <c r="AB921">
        <v>48</v>
      </c>
      <c r="AC921">
        <v>0</v>
      </c>
      <c r="AD921">
        <v>1</v>
      </c>
      <c r="AE921" t="s">
        <v>40</v>
      </c>
      <c r="AF921" s="1">
        <v>42778</v>
      </c>
    </row>
    <row r="922" spans="1:32" x14ac:dyDescent="0.25">
      <c r="A922" t="s">
        <v>32</v>
      </c>
      <c r="B922">
        <v>0</v>
      </c>
      <c r="C922">
        <v>129</v>
      </c>
      <c r="D922">
        <v>2016</v>
      </c>
      <c r="E922" t="s">
        <v>42</v>
      </c>
      <c r="F922">
        <v>29</v>
      </c>
      <c r="G922">
        <v>10</v>
      </c>
      <c r="H922">
        <v>2</v>
      </c>
      <c r="I922">
        <v>4</v>
      </c>
      <c r="J922">
        <v>2</v>
      </c>
      <c r="K922">
        <v>0</v>
      </c>
      <c r="L922">
        <v>0</v>
      </c>
      <c r="M922" t="s">
        <v>34</v>
      </c>
      <c r="N922" t="s">
        <v>43</v>
      </c>
      <c r="O922" t="s">
        <v>44</v>
      </c>
      <c r="P922" t="s">
        <v>45</v>
      </c>
      <c r="Q922">
        <v>0</v>
      </c>
      <c r="R922">
        <v>0</v>
      </c>
      <c r="S922">
        <v>0</v>
      </c>
      <c r="T922" t="s">
        <v>46</v>
      </c>
      <c r="U922" t="s">
        <v>46</v>
      </c>
      <c r="V922">
        <v>0</v>
      </c>
      <c r="W922" t="s">
        <v>38</v>
      </c>
      <c r="X922">
        <v>240</v>
      </c>
      <c r="Z922">
        <v>0</v>
      </c>
      <c r="AA922" t="s">
        <v>39</v>
      </c>
      <c r="AB922">
        <v>158.66999999999999</v>
      </c>
      <c r="AC922">
        <v>1</v>
      </c>
      <c r="AD922">
        <v>3</v>
      </c>
      <c r="AE922" t="s">
        <v>40</v>
      </c>
      <c r="AF922" s="1">
        <v>42567</v>
      </c>
    </row>
    <row r="923" spans="1:32" x14ac:dyDescent="0.25">
      <c r="A923" t="s">
        <v>41</v>
      </c>
      <c r="B923">
        <v>0</v>
      </c>
      <c r="C923">
        <v>0</v>
      </c>
      <c r="D923">
        <v>2017</v>
      </c>
      <c r="E923" t="s">
        <v>83</v>
      </c>
      <c r="F923">
        <v>22</v>
      </c>
      <c r="G923">
        <v>1</v>
      </c>
      <c r="H923">
        <v>0</v>
      </c>
      <c r="I923">
        <v>1</v>
      </c>
      <c r="J923">
        <v>2</v>
      </c>
      <c r="K923">
        <v>0</v>
      </c>
      <c r="L923">
        <v>0</v>
      </c>
      <c r="M923" t="s">
        <v>55</v>
      </c>
      <c r="N923" t="s">
        <v>71</v>
      </c>
      <c r="O923" t="s">
        <v>44</v>
      </c>
      <c r="P923" t="s">
        <v>45</v>
      </c>
      <c r="Q923">
        <v>0</v>
      </c>
      <c r="R923">
        <v>0</v>
      </c>
      <c r="S923">
        <v>0</v>
      </c>
      <c r="T923" t="s">
        <v>46</v>
      </c>
      <c r="U923" t="s">
        <v>46</v>
      </c>
      <c r="V923">
        <v>0</v>
      </c>
      <c r="W923" t="s">
        <v>38</v>
      </c>
      <c r="X923">
        <v>152</v>
      </c>
      <c r="Z923">
        <v>0</v>
      </c>
      <c r="AA923" t="s">
        <v>39</v>
      </c>
      <c r="AB923">
        <v>92.98</v>
      </c>
      <c r="AC923">
        <v>0</v>
      </c>
      <c r="AD923">
        <v>0</v>
      </c>
      <c r="AE923" t="s">
        <v>40</v>
      </c>
      <c r="AF923" s="1">
        <v>42888</v>
      </c>
    </row>
    <row r="924" spans="1:32" x14ac:dyDescent="0.25">
      <c r="A924" t="s">
        <v>41</v>
      </c>
      <c r="B924">
        <v>0</v>
      </c>
      <c r="C924">
        <v>9</v>
      </c>
      <c r="D924">
        <v>2016</v>
      </c>
      <c r="E924" t="s">
        <v>83</v>
      </c>
      <c r="F924">
        <v>25</v>
      </c>
      <c r="G924">
        <v>17</v>
      </c>
      <c r="H924">
        <v>1</v>
      </c>
      <c r="I924">
        <v>2</v>
      </c>
      <c r="J924">
        <v>2</v>
      </c>
      <c r="K924">
        <v>1</v>
      </c>
      <c r="L924">
        <v>0</v>
      </c>
      <c r="M924" t="s">
        <v>34</v>
      </c>
      <c r="N924" t="s">
        <v>35</v>
      </c>
      <c r="O924" t="s">
        <v>49</v>
      </c>
      <c r="P924" t="s">
        <v>45</v>
      </c>
      <c r="Q924">
        <v>0</v>
      </c>
      <c r="R924">
        <v>0</v>
      </c>
      <c r="S924">
        <v>0</v>
      </c>
      <c r="T924" t="s">
        <v>46</v>
      </c>
      <c r="U924" t="s">
        <v>57</v>
      </c>
      <c r="V924">
        <v>0</v>
      </c>
      <c r="W924" t="s">
        <v>38</v>
      </c>
      <c r="X924">
        <v>138</v>
      </c>
      <c r="Z924">
        <v>0</v>
      </c>
      <c r="AA924" t="s">
        <v>39</v>
      </c>
      <c r="AB924">
        <v>95</v>
      </c>
      <c r="AC924">
        <v>0</v>
      </c>
      <c r="AD924">
        <v>1</v>
      </c>
      <c r="AE924" t="s">
        <v>40</v>
      </c>
      <c r="AF924" s="1">
        <v>42541</v>
      </c>
    </row>
    <row r="925" spans="1:32" x14ac:dyDescent="0.25">
      <c r="A925" t="s">
        <v>41</v>
      </c>
      <c r="B925">
        <v>0</v>
      </c>
      <c r="C925">
        <v>28</v>
      </c>
      <c r="D925">
        <v>2016</v>
      </c>
      <c r="E925" t="s">
        <v>83</v>
      </c>
      <c r="F925">
        <v>25</v>
      </c>
      <c r="G925">
        <v>14</v>
      </c>
      <c r="H925">
        <v>0</v>
      </c>
      <c r="I925">
        <v>3</v>
      </c>
      <c r="J925">
        <v>1</v>
      </c>
      <c r="K925">
        <v>0</v>
      </c>
      <c r="L925">
        <v>0</v>
      </c>
      <c r="M925" t="s">
        <v>34</v>
      </c>
      <c r="N925" t="s">
        <v>78</v>
      </c>
      <c r="O925" t="s">
        <v>44</v>
      </c>
      <c r="P925" t="s">
        <v>45</v>
      </c>
      <c r="Q925">
        <v>0</v>
      </c>
      <c r="R925">
        <v>0</v>
      </c>
      <c r="S925">
        <v>0</v>
      </c>
      <c r="T925" t="s">
        <v>57</v>
      </c>
      <c r="U925" t="s">
        <v>57</v>
      </c>
      <c r="V925">
        <v>0</v>
      </c>
      <c r="W925" t="s">
        <v>38</v>
      </c>
      <c r="X925">
        <v>7</v>
      </c>
      <c r="Z925">
        <v>0</v>
      </c>
      <c r="AA925" t="s">
        <v>39</v>
      </c>
      <c r="AB925">
        <v>108.42</v>
      </c>
      <c r="AC925">
        <v>0</v>
      </c>
      <c r="AD925">
        <v>1</v>
      </c>
      <c r="AE925" t="s">
        <v>40</v>
      </c>
      <c r="AF925" s="1">
        <v>42538</v>
      </c>
    </row>
    <row r="926" spans="1:32" x14ac:dyDescent="0.25">
      <c r="A926" t="s">
        <v>41</v>
      </c>
      <c r="B926">
        <v>0</v>
      </c>
      <c r="C926">
        <v>10</v>
      </c>
      <c r="D926">
        <v>2017</v>
      </c>
      <c r="E926" t="s">
        <v>42</v>
      </c>
      <c r="F926">
        <v>27</v>
      </c>
      <c r="G926">
        <v>6</v>
      </c>
      <c r="H926">
        <v>0</v>
      </c>
      <c r="I926">
        <v>1</v>
      </c>
      <c r="J926">
        <v>1</v>
      </c>
      <c r="K926">
        <v>0</v>
      </c>
      <c r="L926">
        <v>0</v>
      </c>
      <c r="M926" t="s">
        <v>34</v>
      </c>
      <c r="N926" t="s">
        <v>43</v>
      </c>
      <c r="O926" t="s">
        <v>76</v>
      </c>
      <c r="P926" t="s">
        <v>76</v>
      </c>
      <c r="Q926">
        <v>0</v>
      </c>
      <c r="R926">
        <v>0</v>
      </c>
      <c r="S926">
        <v>0</v>
      </c>
      <c r="T926" t="s">
        <v>46</v>
      </c>
      <c r="U926" t="s">
        <v>46</v>
      </c>
      <c r="V926">
        <v>0</v>
      </c>
      <c r="W926" t="s">
        <v>38</v>
      </c>
      <c r="X926">
        <v>219</v>
      </c>
      <c r="Z926">
        <v>0</v>
      </c>
      <c r="AA926" t="s">
        <v>51</v>
      </c>
      <c r="AB926">
        <v>95</v>
      </c>
      <c r="AC926">
        <v>0</v>
      </c>
      <c r="AD926">
        <v>0</v>
      </c>
      <c r="AE926" t="s">
        <v>40</v>
      </c>
      <c r="AF926" s="1">
        <v>42923</v>
      </c>
    </row>
    <row r="927" spans="1:32" x14ac:dyDescent="0.25">
      <c r="A927" t="s">
        <v>32</v>
      </c>
      <c r="B927">
        <v>0</v>
      </c>
      <c r="C927">
        <v>295</v>
      </c>
      <c r="D927">
        <v>2017</v>
      </c>
      <c r="E927" t="s">
        <v>52</v>
      </c>
      <c r="F927">
        <v>11</v>
      </c>
      <c r="G927">
        <v>15</v>
      </c>
      <c r="H927">
        <v>2</v>
      </c>
      <c r="I927">
        <v>4</v>
      </c>
      <c r="J927">
        <v>1</v>
      </c>
      <c r="K927">
        <v>0</v>
      </c>
      <c r="L927">
        <v>0</v>
      </c>
      <c r="M927" t="s">
        <v>34</v>
      </c>
      <c r="N927" t="s">
        <v>56</v>
      </c>
      <c r="O927" t="s">
        <v>44</v>
      </c>
      <c r="P927" t="s">
        <v>45</v>
      </c>
      <c r="Q927">
        <v>0</v>
      </c>
      <c r="R927">
        <v>0</v>
      </c>
      <c r="S927">
        <v>0</v>
      </c>
      <c r="T927" t="s">
        <v>46</v>
      </c>
      <c r="U927" t="s">
        <v>46</v>
      </c>
      <c r="V927">
        <v>0</v>
      </c>
      <c r="W927" t="s">
        <v>38</v>
      </c>
      <c r="X927">
        <v>314</v>
      </c>
      <c r="Z927">
        <v>0</v>
      </c>
      <c r="AA927" t="s">
        <v>39</v>
      </c>
      <c r="AB927">
        <v>26.64</v>
      </c>
      <c r="AC927">
        <v>0</v>
      </c>
      <c r="AD927">
        <v>1</v>
      </c>
      <c r="AE927" t="s">
        <v>40</v>
      </c>
      <c r="AF927" s="1">
        <v>42815</v>
      </c>
    </row>
    <row r="928" spans="1:32" x14ac:dyDescent="0.25">
      <c r="A928" t="s">
        <v>41</v>
      </c>
      <c r="B928">
        <v>1</v>
      </c>
      <c r="C928">
        <v>127</v>
      </c>
      <c r="D928">
        <v>2016</v>
      </c>
      <c r="E928" t="s">
        <v>54</v>
      </c>
      <c r="F928">
        <v>18</v>
      </c>
      <c r="G928">
        <v>28</v>
      </c>
      <c r="H928">
        <v>1</v>
      </c>
      <c r="I928">
        <v>3</v>
      </c>
      <c r="J928">
        <v>1</v>
      </c>
      <c r="K928">
        <v>0</v>
      </c>
      <c r="L928">
        <v>0</v>
      </c>
      <c r="M928" t="s">
        <v>34</v>
      </c>
      <c r="N928" t="s">
        <v>43</v>
      </c>
      <c r="O928" t="s">
        <v>49</v>
      </c>
      <c r="P928" t="s">
        <v>45</v>
      </c>
      <c r="Q928">
        <v>0</v>
      </c>
      <c r="R928">
        <v>0</v>
      </c>
      <c r="S928">
        <v>0</v>
      </c>
      <c r="T928" t="s">
        <v>46</v>
      </c>
      <c r="U928" t="s">
        <v>46</v>
      </c>
      <c r="V928">
        <v>0</v>
      </c>
      <c r="W928" t="s">
        <v>38</v>
      </c>
      <c r="X928">
        <v>3</v>
      </c>
      <c r="Z928">
        <v>0</v>
      </c>
      <c r="AA928" t="s">
        <v>51</v>
      </c>
      <c r="AB928">
        <v>80</v>
      </c>
      <c r="AC928">
        <v>0</v>
      </c>
      <c r="AD928">
        <v>0</v>
      </c>
      <c r="AE928" t="s">
        <v>47</v>
      </c>
      <c r="AF928" s="1">
        <v>42410</v>
      </c>
    </row>
    <row r="929" spans="1:32" x14ac:dyDescent="0.25">
      <c r="A929" t="s">
        <v>32</v>
      </c>
      <c r="B929">
        <v>1</v>
      </c>
      <c r="C929">
        <v>22</v>
      </c>
      <c r="D929">
        <v>2017</v>
      </c>
      <c r="E929" t="s">
        <v>54</v>
      </c>
      <c r="F929">
        <v>14</v>
      </c>
      <c r="G929">
        <v>6</v>
      </c>
      <c r="H929">
        <v>0</v>
      </c>
      <c r="I929">
        <v>3</v>
      </c>
      <c r="J929">
        <v>2</v>
      </c>
      <c r="K929">
        <v>0</v>
      </c>
      <c r="L929">
        <v>0</v>
      </c>
      <c r="M929" t="s">
        <v>34</v>
      </c>
      <c r="N929" t="s">
        <v>43</v>
      </c>
      <c r="O929" t="s">
        <v>44</v>
      </c>
      <c r="P929" t="s">
        <v>45</v>
      </c>
      <c r="Q929">
        <v>0</v>
      </c>
      <c r="R929">
        <v>0</v>
      </c>
      <c r="S929">
        <v>0</v>
      </c>
      <c r="T929" t="s">
        <v>72</v>
      </c>
      <c r="U929" t="s">
        <v>72</v>
      </c>
      <c r="V929">
        <v>0</v>
      </c>
      <c r="W929" t="s">
        <v>38</v>
      </c>
      <c r="X929">
        <v>240</v>
      </c>
      <c r="Z929">
        <v>0</v>
      </c>
      <c r="AA929" t="s">
        <v>39</v>
      </c>
      <c r="AB929">
        <v>115</v>
      </c>
      <c r="AC929">
        <v>0</v>
      </c>
      <c r="AD929">
        <v>0</v>
      </c>
      <c r="AE929" t="s">
        <v>47</v>
      </c>
      <c r="AF929" s="1">
        <v>42809</v>
      </c>
    </row>
    <row r="930" spans="1:32" x14ac:dyDescent="0.25">
      <c r="A930" t="s">
        <v>41</v>
      </c>
      <c r="B930">
        <v>1</v>
      </c>
      <c r="C930">
        <v>97</v>
      </c>
      <c r="D930">
        <v>2017</v>
      </c>
      <c r="E930" t="s">
        <v>52</v>
      </c>
      <c r="F930">
        <v>11</v>
      </c>
      <c r="G930">
        <v>14</v>
      </c>
      <c r="H930">
        <v>0</v>
      </c>
      <c r="I930">
        <v>2</v>
      </c>
      <c r="J930">
        <v>2</v>
      </c>
      <c r="K930">
        <v>0</v>
      </c>
      <c r="L930">
        <v>0</v>
      </c>
      <c r="M930" t="s">
        <v>34</v>
      </c>
      <c r="N930" t="s">
        <v>43</v>
      </c>
      <c r="O930" t="s">
        <v>49</v>
      </c>
      <c r="P930" t="s">
        <v>45</v>
      </c>
      <c r="Q930">
        <v>0</v>
      </c>
      <c r="R930">
        <v>0</v>
      </c>
      <c r="S930">
        <v>0</v>
      </c>
      <c r="T930" t="s">
        <v>46</v>
      </c>
      <c r="U930" t="s">
        <v>46</v>
      </c>
      <c r="V930">
        <v>0</v>
      </c>
      <c r="W930" t="s">
        <v>68</v>
      </c>
      <c r="X930">
        <v>31</v>
      </c>
      <c r="Z930">
        <v>0</v>
      </c>
      <c r="AA930" t="s">
        <v>39</v>
      </c>
      <c r="AB930">
        <v>85</v>
      </c>
      <c r="AC930">
        <v>0</v>
      </c>
      <c r="AD930">
        <v>0</v>
      </c>
      <c r="AE930" t="s">
        <v>47</v>
      </c>
      <c r="AF930" s="1">
        <v>42711</v>
      </c>
    </row>
    <row r="931" spans="1:32" x14ac:dyDescent="0.25">
      <c r="A931" t="s">
        <v>41</v>
      </c>
      <c r="B931">
        <v>0</v>
      </c>
      <c r="C931">
        <v>59</v>
      </c>
      <c r="D931">
        <v>2015</v>
      </c>
      <c r="E931" t="s">
        <v>61</v>
      </c>
      <c r="F931">
        <v>48</v>
      </c>
      <c r="G931">
        <v>28</v>
      </c>
      <c r="H931">
        <v>2</v>
      </c>
      <c r="I931">
        <v>4</v>
      </c>
      <c r="J931">
        <v>2</v>
      </c>
      <c r="K931">
        <v>0</v>
      </c>
      <c r="L931">
        <v>0</v>
      </c>
      <c r="M931" t="s">
        <v>34</v>
      </c>
      <c r="N931" t="s">
        <v>70</v>
      </c>
      <c r="O931" t="s">
        <v>44</v>
      </c>
      <c r="P931" t="s">
        <v>45</v>
      </c>
      <c r="Q931">
        <v>0</v>
      </c>
      <c r="R931">
        <v>0</v>
      </c>
      <c r="S931">
        <v>0</v>
      </c>
      <c r="T931" t="s">
        <v>46</v>
      </c>
      <c r="U931" t="s">
        <v>46</v>
      </c>
      <c r="V931">
        <v>0</v>
      </c>
      <c r="W931" t="s">
        <v>38</v>
      </c>
      <c r="X931">
        <v>9</v>
      </c>
      <c r="Z931">
        <v>0</v>
      </c>
      <c r="AA931" t="s">
        <v>73</v>
      </c>
      <c r="AB931">
        <v>106.2</v>
      </c>
      <c r="AC931">
        <v>0</v>
      </c>
      <c r="AD931">
        <v>1</v>
      </c>
      <c r="AE931" t="s">
        <v>40</v>
      </c>
      <c r="AF931" s="1">
        <v>42342</v>
      </c>
    </row>
    <row r="932" spans="1:32" x14ac:dyDescent="0.25">
      <c r="A932" t="s">
        <v>32</v>
      </c>
      <c r="B932">
        <v>0</v>
      </c>
      <c r="C932">
        <v>21</v>
      </c>
      <c r="D932">
        <v>2015</v>
      </c>
      <c r="E932" t="s">
        <v>61</v>
      </c>
      <c r="F932">
        <v>46</v>
      </c>
      <c r="G932">
        <v>12</v>
      </c>
      <c r="H932">
        <v>0</v>
      </c>
      <c r="I932">
        <v>3</v>
      </c>
      <c r="J932">
        <v>1</v>
      </c>
      <c r="K932">
        <v>0</v>
      </c>
      <c r="L932">
        <v>0</v>
      </c>
      <c r="M932" t="s">
        <v>34</v>
      </c>
      <c r="N932" t="s">
        <v>43</v>
      </c>
      <c r="O932" t="s">
        <v>76</v>
      </c>
      <c r="P932" t="s">
        <v>76</v>
      </c>
      <c r="Q932">
        <v>0</v>
      </c>
      <c r="R932">
        <v>0</v>
      </c>
      <c r="S932">
        <v>0</v>
      </c>
      <c r="T932" t="s">
        <v>46</v>
      </c>
      <c r="U932" t="s">
        <v>72</v>
      </c>
      <c r="V932">
        <v>0</v>
      </c>
      <c r="W932" t="s">
        <v>38</v>
      </c>
      <c r="X932">
        <v>334</v>
      </c>
      <c r="Y932">
        <v>281</v>
      </c>
      <c r="Z932">
        <v>0</v>
      </c>
      <c r="AA932" t="s">
        <v>51</v>
      </c>
      <c r="AB932">
        <v>40</v>
      </c>
      <c r="AC932">
        <v>0</v>
      </c>
      <c r="AD932">
        <v>0</v>
      </c>
      <c r="AE932" t="s">
        <v>40</v>
      </c>
      <c r="AF932" s="1">
        <v>42323</v>
      </c>
    </row>
    <row r="933" spans="1:32" x14ac:dyDescent="0.25">
      <c r="A933" t="s">
        <v>41</v>
      </c>
      <c r="B933">
        <v>1</v>
      </c>
      <c r="C933">
        <v>95</v>
      </c>
      <c r="D933">
        <v>2017</v>
      </c>
      <c r="E933" t="s">
        <v>42</v>
      </c>
      <c r="F933">
        <v>30</v>
      </c>
      <c r="G933">
        <v>28</v>
      </c>
      <c r="H933">
        <v>0</v>
      </c>
      <c r="I933">
        <v>2</v>
      </c>
      <c r="J933">
        <v>2</v>
      </c>
      <c r="K933">
        <v>0</v>
      </c>
      <c r="L933">
        <v>0</v>
      </c>
      <c r="M933" t="s">
        <v>55</v>
      </c>
      <c r="N933" t="s">
        <v>35</v>
      </c>
      <c r="O933" t="s">
        <v>44</v>
      </c>
      <c r="P933" t="s">
        <v>45</v>
      </c>
      <c r="Q933">
        <v>0</v>
      </c>
      <c r="R933">
        <v>0</v>
      </c>
      <c r="S933">
        <v>0</v>
      </c>
      <c r="T933" t="s">
        <v>46</v>
      </c>
      <c r="U933" t="s">
        <v>46</v>
      </c>
      <c r="V933">
        <v>0</v>
      </c>
      <c r="W933" t="s">
        <v>38</v>
      </c>
      <c r="X933">
        <v>9</v>
      </c>
      <c r="Z933">
        <v>0</v>
      </c>
      <c r="AA933" t="s">
        <v>39</v>
      </c>
      <c r="AB933">
        <v>125</v>
      </c>
      <c r="AC933">
        <v>0</v>
      </c>
      <c r="AD933">
        <v>1</v>
      </c>
      <c r="AE933" t="s">
        <v>47</v>
      </c>
      <c r="AF933" s="1">
        <v>42849</v>
      </c>
    </row>
    <row r="934" spans="1:32" x14ac:dyDescent="0.25">
      <c r="A934" t="s">
        <v>41</v>
      </c>
      <c r="B934">
        <v>0</v>
      </c>
      <c r="C934">
        <v>153</v>
      </c>
      <c r="D934">
        <v>2016</v>
      </c>
      <c r="E934" t="s">
        <v>42</v>
      </c>
      <c r="F934">
        <v>30</v>
      </c>
      <c r="G934">
        <v>23</v>
      </c>
      <c r="H934">
        <v>2</v>
      </c>
      <c r="I934">
        <v>2</v>
      </c>
      <c r="J934">
        <v>2</v>
      </c>
      <c r="K934">
        <v>0</v>
      </c>
      <c r="L934">
        <v>0</v>
      </c>
      <c r="M934" t="s">
        <v>34</v>
      </c>
      <c r="N934" t="s">
        <v>70</v>
      </c>
      <c r="O934" t="s">
        <v>44</v>
      </c>
      <c r="P934" t="s">
        <v>45</v>
      </c>
      <c r="Q934">
        <v>0</v>
      </c>
      <c r="R934">
        <v>0</v>
      </c>
      <c r="S934">
        <v>0</v>
      </c>
      <c r="T934" t="s">
        <v>46</v>
      </c>
      <c r="U934" t="s">
        <v>46</v>
      </c>
      <c r="V934">
        <v>0</v>
      </c>
      <c r="W934" t="s">
        <v>38</v>
      </c>
      <c r="X934">
        <v>9</v>
      </c>
      <c r="Z934">
        <v>0</v>
      </c>
      <c r="AA934" t="s">
        <v>39</v>
      </c>
      <c r="AB934">
        <v>108.45</v>
      </c>
      <c r="AC934">
        <v>0</v>
      </c>
      <c r="AD934">
        <v>1</v>
      </c>
      <c r="AE934" t="s">
        <v>40</v>
      </c>
      <c r="AF934" s="1">
        <v>42578</v>
      </c>
    </row>
    <row r="935" spans="1:32" x14ac:dyDescent="0.25">
      <c r="A935" t="s">
        <v>41</v>
      </c>
      <c r="B935">
        <v>1</v>
      </c>
      <c r="C935">
        <v>88</v>
      </c>
      <c r="D935">
        <v>2017</v>
      </c>
      <c r="E935" t="s">
        <v>67</v>
      </c>
      <c r="F935">
        <v>32</v>
      </c>
      <c r="G935">
        <v>12</v>
      </c>
      <c r="H935">
        <v>2</v>
      </c>
      <c r="I935">
        <v>5</v>
      </c>
      <c r="J935">
        <v>3</v>
      </c>
      <c r="K935">
        <v>0</v>
      </c>
      <c r="L935">
        <v>0</v>
      </c>
      <c r="M935" t="s">
        <v>34</v>
      </c>
      <c r="N935" t="s">
        <v>126</v>
      </c>
      <c r="O935" t="s">
        <v>44</v>
      </c>
      <c r="P935" t="s">
        <v>45</v>
      </c>
      <c r="Q935">
        <v>0</v>
      </c>
      <c r="R935">
        <v>0</v>
      </c>
      <c r="S935">
        <v>0</v>
      </c>
      <c r="T935" t="s">
        <v>57</v>
      </c>
      <c r="U935" t="s">
        <v>57</v>
      </c>
      <c r="V935">
        <v>0</v>
      </c>
      <c r="W935" t="s">
        <v>38</v>
      </c>
      <c r="X935">
        <v>9</v>
      </c>
      <c r="Z935">
        <v>0</v>
      </c>
      <c r="AA935" t="s">
        <v>39</v>
      </c>
      <c r="AB935">
        <v>195</v>
      </c>
      <c r="AC935">
        <v>0</v>
      </c>
      <c r="AD935">
        <v>1</v>
      </c>
      <c r="AE935" t="s">
        <v>47</v>
      </c>
      <c r="AF935" s="1">
        <v>42873</v>
      </c>
    </row>
    <row r="936" spans="1:32" x14ac:dyDescent="0.25">
      <c r="A936" t="s">
        <v>41</v>
      </c>
      <c r="B936">
        <v>0</v>
      </c>
      <c r="C936">
        <v>3</v>
      </c>
      <c r="D936">
        <v>2017</v>
      </c>
      <c r="E936" t="s">
        <v>67</v>
      </c>
      <c r="F936">
        <v>35</v>
      </c>
      <c r="G936">
        <v>31</v>
      </c>
      <c r="H936">
        <v>0</v>
      </c>
      <c r="I936">
        <v>1</v>
      </c>
      <c r="J936">
        <v>2</v>
      </c>
      <c r="K936">
        <v>0</v>
      </c>
      <c r="L936">
        <v>0</v>
      </c>
      <c r="M936" t="s">
        <v>55</v>
      </c>
      <c r="N936" t="s">
        <v>43</v>
      </c>
      <c r="O936" t="s">
        <v>44</v>
      </c>
      <c r="P936" t="s">
        <v>45</v>
      </c>
      <c r="Q936">
        <v>0</v>
      </c>
      <c r="R936">
        <v>0</v>
      </c>
      <c r="S936">
        <v>0</v>
      </c>
      <c r="T936" t="s">
        <v>46</v>
      </c>
      <c r="U936" t="s">
        <v>46</v>
      </c>
      <c r="V936">
        <v>2</v>
      </c>
      <c r="W936" t="s">
        <v>38</v>
      </c>
      <c r="X936">
        <v>9</v>
      </c>
      <c r="Z936">
        <v>0</v>
      </c>
      <c r="AA936" t="s">
        <v>39</v>
      </c>
      <c r="AB936">
        <v>140</v>
      </c>
      <c r="AC936">
        <v>0</v>
      </c>
      <c r="AD936">
        <v>1</v>
      </c>
      <c r="AE936" t="s">
        <v>40</v>
      </c>
      <c r="AF936" s="1">
        <v>42979</v>
      </c>
    </row>
    <row r="937" spans="1:32" x14ac:dyDescent="0.25">
      <c r="A937" t="s">
        <v>41</v>
      </c>
      <c r="B937">
        <v>1</v>
      </c>
      <c r="C937">
        <v>31</v>
      </c>
      <c r="D937">
        <v>2016</v>
      </c>
      <c r="E937" t="s">
        <v>61</v>
      </c>
      <c r="F937">
        <v>48</v>
      </c>
      <c r="G937">
        <v>23</v>
      </c>
      <c r="H937">
        <v>0</v>
      </c>
      <c r="I937">
        <v>4</v>
      </c>
      <c r="J937">
        <v>2</v>
      </c>
      <c r="K937">
        <v>0</v>
      </c>
      <c r="L937">
        <v>0</v>
      </c>
      <c r="M937" t="s">
        <v>34</v>
      </c>
      <c r="N937" t="s">
        <v>105</v>
      </c>
      <c r="O937" t="s">
        <v>44</v>
      </c>
      <c r="P937" t="s">
        <v>45</v>
      </c>
      <c r="Q937">
        <v>0</v>
      </c>
      <c r="R937">
        <v>0</v>
      </c>
      <c r="S937">
        <v>0</v>
      </c>
      <c r="T937" t="s">
        <v>86</v>
      </c>
      <c r="U937" t="s">
        <v>86</v>
      </c>
      <c r="V937">
        <v>1</v>
      </c>
      <c r="W937" t="s">
        <v>38</v>
      </c>
      <c r="X937">
        <v>9</v>
      </c>
      <c r="Z937">
        <v>0</v>
      </c>
      <c r="AA937" t="s">
        <v>39</v>
      </c>
      <c r="AB937">
        <v>77.86</v>
      </c>
      <c r="AC937">
        <v>0</v>
      </c>
      <c r="AD937">
        <v>2</v>
      </c>
      <c r="AE937" t="s">
        <v>47</v>
      </c>
      <c r="AF937" s="1">
        <v>42685</v>
      </c>
    </row>
    <row r="938" spans="1:32" x14ac:dyDescent="0.25">
      <c r="A938" t="s">
        <v>32</v>
      </c>
      <c r="B938">
        <v>1</v>
      </c>
      <c r="C938">
        <v>231</v>
      </c>
      <c r="D938">
        <v>2015</v>
      </c>
      <c r="E938" t="s">
        <v>42</v>
      </c>
      <c r="F938">
        <v>28</v>
      </c>
      <c r="G938">
        <v>7</v>
      </c>
      <c r="H938">
        <v>2</v>
      </c>
      <c r="I938">
        <v>6</v>
      </c>
      <c r="J938">
        <v>2</v>
      </c>
      <c r="K938">
        <v>0</v>
      </c>
      <c r="L938">
        <v>0</v>
      </c>
      <c r="M938" t="s">
        <v>34</v>
      </c>
      <c r="N938" t="s">
        <v>43</v>
      </c>
      <c r="O938" t="s">
        <v>44</v>
      </c>
      <c r="P938" t="s">
        <v>45</v>
      </c>
      <c r="Q938">
        <v>0</v>
      </c>
      <c r="R938">
        <v>1</v>
      </c>
      <c r="S938">
        <v>0</v>
      </c>
      <c r="T938" t="s">
        <v>46</v>
      </c>
      <c r="U938" t="s">
        <v>46</v>
      </c>
      <c r="V938">
        <v>0</v>
      </c>
      <c r="W938" t="s">
        <v>38</v>
      </c>
      <c r="X938">
        <v>240</v>
      </c>
      <c r="Z938">
        <v>0</v>
      </c>
      <c r="AA938" t="s">
        <v>39</v>
      </c>
      <c r="AB938">
        <v>110.7</v>
      </c>
      <c r="AC938">
        <v>0</v>
      </c>
      <c r="AD938">
        <v>0</v>
      </c>
      <c r="AE938" t="s">
        <v>47</v>
      </c>
      <c r="AF938" s="1">
        <v>42080</v>
      </c>
    </row>
    <row r="939" spans="1:32" x14ac:dyDescent="0.25">
      <c r="A939" t="s">
        <v>41</v>
      </c>
      <c r="B939">
        <v>1</v>
      </c>
      <c r="C939">
        <v>97</v>
      </c>
      <c r="D939">
        <v>2017</v>
      </c>
      <c r="E939" t="s">
        <v>52</v>
      </c>
      <c r="F939">
        <v>9</v>
      </c>
      <c r="G939">
        <v>4</v>
      </c>
      <c r="H939">
        <v>2</v>
      </c>
      <c r="I939">
        <v>1</v>
      </c>
      <c r="J939">
        <v>2</v>
      </c>
      <c r="K939">
        <v>0</v>
      </c>
      <c r="L939">
        <v>0</v>
      </c>
      <c r="M939" t="s">
        <v>34</v>
      </c>
      <c r="N939" t="s">
        <v>65</v>
      </c>
      <c r="O939" t="s">
        <v>44</v>
      </c>
      <c r="P939" t="s">
        <v>45</v>
      </c>
      <c r="Q939">
        <v>0</v>
      </c>
      <c r="R939">
        <v>0</v>
      </c>
      <c r="S939">
        <v>0</v>
      </c>
      <c r="T939" t="s">
        <v>46</v>
      </c>
      <c r="U939" t="s">
        <v>46</v>
      </c>
      <c r="V939">
        <v>0</v>
      </c>
      <c r="W939" t="s">
        <v>38</v>
      </c>
      <c r="X939">
        <v>9</v>
      </c>
      <c r="Z939">
        <v>0</v>
      </c>
      <c r="AA939" t="s">
        <v>39</v>
      </c>
      <c r="AB939">
        <v>97.2</v>
      </c>
      <c r="AC939">
        <v>0</v>
      </c>
      <c r="AD939">
        <v>1</v>
      </c>
      <c r="AE939" t="s">
        <v>47</v>
      </c>
      <c r="AF939" s="1">
        <v>42729</v>
      </c>
    </row>
    <row r="940" spans="1:32" x14ac:dyDescent="0.25">
      <c r="A940" t="s">
        <v>41</v>
      </c>
      <c r="B940">
        <v>1</v>
      </c>
      <c r="C940">
        <v>6</v>
      </c>
      <c r="D940">
        <v>2017</v>
      </c>
      <c r="E940" t="s">
        <v>66</v>
      </c>
      <c r="F940">
        <v>7</v>
      </c>
      <c r="G940">
        <v>14</v>
      </c>
      <c r="H940">
        <v>0</v>
      </c>
      <c r="I940">
        <v>1</v>
      </c>
      <c r="J940">
        <v>2</v>
      </c>
      <c r="K940">
        <v>1</v>
      </c>
      <c r="L940">
        <v>0</v>
      </c>
      <c r="M940" t="s">
        <v>34</v>
      </c>
      <c r="N940" t="s">
        <v>70</v>
      </c>
      <c r="O940" t="s">
        <v>44</v>
      </c>
      <c r="P940" t="s">
        <v>45</v>
      </c>
      <c r="Q940">
        <v>0</v>
      </c>
      <c r="R940">
        <v>0</v>
      </c>
      <c r="S940">
        <v>0</v>
      </c>
      <c r="T940" t="s">
        <v>46</v>
      </c>
      <c r="U940" t="s">
        <v>46</v>
      </c>
      <c r="V940">
        <v>0</v>
      </c>
      <c r="W940" t="s">
        <v>38</v>
      </c>
      <c r="X940">
        <v>9</v>
      </c>
      <c r="Z940">
        <v>0</v>
      </c>
      <c r="AA940" t="s">
        <v>39</v>
      </c>
      <c r="AB940">
        <v>128</v>
      </c>
      <c r="AC940">
        <v>0</v>
      </c>
      <c r="AD940">
        <v>0</v>
      </c>
      <c r="AE940" t="s">
        <v>47</v>
      </c>
      <c r="AF940" s="1">
        <v>42774</v>
      </c>
    </row>
    <row r="941" spans="1:32" x14ac:dyDescent="0.25">
      <c r="A941" t="s">
        <v>41</v>
      </c>
      <c r="B941">
        <v>0</v>
      </c>
      <c r="C941">
        <v>34</v>
      </c>
      <c r="D941">
        <v>2016</v>
      </c>
      <c r="E941" t="s">
        <v>83</v>
      </c>
      <c r="F941">
        <v>25</v>
      </c>
      <c r="G941">
        <v>14</v>
      </c>
      <c r="H941">
        <v>0</v>
      </c>
      <c r="I941">
        <v>3</v>
      </c>
      <c r="J941">
        <v>2</v>
      </c>
      <c r="K941">
        <v>0</v>
      </c>
      <c r="L941">
        <v>0</v>
      </c>
      <c r="M941" t="s">
        <v>55</v>
      </c>
      <c r="N941" t="s">
        <v>43</v>
      </c>
      <c r="O941" t="s">
        <v>44</v>
      </c>
      <c r="P941" t="s">
        <v>45</v>
      </c>
      <c r="Q941">
        <v>0</v>
      </c>
      <c r="R941">
        <v>0</v>
      </c>
      <c r="S941">
        <v>0</v>
      </c>
      <c r="T941" t="s">
        <v>46</v>
      </c>
      <c r="U941" t="s">
        <v>46</v>
      </c>
      <c r="V941">
        <v>0</v>
      </c>
      <c r="W941" t="s">
        <v>38</v>
      </c>
      <c r="X941">
        <v>9</v>
      </c>
      <c r="Z941">
        <v>0</v>
      </c>
      <c r="AA941" t="s">
        <v>39</v>
      </c>
      <c r="AB941">
        <v>107.1</v>
      </c>
      <c r="AC941">
        <v>0</v>
      </c>
      <c r="AD941">
        <v>1</v>
      </c>
      <c r="AE941" t="s">
        <v>40</v>
      </c>
      <c r="AF941" s="1">
        <v>42538</v>
      </c>
    </row>
    <row r="942" spans="1:32" x14ac:dyDescent="0.25">
      <c r="A942" t="s">
        <v>41</v>
      </c>
      <c r="B942">
        <v>0</v>
      </c>
      <c r="C942">
        <v>1</v>
      </c>
      <c r="D942">
        <v>2016</v>
      </c>
      <c r="E942" t="s">
        <v>74</v>
      </c>
      <c r="F942">
        <v>2</v>
      </c>
      <c r="G942">
        <v>8</v>
      </c>
      <c r="H942">
        <v>0</v>
      </c>
      <c r="I942">
        <v>2</v>
      </c>
      <c r="J942">
        <v>2</v>
      </c>
      <c r="K942">
        <v>0</v>
      </c>
      <c r="L942">
        <v>0</v>
      </c>
      <c r="M942" t="s">
        <v>55</v>
      </c>
      <c r="N942" t="s">
        <v>48</v>
      </c>
      <c r="O942" t="s">
        <v>44</v>
      </c>
      <c r="P942" t="s">
        <v>45</v>
      </c>
      <c r="Q942">
        <v>1</v>
      </c>
      <c r="R942">
        <v>11</v>
      </c>
      <c r="S942">
        <v>0</v>
      </c>
      <c r="T942" t="s">
        <v>46</v>
      </c>
      <c r="U942" t="s">
        <v>46</v>
      </c>
      <c r="V942">
        <v>0</v>
      </c>
      <c r="W942" t="s">
        <v>38</v>
      </c>
      <c r="X942">
        <v>9</v>
      </c>
      <c r="Z942">
        <v>0</v>
      </c>
      <c r="AA942" t="s">
        <v>51</v>
      </c>
      <c r="AB942">
        <v>67.5</v>
      </c>
      <c r="AC942">
        <v>0</v>
      </c>
      <c r="AD942">
        <v>0</v>
      </c>
      <c r="AE942" t="s">
        <v>40</v>
      </c>
      <c r="AF942" s="1">
        <v>42379</v>
      </c>
    </row>
    <row r="943" spans="1:32" x14ac:dyDescent="0.25">
      <c r="A943" t="s">
        <v>41</v>
      </c>
      <c r="B943">
        <v>0</v>
      </c>
      <c r="C943">
        <v>13</v>
      </c>
      <c r="D943">
        <v>2017</v>
      </c>
      <c r="E943" t="s">
        <v>74</v>
      </c>
      <c r="F943">
        <v>3</v>
      </c>
      <c r="G943">
        <v>21</v>
      </c>
      <c r="H943">
        <v>1</v>
      </c>
      <c r="I943">
        <v>1</v>
      </c>
      <c r="J943">
        <v>2</v>
      </c>
      <c r="K943">
        <v>0</v>
      </c>
      <c r="L943">
        <v>0</v>
      </c>
      <c r="M943" t="s">
        <v>55</v>
      </c>
      <c r="N943" t="s">
        <v>63</v>
      </c>
      <c r="O943" t="s">
        <v>44</v>
      </c>
      <c r="P943" t="s">
        <v>45</v>
      </c>
      <c r="Q943">
        <v>0</v>
      </c>
      <c r="R943">
        <v>0</v>
      </c>
      <c r="S943">
        <v>0</v>
      </c>
      <c r="T943" t="s">
        <v>46</v>
      </c>
      <c r="U943" t="s">
        <v>46</v>
      </c>
      <c r="V943">
        <v>2</v>
      </c>
      <c r="W943" t="s">
        <v>38</v>
      </c>
      <c r="X943">
        <v>9</v>
      </c>
      <c r="Z943">
        <v>0</v>
      </c>
      <c r="AA943" t="s">
        <v>39</v>
      </c>
      <c r="AB943">
        <v>89</v>
      </c>
      <c r="AC943">
        <v>0</v>
      </c>
      <c r="AD943">
        <v>1</v>
      </c>
      <c r="AE943" t="s">
        <v>40</v>
      </c>
      <c r="AF943" s="1">
        <v>42758</v>
      </c>
    </row>
    <row r="944" spans="1:32" x14ac:dyDescent="0.25">
      <c r="A944" t="s">
        <v>41</v>
      </c>
      <c r="B944">
        <v>1</v>
      </c>
      <c r="C944">
        <v>14</v>
      </c>
      <c r="D944">
        <v>2016</v>
      </c>
      <c r="E944" t="s">
        <v>54</v>
      </c>
      <c r="F944">
        <v>16</v>
      </c>
      <c r="G944">
        <v>16</v>
      </c>
      <c r="H944">
        <v>2</v>
      </c>
      <c r="I944">
        <v>1</v>
      </c>
      <c r="J944">
        <v>2</v>
      </c>
      <c r="K944">
        <v>1</v>
      </c>
      <c r="L944">
        <v>0</v>
      </c>
      <c r="M944" t="s">
        <v>34</v>
      </c>
      <c r="N944" t="s">
        <v>43</v>
      </c>
      <c r="O944" t="s">
        <v>44</v>
      </c>
      <c r="P944" t="s">
        <v>45</v>
      </c>
      <c r="Q944">
        <v>0</v>
      </c>
      <c r="R944">
        <v>0</v>
      </c>
      <c r="S944">
        <v>0</v>
      </c>
      <c r="T944" t="s">
        <v>46</v>
      </c>
      <c r="U944" t="s">
        <v>46</v>
      </c>
      <c r="V944">
        <v>0</v>
      </c>
      <c r="W944" t="s">
        <v>38</v>
      </c>
      <c r="X944">
        <v>9</v>
      </c>
      <c r="Z944">
        <v>0</v>
      </c>
      <c r="AA944" t="s">
        <v>39</v>
      </c>
      <c r="AB944">
        <v>127.67</v>
      </c>
      <c r="AC944">
        <v>0</v>
      </c>
      <c r="AD944">
        <v>0</v>
      </c>
      <c r="AE944" t="s">
        <v>47</v>
      </c>
      <c r="AF944" s="1">
        <v>42464</v>
      </c>
    </row>
    <row r="945" spans="1:32" x14ac:dyDescent="0.25">
      <c r="A945" t="s">
        <v>41</v>
      </c>
      <c r="B945">
        <v>0</v>
      </c>
      <c r="C945">
        <v>4</v>
      </c>
      <c r="D945">
        <v>2015</v>
      </c>
      <c r="E945" t="s">
        <v>61</v>
      </c>
      <c r="F945">
        <v>46</v>
      </c>
      <c r="G945">
        <v>14</v>
      </c>
      <c r="H945">
        <v>2</v>
      </c>
      <c r="I945">
        <v>1</v>
      </c>
      <c r="J945">
        <v>2</v>
      </c>
      <c r="K945">
        <v>0</v>
      </c>
      <c r="L945">
        <v>0</v>
      </c>
      <c r="M945" t="s">
        <v>34</v>
      </c>
      <c r="N945" t="s">
        <v>70</v>
      </c>
      <c r="O945" t="s">
        <v>36</v>
      </c>
      <c r="P945" t="s">
        <v>36</v>
      </c>
      <c r="Q945">
        <v>0</v>
      </c>
      <c r="R945">
        <v>0</v>
      </c>
      <c r="S945">
        <v>0</v>
      </c>
      <c r="T945" t="s">
        <v>86</v>
      </c>
      <c r="U945" t="s">
        <v>86</v>
      </c>
      <c r="V945">
        <v>0</v>
      </c>
      <c r="W945" t="s">
        <v>38</v>
      </c>
      <c r="X945">
        <v>14</v>
      </c>
      <c r="Z945">
        <v>0</v>
      </c>
      <c r="AA945" t="s">
        <v>39</v>
      </c>
      <c r="AB945">
        <v>81</v>
      </c>
      <c r="AC945">
        <v>0</v>
      </c>
      <c r="AD945">
        <v>1</v>
      </c>
      <c r="AE945" t="s">
        <v>40</v>
      </c>
      <c r="AF945" s="1">
        <v>42325</v>
      </c>
    </row>
    <row r="946" spans="1:32" x14ac:dyDescent="0.25">
      <c r="A946" t="s">
        <v>41</v>
      </c>
      <c r="B946">
        <v>0</v>
      </c>
      <c r="C946">
        <v>157</v>
      </c>
      <c r="D946">
        <v>2017</v>
      </c>
      <c r="E946" t="s">
        <v>67</v>
      </c>
      <c r="F946">
        <v>31</v>
      </c>
      <c r="G946">
        <v>1</v>
      </c>
      <c r="H946">
        <v>0</v>
      </c>
      <c r="I946">
        <v>4</v>
      </c>
      <c r="J946">
        <v>2</v>
      </c>
      <c r="K946">
        <v>0</v>
      </c>
      <c r="L946">
        <v>0</v>
      </c>
      <c r="M946" t="s">
        <v>34</v>
      </c>
      <c r="N946" t="s">
        <v>65</v>
      </c>
      <c r="O946" t="s">
        <v>44</v>
      </c>
      <c r="P946" t="s">
        <v>45</v>
      </c>
      <c r="Q946">
        <v>0</v>
      </c>
      <c r="R946">
        <v>0</v>
      </c>
      <c r="S946">
        <v>0</v>
      </c>
      <c r="T946" t="s">
        <v>46</v>
      </c>
      <c r="U946" t="s">
        <v>46</v>
      </c>
      <c r="V946">
        <v>0</v>
      </c>
      <c r="W946" t="s">
        <v>38</v>
      </c>
      <c r="X946">
        <v>9</v>
      </c>
      <c r="Z946">
        <v>0</v>
      </c>
      <c r="AA946" t="s">
        <v>39</v>
      </c>
      <c r="AB946">
        <v>137.25</v>
      </c>
      <c r="AC946">
        <v>0</v>
      </c>
      <c r="AD946">
        <v>0</v>
      </c>
      <c r="AE946" t="s">
        <v>40</v>
      </c>
      <c r="AF946" s="1">
        <v>42952</v>
      </c>
    </row>
    <row r="947" spans="1:32" x14ac:dyDescent="0.25">
      <c r="A947" t="s">
        <v>41</v>
      </c>
      <c r="B947">
        <v>1</v>
      </c>
      <c r="C947">
        <v>212</v>
      </c>
      <c r="D947">
        <v>2016</v>
      </c>
      <c r="E947" t="s">
        <v>59</v>
      </c>
      <c r="F947">
        <v>42</v>
      </c>
      <c r="G947">
        <v>9</v>
      </c>
      <c r="H947">
        <v>2</v>
      </c>
      <c r="I947">
        <v>2</v>
      </c>
      <c r="J947">
        <v>2</v>
      </c>
      <c r="K947">
        <v>0</v>
      </c>
      <c r="L947">
        <v>0</v>
      </c>
      <c r="M947" t="s">
        <v>34</v>
      </c>
      <c r="N947" t="s">
        <v>43</v>
      </c>
      <c r="O947" t="s">
        <v>44</v>
      </c>
      <c r="P947" t="s">
        <v>45</v>
      </c>
      <c r="Q947">
        <v>0</v>
      </c>
      <c r="R947">
        <v>0</v>
      </c>
      <c r="S947">
        <v>0</v>
      </c>
      <c r="T947" t="s">
        <v>46</v>
      </c>
      <c r="U947" t="s">
        <v>46</v>
      </c>
      <c r="V947">
        <v>0</v>
      </c>
      <c r="W947" t="s">
        <v>38</v>
      </c>
      <c r="X947">
        <v>7</v>
      </c>
      <c r="Z947">
        <v>0</v>
      </c>
      <c r="AA947" t="s">
        <v>39</v>
      </c>
      <c r="AB947">
        <v>75.23</v>
      </c>
      <c r="AC947">
        <v>0</v>
      </c>
      <c r="AD947">
        <v>0</v>
      </c>
      <c r="AE947" t="s">
        <v>47</v>
      </c>
      <c r="AF947" s="1">
        <v>42441</v>
      </c>
    </row>
    <row r="948" spans="1:32" x14ac:dyDescent="0.25">
      <c r="A948" t="s">
        <v>41</v>
      </c>
      <c r="B948">
        <v>1</v>
      </c>
      <c r="C948">
        <v>163</v>
      </c>
      <c r="D948">
        <v>2016</v>
      </c>
      <c r="E948" t="s">
        <v>83</v>
      </c>
      <c r="F948">
        <v>24</v>
      </c>
      <c r="G948">
        <v>5</v>
      </c>
      <c r="H948">
        <v>2</v>
      </c>
      <c r="I948">
        <v>2</v>
      </c>
      <c r="J948">
        <v>1</v>
      </c>
      <c r="K948">
        <v>0</v>
      </c>
      <c r="L948">
        <v>0</v>
      </c>
      <c r="M948" t="s">
        <v>34</v>
      </c>
      <c r="N948" t="s">
        <v>43</v>
      </c>
      <c r="O948" t="s">
        <v>49</v>
      </c>
      <c r="P948" t="s">
        <v>45</v>
      </c>
      <c r="Q948">
        <v>0</v>
      </c>
      <c r="R948">
        <v>0</v>
      </c>
      <c r="S948">
        <v>0</v>
      </c>
      <c r="T948" t="s">
        <v>46</v>
      </c>
      <c r="U948" t="s">
        <v>46</v>
      </c>
      <c r="V948">
        <v>0</v>
      </c>
      <c r="W948" t="s">
        <v>68</v>
      </c>
      <c r="X948">
        <v>171</v>
      </c>
      <c r="Z948">
        <v>0</v>
      </c>
      <c r="AA948" t="s">
        <v>39</v>
      </c>
      <c r="AB948">
        <v>100</v>
      </c>
      <c r="AC948">
        <v>0</v>
      </c>
      <c r="AD948">
        <v>0</v>
      </c>
      <c r="AE948" t="s">
        <v>47</v>
      </c>
      <c r="AF948" s="1">
        <v>42395</v>
      </c>
    </row>
    <row r="949" spans="1:32" x14ac:dyDescent="0.25">
      <c r="A949" t="s">
        <v>41</v>
      </c>
      <c r="B949">
        <v>0</v>
      </c>
      <c r="C949">
        <v>116</v>
      </c>
      <c r="D949">
        <v>2016</v>
      </c>
      <c r="E949" t="s">
        <v>59</v>
      </c>
      <c r="F949">
        <v>44</v>
      </c>
      <c r="G949">
        <v>23</v>
      </c>
      <c r="H949">
        <v>2</v>
      </c>
      <c r="I949">
        <v>2</v>
      </c>
      <c r="J949">
        <v>2</v>
      </c>
      <c r="K949">
        <v>0</v>
      </c>
      <c r="L949">
        <v>1</v>
      </c>
      <c r="M949" t="s">
        <v>34</v>
      </c>
      <c r="N949" t="s">
        <v>87</v>
      </c>
      <c r="O949" t="s">
        <v>44</v>
      </c>
      <c r="P949" t="s">
        <v>45</v>
      </c>
      <c r="Q949">
        <v>0</v>
      </c>
      <c r="R949">
        <v>0</v>
      </c>
      <c r="S949">
        <v>0</v>
      </c>
      <c r="T949" t="s">
        <v>46</v>
      </c>
      <c r="U949" t="s">
        <v>46</v>
      </c>
      <c r="V949">
        <v>2</v>
      </c>
      <c r="W949" t="s">
        <v>38</v>
      </c>
      <c r="X949">
        <v>9</v>
      </c>
      <c r="Z949">
        <v>0</v>
      </c>
      <c r="AA949" t="s">
        <v>39</v>
      </c>
      <c r="AB949">
        <v>104.85</v>
      </c>
      <c r="AC949">
        <v>0</v>
      </c>
      <c r="AD949">
        <v>2</v>
      </c>
      <c r="AE949" t="s">
        <v>40</v>
      </c>
      <c r="AF949" s="1">
        <v>42670</v>
      </c>
    </row>
    <row r="950" spans="1:32" x14ac:dyDescent="0.25">
      <c r="A950" t="s">
        <v>32</v>
      </c>
      <c r="B950">
        <v>1</v>
      </c>
      <c r="C950">
        <v>106</v>
      </c>
      <c r="D950">
        <v>2016</v>
      </c>
      <c r="E950" t="s">
        <v>42</v>
      </c>
      <c r="F950">
        <v>30</v>
      </c>
      <c r="G950">
        <v>21</v>
      </c>
      <c r="H950">
        <v>1</v>
      </c>
      <c r="I950">
        <v>3</v>
      </c>
      <c r="J950">
        <v>2</v>
      </c>
      <c r="K950">
        <v>2</v>
      </c>
      <c r="L950">
        <v>0</v>
      </c>
      <c r="M950" t="s">
        <v>34</v>
      </c>
      <c r="N950" t="s">
        <v>75</v>
      </c>
      <c r="O950" t="s">
        <v>44</v>
      </c>
      <c r="P950" t="s">
        <v>45</v>
      </c>
      <c r="Q950">
        <v>0</v>
      </c>
      <c r="R950">
        <v>0</v>
      </c>
      <c r="S950">
        <v>0</v>
      </c>
      <c r="T950" t="s">
        <v>84</v>
      </c>
      <c r="U950" t="s">
        <v>84</v>
      </c>
      <c r="V950">
        <v>0</v>
      </c>
      <c r="W950" t="s">
        <v>38</v>
      </c>
      <c r="X950">
        <v>240</v>
      </c>
      <c r="Z950">
        <v>0</v>
      </c>
      <c r="AA950" t="s">
        <v>39</v>
      </c>
      <c r="AB950">
        <v>252</v>
      </c>
      <c r="AC950">
        <v>0</v>
      </c>
      <c r="AD950">
        <v>0</v>
      </c>
      <c r="AE950" t="s">
        <v>47</v>
      </c>
      <c r="AF950" s="1">
        <v>42534</v>
      </c>
    </row>
    <row r="951" spans="1:32" x14ac:dyDescent="0.25">
      <c r="A951" t="s">
        <v>32</v>
      </c>
      <c r="B951">
        <v>1</v>
      </c>
      <c r="C951">
        <v>72</v>
      </c>
      <c r="D951">
        <v>2016</v>
      </c>
      <c r="E951" t="s">
        <v>66</v>
      </c>
      <c r="F951">
        <v>6</v>
      </c>
      <c r="G951">
        <v>6</v>
      </c>
      <c r="H951">
        <v>2</v>
      </c>
      <c r="I951">
        <v>1</v>
      </c>
      <c r="J951">
        <v>2</v>
      </c>
      <c r="K951">
        <v>0</v>
      </c>
      <c r="L951">
        <v>0</v>
      </c>
      <c r="M951" t="s">
        <v>60</v>
      </c>
      <c r="N951" t="s">
        <v>43</v>
      </c>
      <c r="O951" t="s">
        <v>64</v>
      </c>
      <c r="P951" t="s">
        <v>36</v>
      </c>
      <c r="Q951">
        <v>0</v>
      </c>
      <c r="R951">
        <v>0</v>
      </c>
      <c r="S951">
        <v>0</v>
      </c>
      <c r="T951" t="s">
        <v>57</v>
      </c>
      <c r="U951" t="s">
        <v>57</v>
      </c>
      <c r="V951">
        <v>0</v>
      </c>
      <c r="W951" t="s">
        <v>38</v>
      </c>
      <c r="Z951">
        <v>0</v>
      </c>
      <c r="AA951" t="s">
        <v>51</v>
      </c>
      <c r="AB951">
        <v>73.33</v>
      </c>
      <c r="AC951">
        <v>0</v>
      </c>
      <c r="AD951">
        <v>0</v>
      </c>
      <c r="AE951" t="s">
        <v>47</v>
      </c>
      <c r="AF951" s="1">
        <v>42388</v>
      </c>
    </row>
    <row r="952" spans="1:32" x14ac:dyDescent="0.25">
      <c r="A952" t="s">
        <v>32</v>
      </c>
      <c r="B952">
        <v>0</v>
      </c>
      <c r="C952">
        <v>30</v>
      </c>
      <c r="D952">
        <v>2016</v>
      </c>
      <c r="E952" t="s">
        <v>66</v>
      </c>
      <c r="F952">
        <v>8</v>
      </c>
      <c r="G952">
        <v>20</v>
      </c>
      <c r="H952">
        <v>2</v>
      </c>
      <c r="I952">
        <v>5</v>
      </c>
      <c r="J952">
        <v>2</v>
      </c>
      <c r="K952">
        <v>0</v>
      </c>
      <c r="L952">
        <v>1</v>
      </c>
      <c r="M952" t="s">
        <v>34</v>
      </c>
      <c r="N952" t="s">
        <v>35</v>
      </c>
      <c r="O952" t="s">
        <v>36</v>
      </c>
      <c r="P952" t="s">
        <v>36</v>
      </c>
      <c r="Q952">
        <v>0</v>
      </c>
      <c r="R952">
        <v>0</v>
      </c>
      <c r="S952">
        <v>0</v>
      </c>
      <c r="T952" t="s">
        <v>46</v>
      </c>
      <c r="U952" t="s">
        <v>72</v>
      </c>
      <c r="V952">
        <v>1</v>
      </c>
      <c r="W952" t="s">
        <v>38</v>
      </c>
      <c r="Z952">
        <v>0</v>
      </c>
      <c r="AA952" t="s">
        <v>39</v>
      </c>
      <c r="AB952">
        <v>48</v>
      </c>
      <c r="AC952">
        <v>0</v>
      </c>
      <c r="AD952">
        <v>1</v>
      </c>
      <c r="AE952" t="s">
        <v>40</v>
      </c>
      <c r="AF952" s="1">
        <v>42427</v>
      </c>
    </row>
    <row r="953" spans="1:32" x14ac:dyDescent="0.25">
      <c r="A953" t="s">
        <v>32</v>
      </c>
      <c r="B953">
        <v>0</v>
      </c>
      <c r="C953">
        <v>222</v>
      </c>
      <c r="D953">
        <v>2016</v>
      </c>
      <c r="E953" t="s">
        <v>54</v>
      </c>
      <c r="F953">
        <v>14</v>
      </c>
      <c r="G953">
        <v>2</v>
      </c>
      <c r="H953">
        <v>2</v>
      </c>
      <c r="I953">
        <v>5</v>
      </c>
      <c r="J953">
        <v>2</v>
      </c>
      <c r="K953">
        <v>0</v>
      </c>
      <c r="L953">
        <v>0</v>
      </c>
      <c r="M953" t="s">
        <v>34</v>
      </c>
      <c r="N953" t="s">
        <v>35</v>
      </c>
      <c r="O953" t="s">
        <v>44</v>
      </c>
      <c r="P953" t="s">
        <v>45</v>
      </c>
      <c r="Q953">
        <v>0</v>
      </c>
      <c r="R953">
        <v>0</v>
      </c>
      <c r="S953">
        <v>0</v>
      </c>
      <c r="T953" t="s">
        <v>46</v>
      </c>
      <c r="U953" t="s">
        <v>46</v>
      </c>
      <c r="V953">
        <v>0</v>
      </c>
      <c r="W953" t="s">
        <v>38</v>
      </c>
      <c r="X953">
        <v>241</v>
      </c>
      <c r="Z953">
        <v>0</v>
      </c>
      <c r="AA953" t="s">
        <v>39</v>
      </c>
      <c r="AB953">
        <v>42.19</v>
      </c>
      <c r="AC953">
        <v>0</v>
      </c>
      <c r="AD953">
        <v>2</v>
      </c>
      <c r="AE953" t="s">
        <v>40</v>
      </c>
      <c r="AF953" s="1">
        <v>42469</v>
      </c>
    </row>
    <row r="954" spans="1:32" x14ac:dyDescent="0.25">
      <c r="A954" t="s">
        <v>41</v>
      </c>
      <c r="B954">
        <v>0</v>
      </c>
      <c r="C954">
        <v>263</v>
      </c>
      <c r="D954">
        <v>2017</v>
      </c>
      <c r="E954" t="s">
        <v>83</v>
      </c>
      <c r="F954">
        <v>25</v>
      </c>
      <c r="G954">
        <v>23</v>
      </c>
      <c r="H954">
        <v>2</v>
      </c>
      <c r="I954">
        <v>2</v>
      </c>
      <c r="J954">
        <v>2</v>
      </c>
      <c r="K954">
        <v>0</v>
      </c>
      <c r="L954">
        <v>0</v>
      </c>
      <c r="M954" t="s">
        <v>34</v>
      </c>
      <c r="N954" t="s">
        <v>43</v>
      </c>
      <c r="O954" t="s">
        <v>64</v>
      </c>
      <c r="P954" t="s">
        <v>45</v>
      </c>
      <c r="Q954">
        <v>0</v>
      </c>
      <c r="R954">
        <v>0</v>
      </c>
      <c r="S954">
        <v>0</v>
      </c>
      <c r="T954" t="s">
        <v>46</v>
      </c>
      <c r="U954" t="s">
        <v>46</v>
      </c>
      <c r="V954">
        <v>0</v>
      </c>
      <c r="W954" t="s">
        <v>38</v>
      </c>
      <c r="X954">
        <v>37</v>
      </c>
      <c r="Z954">
        <v>0</v>
      </c>
      <c r="AA954" t="s">
        <v>51</v>
      </c>
      <c r="AB954">
        <v>105</v>
      </c>
      <c r="AC954">
        <v>0</v>
      </c>
      <c r="AD954">
        <v>1</v>
      </c>
      <c r="AE954" t="s">
        <v>40</v>
      </c>
      <c r="AF954" s="1">
        <v>42913</v>
      </c>
    </row>
    <row r="955" spans="1:32" x14ac:dyDescent="0.25">
      <c r="A955" t="s">
        <v>41</v>
      </c>
      <c r="B955">
        <v>1</v>
      </c>
      <c r="C955">
        <v>9</v>
      </c>
      <c r="D955">
        <v>2016</v>
      </c>
      <c r="E955" t="s">
        <v>54</v>
      </c>
      <c r="F955">
        <v>17</v>
      </c>
      <c r="G955">
        <v>19</v>
      </c>
      <c r="H955">
        <v>0</v>
      </c>
      <c r="I955">
        <v>1</v>
      </c>
      <c r="J955">
        <v>2</v>
      </c>
      <c r="K955">
        <v>0</v>
      </c>
      <c r="L955">
        <v>0</v>
      </c>
      <c r="M955" t="s">
        <v>55</v>
      </c>
      <c r="N955" t="s">
        <v>109</v>
      </c>
      <c r="O955" t="s">
        <v>44</v>
      </c>
      <c r="P955" t="s">
        <v>45</v>
      </c>
      <c r="Q955">
        <v>0</v>
      </c>
      <c r="R955">
        <v>0</v>
      </c>
      <c r="S955">
        <v>0</v>
      </c>
      <c r="T955" t="s">
        <v>46</v>
      </c>
      <c r="U955" t="s">
        <v>46</v>
      </c>
      <c r="V955">
        <v>0</v>
      </c>
      <c r="W955" t="s">
        <v>38</v>
      </c>
      <c r="X955">
        <v>9</v>
      </c>
      <c r="Z955">
        <v>0</v>
      </c>
      <c r="AA955" t="s">
        <v>39</v>
      </c>
      <c r="AB955">
        <v>89</v>
      </c>
      <c r="AC955">
        <v>0</v>
      </c>
      <c r="AD955">
        <v>0</v>
      </c>
      <c r="AE955" t="s">
        <v>47</v>
      </c>
      <c r="AF955" s="1">
        <v>42475</v>
      </c>
    </row>
    <row r="956" spans="1:32" x14ac:dyDescent="0.25">
      <c r="A956" t="s">
        <v>41</v>
      </c>
      <c r="B956">
        <v>1</v>
      </c>
      <c r="C956">
        <v>317</v>
      </c>
      <c r="D956">
        <v>2016</v>
      </c>
      <c r="E956" t="s">
        <v>62</v>
      </c>
      <c r="F956">
        <v>38</v>
      </c>
      <c r="G956">
        <v>15</v>
      </c>
      <c r="H956">
        <v>0</v>
      </c>
      <c r="I956">
        <v>2</v>
      </c>
      <c r="J956">
        <v>2</v>
      </c>
      <c r="K956">
        <v>0</v>
      </c>
      <c r="L956">
        <v>0</v>
      </c>
      <c r="M956" t="s">
        <v>34</v>
      </c>
      <c r="N956" t="s">
        <v>43</v>
      </c>
      <c r="O956" t="s">
        <v>49</v>
      </c>
      <c r="P956" t="s">
        <v>45</v>
      </c>
      <c r="Q956">
        <v>0</v>
      </c>
      <c r="R956">
        <v>0</v>
      </c>
      <c r="S956">
        <v>0</v>
      </c>
      <c r="T956" t="s">
        <v>46</v>
      </c>
      <c r="U956" t="s">
        <v>46</v>
      </c>
      <c r="V956">
        <v>0</v>
      </c>
      <c r="W956" t="s">
        <v>68</v>
      </c>
      <c r="X956">
        <v>19</v>
      </c>
      <c r="Z956">
        <v>0</v>
      </c>
      <c r="AA956" t="s">
        <v>39</v>
      </c>
      <c r="AB956">
        <v>120</v>
      </c>
      <c r="AC956">
        <v>0</v>
      </c>
      <c r="AD956">
        <v>0</v>
      </c>
      <c r="AE956" t="s">
        <v>47</v>
      </c>
      <c r="AF956" s="1">
        <v>42409</v>
      </c>
    </row>
    <row r="957" spans="1:32" x14ac:dyDescent="0.25">
      <c r="A957" t="s">
        <v>32</v>
      </c>
      <c r="B957">
        <v>0</v>
      </c>
      <c r="C957">
        <v>129</v>
      </c>
      <c r="D957">
        <v>2016</v>
      </c>
      <c r="E957" t="s">
        <v>52</v>
      </c>
      <c r="F957">
        <v>14</v>
      </c>
      <c r="G957">
        <v>28</v>
      </c>
      <c r="H957">
        <v>2</v>
      </c>
      <c r="I957">
        <v>5</v>
      </c>
      <c r="J957">
        <v>3</v>
      </c>
      <c r="K957">
        <v>0</v>
      </c>
      <c r="L957">
        <v>0</v>
      </c>
      <c r="M957" t="s">
        <v>34</v>
      </c>
      <c r="N957" t="s">
        <v>65</v>
      </c>
      <c r="O957" t="s">
        <v>36</v>
      </c>
      <c r="P957" t="s">
        <v>36</v>
      </c>
      <c r="Q957">
        <v>0</v>
      </c>
      <c r="R957">
        <v>0</v>
      </c>
      <c r="S957">
        <v>0</v>
      </c>
      <c r="T957" t="s">
        <v>104</v>
      </c>
      <c r="U957" t="s">
        <v>104</v>
      </c>
      <c r="V957">
        <v>0</v>
      </c>
      <c r="W957" t="s">
        <v>38</v>
      </c>
      <c r="Z957">
        <v>0</v>
      </c>
      <c r="AA957" t="s">
        <v>39</v>
      </c>
      <c r="AB957">
        <v>88.84</v>
      </c>
      <c r="AC957">
        <v>0</v>
      </c>
      <c r="AD957">
        <v>1</v>
      </c>
      <c r="AE957" t="s">
        <v>40</v>
      </c>
      <c r="AF957" s="1">
        <v>42464</v>
      </c>
    </row>
    <row r="958" spans="1:32" x14ac:dyDescent="0.25">
      <c r="A958" t="s">
        <v>41</v>
      </c>
      <c r="B958">
        <v>1</v>
      </c>
      <c r="C958">
        <v>240</v>
      </c>
      <c r="D958">
        <v>2016</v>
      </c>
      <c r="E958" t="s">
        <v>33</v>
      </c>
      <c r="F958">
        <v>50</v>
      </c>
      <c r="G958">
        <v>10</v>
      </c>
      <c r="H958">
        <v>2</v>
      </c>
      <c r="I958">
        <v>1</v>
      </c>
      <c r="J958">
        <v>2</v>
      </c>
      <c r="K958">
        <v>0</v>
      </c>
      <c r="L958">
        <v>0</v>
      </c>
      <c r="M958" t="s">
        <v>55</v>
      </c>
      <c r="N958" t="s">
        <v>106</v>
      </c>
      <c r="O958" t="s">
        <v>44</v>
      </c>
      <c r="P958" t="s">
        <v>45</v>
      </c>
      <c r="Q958">
        <v>0</v>
      </c>
      <c r="R958">
        <v>0</v>
      </c>
      <c r="S958">
        <v>0</v>
      </c>
      <c r="T958" t="s">
        <v>46</v>
      </c>
      <c r="U958" t="s">
        <v>46</v>
      </c>
      <c r="V958">
        <v>0</v>
      </c>
      <c r="W958" t="s">
        <v>38</v>
      </c>
      <c r="X958">
        <v>9</v>
      </c>
      <c r="Z958">
        <v>0</v>
      </c>
      <c r="AA958" t="s">
        <v>39</v>
      </c>
      <c r="AB958">
        <v>67.5</v>
      </c>
      <c r="AC958">
        <v>0</v>
      </c>
      <c r="AD958">
        <v>2</v>
      </c>
      <c r="AE958" t="s">
        <v>47</v>
      </c>
      <c r="AF958" s="1">
        <v>42679</v>
      </c>
    </row>
    <row r="959" spans="1:32" x14ac:dyDescent="0.25">
      <c r="A959" t="s">
        <v>41</v>
      </c>
      <c r="B959">
        <v>0</v>
      </c>
      <c r="C959">
        <v>87</v>
      </c>
      <c r="D959">
        <v>2016</v>
      </c>
      <c r="E959" t="s">
        <v>69</v>
      </c>
      <c r="F959">
        <v>22</v>
      </c>
      <c r="G959">
        <v>22</v>
      </c>
      <c r="H959">
        <v>2</v>
      </c>
      <c r="I959">
        <v>5</v>
      </c>
      <c r="J959">
        <v>2</v>
      </c>
      <c r="K959">
        <v>0</v>
      </c>
      <c r="L959">
        <v>0</v>
      </c>
      <c r="M959" t="s">
        <v>55</v>
      </c>
      <c r="N959" t="s">
        <v>35</v>
      </c>
      <c r="O959" t="s">
        <v>49</v>
      </c>
      <c r="P959" t="s">
        <v>45</v>
      </c>
      <c r="Q959">
        <v>0</v>
      </c>
      <c r="R959">
        <v>0</v>
      </c>
      <c r="S959">
        <v>0</v>
      </c>
      <c r="T959" t="s">
        <v>46</v>
      </c>
      <c r="U959" t="s">
        <v>46</v>
      </c>
      <c r="V959">
        <v>0</v>
      </c>
      <c r="W959" t="s">
        <v>38</v>
      </c>
      <c r="X959">
        <v>138</v>
      </c>
      <c r="Z959">
        <v>0</v>
      </c>
      <c r="AA959" t="s">
        <v>39</v>
      </c>
      <c r="AB959">
        <v>85</v>
      </c>
      <c r="AC959">
        <v>0</v>
      </c>
      <c r="AD959">
        <v>0</v>
      </c>
      <c r="AE959" t="s">
        <v>40</v>
      </c>
      <c r="AF959" s="1">
        <v>42519</v>
      </c>
    </row>
    <row r="960" spans="1:32" x14ac:dyDescent="0.25">
      <c r="A960" t="s">
        <v>41</v>
      </c>
      <c r="B960">
        <v>0</v>
      </c>
      <c r="C960">
        <v>23</v>
      </c>
      <c r="D960">
        <v>2016</v>
      </c>
      <c r="E960" t="s">
        <v>52</v>
      </c>
      <c r="F960">
        <v>12</v>
      </c>
      <c r="G960">
        <v>18</v>
      </c>
      <c r="H960">
        <v>0</v>
      </c>
      <c r="I960">
        <v>1</v>
      </c>
      <c r="J960">
        <v>2</v>
      </c>
      <c r="K960">
        <v>1</v>
      </c>
      <c r="L960">
        <v>0</v>
      </c>
      <c r="M960" t="s">
        <v>34</v>
      </c>
      <c r="N960" t="s">
        <v>43</v>
      </c>
      <c r="O960" t="s">
        <v>44</v>
      </c>
      <c r="P960" t="s">
        <v>45</v>
      </c>
      <c r="Q960">
        <v>0</v>
      </c>
      <c r="R960">
        <v>0</v>
      </c>
      <c r="S960">
        <v>0</v>
      </c>
      <c r="T960" t="s">
        <v>46</v>
      </c>
      <c r="U960" t="s">
        <v>57</v>
      </c>
      <c r="V960">
        <v>0</v>
      </c>
      <c r="W960" t="s">
        <v>38</v>
      </c>
      <c r="X960">
        <v>9</v>
      </c>
      <c r="Z960">
        <v>0</v>
      </c>
      <c r="AA960" t="s">
        <v>51</v>
      </c>
      <c r="AB960">
        <v>109</v>
      </c>
      <c r="AC960">
        <v>0</v>
      </c>
      <c r="AD960">
        <v>2</v>
      </c>
      <c r="AE960" t="s">
        <v>40</v>
      </c>
      <c r="AF960" s="1">
        <v>42448</v>
      </c>
    </row>
    <row r="961" spans="1:32" x14ac:dyDescent="0.25">
      <c r="A961" t="s">
        <v>32</v>
      </c>
      <c r="B961">
        <v>0</v>
      </c>
      <c r="C961">
        <v>0</v>
      </c>
      <c r="D961">
        <v>2016</v>
      </c>
      <c r="E961" t="s">
        <v>59</v>
      </c>
      <c r="F961">
        <v>44</v>
      </c>
      <c r="G961">
        <v>28</v>
      </c>
      <c r="H961">
        <v>0</v>
      </c>
      <c r="I961">
        <v>1</v>
      </c>
      <c r="J961">
        <v>2</v>
      </c>
      <c r="K961">
        <v>0</v>
      </c>
      <c r="L961">
        <v>0</v>
      </c>
      <c r="M961" t="s">
        <v>34</v>
      </c>
      <c r="N961" t="s">
        <v>63</v>
      </c>
      <c r="O961" t="s">
        <v>36</v>
      </c>
      <c r="P961" t="s">
        <v>36</v>
      </c>
      <c r="Q961">
        <v>0</v>
      </c>
      <c r="R961">
        <v>0</v>
      </c>
      <c r="S961">
        <v>0</v>
      </c>
      <c r="T961" t="s">
        <v>57</v>
      </c>
      <c r="U961" t="s">
        <v>57</v>
      </c>
      <c r="V961">
        <v>0</v>
      </c>
      <c r="W961" t="s">
        <v>38</v>
      </c>
      <c r="Z961">
        <v>0</v>
      </c>
      <c r="AA961" t="s">
        <v>39</v>
      </c>
      <c r="AB961">
        <v>68</v>
      </c>
      <c r="AC961">
        <v>0</v>
      </c>
      <c r="AD961">
        <v>0</v>
      </c>
      <c r="AE961" t="s">
        <v>40</v>
      </c>
      <c r="AF961" s="1">
        <v>42672</v>
      </c>
    </row>
    <row r="962" spans="1:32" x14ac:dyDescent="0.25">
      <c r="A962" t="s">
        <v>32</v>
      </c>
      <c r="B962">
        <v>0</v>
      </c>
      <c r="C962">
        <v>132</v>
      </c>
      <c r="D962">
        <v>2016</v>
      </c>
      <c r="E962" t="s">
        <v>42</v>
      </c>
      <c r="F962">
        <v>30</v>
      </c>
      <c r="G962">
        <v>18</v>
      </c>
      <c r="H962">
        <v>1</v>
      </c>
      <c r="I962">
        <v>3</v>
      </c>
      <c r="J962">
        <v>2</v>
      </c>
      <c r="K962">
        <v>2</v>
      </c>
      <c r="L962">
        <v>0</v>
      </c>
      <c r="M962" t="s">
        <v>34</v>
      </c>
      <c r="N962" t="s">
        <v>43</v>
      </c>
      <c r="O962" t="s">
        <v>44</v>
      </c>
      <c r="P962" t="s">
        <v>45</v>
      </c>
      <c r="Q962">
        <v>0</v>
      </c>
      <c r="R962">
        <v>0</v>
      </c>
      <c r="S962">
        <v>0</v>
      </c>
      <c r="T962" t="s">
        <v>104</v>
      </c>
      <c r="U962" t="s">
        <v>104</v>
      </c>
      <c r="V962">
        <v>1</v>
      </c>
      <c r="W962" t="s">
        <v>38</v>
      </c>
      <c r="X962">
        <v>196</v>
      </c>
      <c r="Z962">
        <v>0</v>
      </c>
      <c r="AA962" t="s">
        <v>39</v>
      </c>
      <c r="AB962">
        <v>198.5</v>
      </c>
      <c r="AC962">
        <v>0</v>
      </c>
      <c r="AD962">
        <v>0</v>
      </c>
      <c r="AE962" t="s">
        <v>40</v>
      </c>
      <c r="AF962" s="1">
        <v>42573</v>
      </c>
    </row>
    <row r="963" spans="1:32" x14ac:dyDescent="0.25">
      <c r="A963" t="s">
        <v>41</v>
      </c>
      <c r="B963">
        <v>1</v>
      </c>
      <c r="C963">
        <v>479</v>
      </c>
      <c r="D963">
        <v>2017</v>
      </c>
      <c r="E963" t="s">
        <v>67</v>
      </c>
      <c r="F963">
        <v>32</v>
      </c>
      <c r="G963">
        <v>9</v>
      </c>
      <c r="H963">
        <v>0</v>
      </c>
      <c r="I963">
        <v>3</v>
      </c>
      <c r="J963">
        <v>2</v>
      </c>
      <c r="K963">
        <v>0</v>
      </c>
      <c r="L963">
        <v>0</v>
      </c>
      <c r="M963" t="s">
        <v>34</v>
      </c>
      <c r="N963" t="s">
        <v>43</v>
      </c>
      <c r="O963" t="s">
        <v>49</v>
      </c>
      <c r="P963" t="s">
        <v>45</v>
      </c>
      <c r="Q963">
        <v>0</v>
      </c>
      <c r="R963">
        <v>0</v>
      </c>
      <c r="S963">
        <v>0</v>
      </c>
      <c r="T963" t="s">
        <v>46</v>
      </c>
      <c r="U963" t="s">
        <v>46</v>
      </c>
      <c r="V963">
        <v>0</v>
      </c>
      <c r="W963" t="s">
        <v>38</v>
      </c>
      <c r="X963">
        <v>229</v>
      </c>
      <c r="Z963">
        <v>0</v>
      </c>
      <c r="AA963" t="s">
        <v>51</v>
      </c>
      <c r="AB963">
        <v>112.67</v>
      </c>
      <c r="AC963">
        <v>0</v>
      </c>
      <c r="AD963">
        <v>0</v>
      </c>
      <c r="AE963" t="s">
        <v>47</v>
      </c>
      <c r="AF963" s="1">
        <v>42943</v>
      </c>
    </row>
    <row r="964" spans="1:32" x14ac:dyDescent="0.25">
      <c r="A964" t="s">
        <v>41</v>
      </c>
      <c r="B964">
        <v>0</v>
      </c>
      <c r="C964">
        <v>405</v>
      </c>
      <c r="D964">
        <v>2017</v>
      </c>
      <c r="E964" t="s">
        <v>42</v>
      </c>
      <c r="F964">
        <v>27</v>
      </c>
      <c r="G964">
        <v>4</v>
      </c>
      <c r="H964">
        <v>0</v>
      </c>
      <c r="I964">
        <v>2</v>
      </c>
      <c r="J964">
        <v>2</v>
      </c>
      <c r="K964">
        <v>0</v>
      </c>
      <c r="L964">
        <v>0</v>
      </c>
      <c r="M964" t="s">
        <v>60</v>
      </c>
      <c r="N964" t="s">
        <v>56</v>
      </c>
      <c r="O964" t="s">
        <v>49</v>
      </c>
      <c r="P964" t="s">
        <v>45</v>
      </c>
      <c r="Q964">
        <v>0</v>
      </c>
      <c r="R964">
        <v>0</v>
      </c>
      <c r="S964">
        <v>0</v>
      </c>
      <c r="T964" t="s">
        <v>46</v>
      </c>
      <c r="U964" t="s">
        <v>46</v>
      </c>
      <c r="V964">
        <v>0</v>
      </c>
      <c r="W964" t="s">
        <v>38</v>
      </c>
      <c r="X964">
        <v>6</v>
      </c>
      <c r="Z964">
        <v>0</v>
      </c>
      <c r="AA964" t="s">
        <v>51</v>
      </c>
      <c r="AB964">
        <v>114.4</v>
      </c>
      <c r="AC964">
        <v>0</v>
      </c>
      <c r="AD964">
        <v>0</v>
      </c>
      <c r="AE964" t="s">
        <v>40</v>
      </c>
      <c r="AF964" s="1">
        <v>42922</v>
      </c>
    </row>
    <row r="965" spans="1:32" x14ac:dyDescent="0.25">
      <c r="A965" t="s">
        <v>32</v>
      </c>
      <c r="B965">
        <v>0</v>
      </c>
      <c r="C965">
        <v>29</v>
      </c>
      <c r="D965">
        <v>2017</v>
      </c>
      <c r="E965" t="s">
        <v>54</v>
      </c>
      <c r="F965">
        <v>15</v>
      </c>
      <c r="G965">
        <v>10</v>
      </c>
      <c r="H965">
        <v>1</v>
      </c>
      <c r="I965">
        <v>0</v>
      </c>
      <c r="J965">
        <v>2</v>
      </c>
      <c r="K965">
        <v>0</v>
      </c>
      <c r="L965">
        <v>0</v>
      </c>
      <c r="M965" t="s">
        <v>34</v>
      </c>
      <c r="N965" t="s">
        <v>63</v>
      </c>
      <c r="O965" t="s">
        <v>44</v>
      </c>
      <c r="P965" t="s">
        <v>45</v>
      </c>
      <c r="Q965">
        <v>0</v>
      </c>
      <c r="R965">
        <v>0</v>
      </c>
      <c r="S965">
        <v>0</v>
      </c>
      <c r="T965" t="s">
        <v>46</v>
      </c>
      <c r="U965" t="s">
        <v>46</v>
      </c>
      <c r="V965">
        <v>0</v>
      </c>
      <c r="W965" t="s">
        <v>38</v>
      </c>
      <c r="X965">
        <v>240</v>
      </c>
      <c r="Z965">
        <v>0</v>
      </c>
      <c r="AA965" t="s">
        <v>39</v>
      </c>
      <c r="AB965">
        <v>75</v>
      </c>
      <c r="AC965">
        <v>0</v>
      </c>
      <c r="AD965">
        <v>1</v>
      </c>
      <c r="AE965" t="s">
        <v>40</v>
      </c>
      <c r="AF965" s="1">
        <v>42836</v>
      </c>
    </row>
    <row r="966" spans="1:32" x14ac:dyDescent="0.25">
      <c r="A966" t="s">
        <v>41</v>
      </c>
      <c r="B966">
        <v>1</v>
      </c>
      <c r="C966">
        <v>188</v>
      </c>
      <c r="D966">
        <v>2016</v>
      </c>
      <c r="E966" t="s">
        <v>83</v>
      </c>
      <c r="F966">
        <v>25</v>
      </c>
      <c r="G966">
        <v>15</v>
      </c>
      <c r="H966">
        <v>0</v>
      </c>
      <c r="I966">
        <v>2</v>
      </c>
      <c r="J966">
        <v>1</v>
      </c>
      <c r="K966">
        <v>0</v>
      </c>
      <c r="L966">
        <v>0</v>
      </c>
      <c r="M966" t="s">
        <v>34</v>
      </c>
      <c r="N966" t="s">
        <v>43</v>
      </c>
      <c r="O966" t="s">
        <v>49</v>
      </c>
      <c r="P966" t="s">
        <v>45</v>
      </c>
      <c r="Q966">
        <v>0</v>
      </c>
      <c r="R966">
        <v>0</v>
      </c>
      <c r="S966">
        <v>0</v>
      </c>
      <c r="T966" t="s">
        <v>46</v>
      </c>
      <c r="U966" t="s">
        <v>46</v>
      </c>
      <c r="V966">
        <v>0</v>
      </c>
      <c r="W966" t="s">
        <v>68</v>
      </c>
      <c r="X966">
        <v>119</v>
      </c>
      <c r="Z966">
        <v>39</v>
      </c>
      <c r="AA966" t="s">
        <v>39</v>
      </c>
      <c r="AB966">
        <v>130</v>
      </c>
      <c r="AC966">
        <v>0</v>
      </c>
      <c r="AD966">
        <v>0</v>
      </c>
      <c r="AE966" t="s">
        <v>47</v>
      </c>
      <c r="AF966" s="1">
        <v>42387</v>
      </c>
    </row>
    <row r="967" spans="1:32" x14ac:dyDescent="0.25">
      <c r="A967" t="s">
        <v>32</v>
      </c>
      <c r="B967">
        <v>0</v>
      </c>
      <c r="C967">
        <v>109</v>
      </c>
      <c r="D967">
        <v>2015</v>
      </c>
      <c r="E967" t="s">
        <v>61</v>
      </c>
      <c r="F967">
        <v>46</v>
      </c>
      <c r="G967">
        <v>13</v>
      </c>
      <c r="H967">
        <v>0</v>
      </c>
      <c r="I967">
        <v>1</v>
      </c>
      <c r="J967">
        <v>2</v>
      </c>
      <c r="K967">
        <v>0</v>
      </c>
      <c r="L967">
        <v>0</v>
      </c>
      <c r="M967" t="s">
        <v>34</v>
      </c>
      <c r="N967" t="s">
        <v>43</v>
      </c>
      <c r="O967" t="s">
        <v>36</v>
      </c>
      <c r="P967" t="s">
        <v>36</v>
      </c>
      <c r="Q967">
        <v>0</v>
      </c>
      <c r="R967">
        <v>0</v>
      </c>
      <c r="S967">
        <v>0</v>
      </c>
      <c r="T967" t="s">
        <v>37</v>
      </c>
      <c r="U967" t="s">
        <v>37</v>
      </c>
      <c r="V967">
        <v>0</v>
      </c>
      <c r="W967" t="s">
        <v>38</v>
      </c>
      <c r="Z967">
        <v>0</v>
      </c>
      <c r="AA967" t="s">
        <v>39</v>
      </c>
      <c r="AB967">
        <v>80.8</v>
      </c>
      <c r="AC967">
        <v>1</v>
      </c>
      <c r="AD967">
        <v>2</v>
      </c>
      <c r="AE967" t="s">
        <v>40</v>
      </c>
      <c r="AF967" s="1">
        <v>42322</v>
      </c>
    </row>
    <row r="968" spans="1:32" x14ac:dyDescent="0.25">
      <c r="A968" t="s">
        <v>41</v>
      </c>
      <c r="B968">
        <v>1</v>
      </c>
      <c r="C968">
        <v>184</v>
      </c>
      <c r="D968">
        <v>2017</v>
      </c>
      <c r="E968" t="s">
        <v>67</v>
      </c>
      <c r="F968">
        <v>35</v>
      </c>
      <c r="G968">
        <v>28</v>
      </c>
      <c r="H968">
        <v>1</v>
      </c>
      <c r="I968">
        <v>2</v>
      </c>
      <c r="J968">
        <v>2</v>
      </c>
      <c r="K968">
        <v>0</v>
      </c>
      <c r="L968">
        <v>0</v>
      </c>
      <c r="M968" t="s">
        <v>34</v>
      </c>
      <c r="N968" t="s">
        <v>43</v>
      </c>
      <c r="O968" t="s">
        <v>36</v>
      </c>
      <c r="P968" t="s">
        <v>36</v>
      </c>
      <c r="Q968">
        <v>0</v>
      </c>
      <c r="R968">
        <v>0</v>
      </c>
      <c r="S968">
        <v>0</v>
      </c>
      <c r="T968" t="s">
        <v>72</v>
      </c>
      <c r="U968" t="s">
        <v>72</v>
      </c>
      <c r="V968">
        <v>0</v>
      </c>
      <c r="W968" t="s">
        <v>38</v>
      </c>
      <c r="X968">
        <v>14</v>
      </c>
      <c r="Z968">
        <v>0</v>
      </c>
      <c r="AA968" t="s">
        <v>39</v>
      </c>
      <c r="AB968">
        <v>191.67</v>
      </c>
      <c r="AC968">
        <v>0</v>
      </c>
      <c r="AD968">
        <v>3</v>
      </c>
      <c r="AE968" t="s">
        <v>47</v>
      </c>
      <c r="AF968" s="1">
        <v>42801</v>
      </c>
    </row>
    <row r="969" spans="1:32" x14ac:dyDescent="0.25">
      <c r="A969" t="s">
        <v>41</v>
      </c>
      <c r="B969">
        <v>0</v>
      </c>
      <c r="C969">
        <v>214</v>
      </c>
      <c r="D969">
        <v>2017</v>
      </c>
      <c r="E969" t="s">
        <v>69</v>
      </c>
      <c r="F969">
        <v>22</v>
      </c>
      <c r="G969">
        <v>28</v>
      </c>
      <c r="H969">
        <v>2</v>
      </c>
      <c r="I969">
        <v>4</v>
      </c>
      <c r="J969">
        <v>2</v>
      </c>
      <c r="K969">
        <v>0</v>
      </c>
      <c r="L969">
        <v>0</v>
      </c>
      <c r="M969" t="s">
        <v>55</v>
      </c>
      <c r="N969" t="s">
        <v>103</v>
      </c>
      <c r="O969" t="s">
        <v>44</v>
      </c>
      <c r="P969" t="s">
        <v>45</v>
      </c>
      <c r="Q969">
        <v>0</v>
      </c>
      <c r="R969">
        <v>0</v>
      </c>
      <c r="S969">
        <v>0</v>
      </c>
      <c r="T969" t="s">
        <v>46</v>
      </c>
      <c r="U969" t="s">
        <v>46</v>
      </c>
      <c r="V969">
        <v>0</v>
      </c>
      <c r="W969" t="s">
        <v>38</v>
      </c>
      <c r="X969">
        <v>9</v>
      </c>
      <c r="Z969">
        <v>0</v>
      </c>
      <c r="AA969" t="s">
        <v>39</v>
      </c>
      <c r="AB969">
        <v>115.8</v>
      </c>
      <c r="AC969">
        <v>0</v>
      </c>
      <c r="AD969">
        <v>0</v>
      </c>
      <c r="AE969" t="s">
        <v>40</v>
      </c>
      <c r="AF969" s="1">
        <v>42889</v>
      </c>
    </row>
    <row r="970" spans="1:32" x14ac:dyDescent="0.25">
      <c r="A970" t="s">
        <v>41</v>
      </c>
      <c r="B970">
        <v>0</v>
      </c>
      <c r="C970">
        <v>39</v>
      </c>
      <c r="D970">
        <v>2017</v>
      </c>
      <c r="E970" t="s">
        <v>67</v>
      </c>
      <c r="F970">
        <v>34</v>
      </c>
      <c r="G970">
        <v>20</v>
      </c>
      <c r="H970">
        <v>2</v>
      </c>
      <c r="I970">
        <v>0</v>
      </c>
      <c r="J970">
        <v>1</v>
      </c>
      <c r="K970">
        <v>0</v>
      </c>
      <c r="L970">
        <v>0</v>
      </c>
      <c r="M970" t="s">
        <v>34</v>
      </c>
      <c r="N970" t="s">
        <v>43</v>
      </c>
      <c r="O970" t="s">
        <v>49</v>
      </c>
      <c r="P970" t="s">
        <v>45</v>
      </c>
      <c r="Q970">
        <v>0</v>
      </c>
      <c r="R970">
        <v>0</v>
      </c>
      <c r="S970">
        <v>0</v>
      </c>
      <c r="T970" t="s">
        <v>46</v>
      </c>
      <c r="U970" t="s">
        <v>46</v>
      </c>
      <c r="V970">
        <v>0</v>
      </c>
      <c r="W970" t="s">
        <v>38</v>
      </c>
      <c r="X970">
        <v>310</v>
      </c>
      <c r="Z970">
        <v>0</v>
      </c>
      <c r="AA970" t="s">
        <v>39</v>
      </c>
      <c r="AB970">
        <v>140</v>
      </c>
      <c r="AC970">
        <v>0</v>
      </c>
      <c r="AD970">
        <v>0</v>
      </c>
      <c r="AE970" t="s">
        <v>40</v>
      </c>
      <c r="AF970" s="1">
        <v>42969</v>
      </c>
    </row>
    <row r="971" spans="1:32" x14ac:dyDescent="0.25">
      <c r="A971" t="s">
        <v>41</v>
      </c>
      <c r="B971">
        <v>0</v>
      </c>
      <c r="C971">
        <v>28</v>
      </c>
      <c r="D971">
        <v>2015</v>
      </c>
      <c r="E971" t="s">
        <v>62</v>
      </c>
      <c r="F971">
        <v>37</v>
      </c>
      <c r="G971">
        <v>10</v>
      </c>
      <c r="H971">
        <v>0</v>
      </c>
      <c r="I971">
        <v>2</v>
      </c>
      <c r="J971">
        <v>2</v>
      </c>
      <c r="K971">
        <v>0</v>
      </c>
      <c r="L971">
        <v>0</v>
      </c>
      <c r="M971" t="s">
        <v>34</v>
      </c>
      <c r="N971" t="s">
        <v>99</v>
      </c>
      <c r="O971" t="s">
        <v>49</v>
      </c>
      <c r="P971" t="s">
        <v>45</v>
      </c>
      <c r="Q971">
        <v>0</v>
      </c>
      <c r="R971">
        <v>0</v>
      </c>
      <c r="S971">
        <v>0</v>
      </c>
      <c r="T971" t="s">
        <v>57</v>
      </c>
      <c r="U971" t="s">
        <v>57</v>
      </c>
      <c r="V971">
        <v>0</v>
      </c>
      <c r="W971" t="s">
        <v>38</v>
      </c>
      <c r="X971">
        <v>50</v>
      </c>
      <c r="Z971">
        <v>0</v>
      </c>
      <c r="AA971" t="s">
        <v>39</v>
      </c>
      <c r="AB971">
        <v>97</v>
      </c>
      <c r="AC971">
        <v>0</v>
      </c>
      <c r="AD971">
        <v>0</v>
      </c>
      <c r="AE971" t="s">
        <v>40</v>
      </c>
      <c r="AF971" s="1">
        <v>42259</v>
      </c>
    </row>
    <row r="972" spans="1:32" x14ac:dyDescent="0.25">
      <c r="A972" t="s">
        <v>32</v>
      </c>
      <c r="B972">
        <v>0</v>
      </c>
      <c r="C972">
        <v>283</v>
      </c>
      <c r="D972">
        <v>2015</v>
      </c>
      <c r="E972" t="s">
        <v>59</v>
      </c>
      <c r="F972">
        <v>42</v>
      </c>
      <c r="G972">
        <v>12</v>
      </c>
      <c r="H972">
        <v>2</v>
      </c>
      <c r="I972">
        <v>5</v>
      </c>
      <c r="J972">
        <v>2</v>
      </c>
      <c r="K972">
        <v>0</v>
      </c>
      <c r="L972">
        <v>0</v>
      </c>
      <c r="M972" t="s">
        <v>34</v>
      </c>
      <c r="N972" t="s">
        <v>35</v>
      </c>
      <c r="O972" t="s">
        <v>64</v>
      </c>
      <c r="P972" t="s">
        <v>36</v>
      </c>
      <c r="Q972">
        <v>0</v>
      </c>
      <c r="R972">
        <v>0</v>
      </c>
      <c r="S972">
        <v>0</v>
      </c>
      <c r="T972" t="s">
        <v>72</v>
      </c>
      <c r="U972" t="s">
        <v>72</v>
      </c>
      <c r="V972">
        <v>0</v>
      </c>
      <c r="W972" t="s">
        <v>38</v>
      </c>
      <c r="X972">
        <v>273</v>
      </c>
      <c r="Z972">
        <v>0</v>
      </c>
      <c r="AA972" t="s">
        <v>51</v>
      </c>
      <c r="AB972">
        <v>77.290000000000006</v>
      </c>
      <c r="AC972">
        <v>0</v>
      </c>
      <c r="AD972">
        <v>0</v>
      </c>
      <c r="AE972" t="s">
        <v>40</v>
      </c>
      <c r="AF972" s="1">
        <v>42296</v>
      </c>
    </row>
    <row r="973" spans="1:32" x14ac:dyDescent="0.25">
      <c r="A973" t="s">
        <v>41</v>
      </c>
      <c r="B973">
        <v>0</v>
      </c>
      <c r="C973">
        <v>57</v>
      </c>
      <c r="D973">
        <v>2016</v>
      </c>
      <c r="E973" t="s">
        <v>66</v>
      </c>
      <c r="F973">
        <v>7</v>
      </c>
      <c r="G973">
        <v>7</v>
      </c>
      <c r="H973">
        <v>2</v>
      </c>
      <c r="I973">
        <v>2</v>
      </c>
      <c r="J973">
        <v>2</v>
      </c>
      <c r="K973">
        <v>0</v>
      </c>
      <c r="L973">
        <v>0</v>
      </c>
      <c r="M973" t="s">
        <v>34</v>
      </c>
      <c r="N973" t="s">
        <v>65</v>
      </c>
      <c r="O973" t="s">
        <v>36</v>
      </c>
      <c r="P973" t="s">
        <v>36</v>
      </c>
      <c r="Q973">
        <v>0</v>
      </c>
      <c r="R973">
        <v>0</v>
      </c>
      <c r="S973">
        <v>0</v>
      </c>
      <c r="T973" t="s">
        <v>86</v>
      </c>
      <c r="U973" t="s">
        <v>86</v>
      </c>
      <c r="V973">
        <v>0</v>
      </c>
      <c r="W973" t="s">
        <v>38</v>
      </c>
      <c r="Z973">
        <v>0</v>
      </c>
      <c r="AA973" t="s">
        <v>39</v>
      </c>
      <c r="AB973">
        <v>65</v>
      </c>
      <c r="AC973">
        <v>0</v>
      </c>
      <c r="AD973">
        <v>1</v>
      </c>
      <c r="AE973" t="s">
        <v>40</v>
      </c>
      <c r="AF973" s="1">
        <v>42411</v>
      </c>
    </row>
    <row r="974" spans="1:32" x14ac:dyDescent="0.25">
      <c r="A974" t="s">
        <v>32</v>
      </c>
      <c r="B974">
        <v>0</v>
      </c>
      <c r="C974">
        <v>1</v>
      </c>
      <c r="D974">
        <v>2015</v>
      </c>
      <c r="E974" t="s">
        <v>42</v>
      </c>
      <c r="F974">
        <v>27</v>
      </c>
      <c r="G974">
        <v>4</v>
      </c>
      <c r="H974">
        <v>1</v>
      </c>
      <c r="I974">
        <v>1</v>
      </c>
      <c r="J974">
        <v>2</v>
      </c>
      <c r="K974">
        <v>0</v>
      </c>
      <c r="L974">
        <v>0</v>
      </c>
      <c r="M974" t="s">
        <v>34</v>
      </c>
      <c r="N974" t="s">
        <v>43</v>
      </c>
      <c r="O974" t="s">
        <v>44</v>
      </c>
      <c r="P974" t="s">
        <v>45</v>
      </c>
      <c r="Q974">
        <v>0</v>
      </c>
      <c r="R974">
        <v>0</v>
      </c>
      <c r="S974">
        <v>0</v>
      </c>
      <c r="T974" t="s">
        <v>46</v>
      </c>
      <c r="U974" t="s">
        <v>46</v>
      </c>
      <c r="V974">
        <v>0</v>
      </c>
      <c r="W974" t="s">
        <v>38</v>
      </c>
      <c r="X974">
        <v>240</v>
      </c>
      <c r="Z974">
        <v>0</v>
      </c>
      <c r="AA974" t="s">
        <v>39</v>
      </c>
      <c r="AB974">
        <v>114.5</v>
      </c>
      <c r="AC974">
        <v>0</v>
      </c>
      <c r="AD974">
        <v>0</v>
      </c>
      <c r="AE974" t="s">
        <v>40</v>
      </c>
      <c r="AF974" s="1">
        <v>42191</v>
      </c>
    </row>
    <row r="975" spans="1:32" x14ac:dyDescent="0.25">
      <c r="A975" t="s">
        <v>41</v>
      </c>
      <c r="B975">
        <v>1</v>
      </c>
      <c r="C975">
        <v>107</v>
      </c>
      <c r="D975">
        <v>2016</v>
      </c>
      <c r="E975" t="s">
        <v>54</v>
      </c>
      <c r="F975">
        <v>16</v>
      </c>
      <c r="G975">
        <v>14</v>
      </c>
      <c r="H975">
        <v>0</v>
      </c>
      <c r="I975">
        <v>3</v>
      </c>
      <c r="J975">
        <v>2</v>
      </c>
      <c r="K975">
        <v>0</v>
      </c>
      <c r="L975">
        <v>0</v>
      </c>
      <c r="M975" t="s">
        <v>34</v>
      </c>
      <c r="N975" t="s">
        <v>95</v>
      </c>
      <c r="O975" t="s">
        <v>44</v>
      </c>
      <c r="P975" t="s">
        <v>45</v>
      </c>
      <c r="Q975">
        <v>0</v>
      </c>
      <c r="R975">
        <v>0</v>
      </c>
      <c r="S975">
        <v>0</v>
      </c>
      <c r="T975" t="s">
        <v>57</v>
      </c>
      <c r="U975" t="s">
        <v>57</v>
      </c>
      <c r="V975">
        <v>0</v>
      </c>
      <c r="W975" t="s">
        <v>38</v>
      </c>
      <c r="X975">
        <v>9</v>
      </c>
      <c r="Z975">
        <v>0</v>
      </c>
      <c r="AA975" t="s">
        <v>39</v>
      </c>
      <c r="AB975">
        <v>102.3</v>
      </c>
      <c r="AC975">
        <v>0</v>
      </c>
      <c r="AD975">
        <v>1</v>
      </c>
      <c r="AE975" t="s">
        <v>47</v>
      </c>
      <c r="AF975" s="1">
        <v>42437</v>
      </c>
    </row>
    <row r="976" spans="1:32" x14ac:dyDescent="0.25">
      <c r="A976" t="s">
        <v>41</v>
      </c>
      <c r="B976">
        <v>0</v>
      </c>
      <c r="C976">
        <v>74</v>
      </c>
      <c r="D976">
        <v>2016</v>
      </c>
      <c r="E976" t="s">
        <v>52</v>
      </c>
      <c r="F976">
        <v>13</v>
      </c>
      <c r="G976">
        <v>20</v>
      </c>
      <c r="H976">
        <v>2</v>
      </c>
      <c r="I976">
        <v>2</v>
      </c>
      <c r="J976">
        <v>2</v>
      </c>
      <c r="K976">
        <v>0</v>
      </c>
      <c r="L976">
        <v>0</v>
      </c>
      <c r="M976" t="s">
        <v>34</v>
      </c>
      <c r="N976" t="s">
        <v>106</v>
      </c>
      <c r="O976" t="s">
        <v>44</v>
      </c>
      <c r="P976" t="s">
        <v>45</v>
      </c>
      <c r="Q976">
        <v>0</v>
      </c>
      <c r="R976">
        <v>0</v>
      </c>
      <c r="S976">
        <v>0</v>
      </c>
      <c r="T976" t="s">
        <v>46</v>
      </c>
      <c r="U976" t="s">
        <v>46</v>
      </c>
      <c r="V976">
        <v>0</v>
      </c>
      <c r="W976" t="s">
        <v>38</v>
      </c>
      <c r="X976">
        <v>9</v>
      </c>
      <c r="Z976">
        <v>0</v>
      </c>
      <c r="AA976" t="s">
        <v>39</v>
      </c>
      <c r="AB976">
        <v>82.45</v>
      </c>
      <c r="AC976">
        <v>0</v>
      </c>
      <c r="AD976">
        <v>1</v>
      </c>
      <c r="AE976" t="s">
        <v>40</v>
      </c>
      <c r="AF976" s="1">
        <v>42453</v>
      </c>
    </row>
    <row r="977" spans="1:32" x14ac:dyDescent="0.25">
      <c r="A977" t="s">
        <v>41</v>
      </c>
      <c r="B977">
        <v>0</v>
      </c>
      <c r="C977">
        <v>133</v>
      </c>
      <c r="D977">
        <v>2017</v>
      </c>
      <c r="E977" t="s">
        <v>54</v>
      </c>
      <c r="F977">
        <v>16</v>
      </c>
      <c r="G977">
        <v>19</v>
      </c>
      <c r="H977">
        <v>0</v>
      </c>
      <c r="I977">
        <v>4</v>
      </c>
      <c r="J977">
        <v>2</v>
      </c>
      <c r="K977">
        <v>0</v>
      </c>
      <c r="L977">
        <v>0</v>
      </c>
      <c r="M977" t="s">
        <v>34</v>
      </c>
      <c r="N977" t="s">
        <v>127</v>
      </c>
      <c r="O977" t="s">
        <v>49</v>
      </c>
      <c r="P977" t="s">
        <v>45</v>
      </c>
      <c r="Q977">
        <v>0</v>
      </c>
      <c r="R977">
        <v>0</v>
      </c>
      <c r="S977">
        <v>0</v>
      </c>
      <c r="T977" t="s">
        <v>46</v>
      </c>
      <c r="U977" t="s">
        <v>46</v>
      </c>
      <c r="V977">
        <v>0</v>
      </c>
      <c r="W977" t="s">
        <v>38</v>
      </c>
      <c r="X977">
        <v>390</v>
      </c>
      <c r="Z977">
        <v>0</v>
      </c>
      <c r="AA977" t="s">
        <v>51</v>
      </c>
      <c r="AB977">
        <v>124</v>
      </c>
      <c r="AC977">
        <v>0</v>
      </c>
      <c r="AD977">
        <v>0</v>
      </c>
      <c r="AE977" t="s">
        <v>40</v>
      </c>
      <c r="AF977" s="1">
        <v>42848</v>
      </c>
    </row>
    <row r="978" spans="1:32" x14ac:dyDescent="0.25">
      <c r="A978" t="s">
        <v>41</v>
      </c>
      <c r="B978">
        <v>0</v>
      </c>
      <c r="C978">
        <v>0</v>
      </c>
      <c r="D978">
        <v>2015</v>
      </c>
      <c r="E978" t="s">
        <v>67</v>
      </c>
      <c r="F978">
        <v>34</v>
      </c>
      <c r="G978">
        <v>18</v>
      </c>
      <c r="H978">
        <v>0</v>
      </c>
      <c r="I978">
        <v>1</v>
      </c>
      <c r="J978">
        <v>1</v>
      </c>
      <c r="K978">
        <v>0</v>
      </c>
      <c r="L978">
        <v>0</v>
      </c>
      <c r="M978" t="s">
        <v>55</v>
      </c>
      <c r="N978" t="s">
        <v>97</v>
      </c>
      <c r="O978" t="s">
        <v>36</v>
      </c>
      <c r="P978" t="s">
        <v>36</v>
      </c>
      <c r="Q978">
        <v>0</v>
      </c>
      <c r="R978">
        <v>0</v>
      </c>
      <c r="S978">
        <v>0</v>
      </c>
      <c r="T978" t="s">
        <v>57</v>
      </c>
      <c r="U978" t="s">
        <v>57</v>
      </c>
      <c r="V978">
        <v>0</v>
      </c>
      <c r="W978" t="s">
        <v>38</v>
      </c>
      <c r="Z978">
        <v>0</v>
      </c>
      <c r="AA978" t="s">
        <v>39</v>
      </c>
      <c r="AB978">
        <v>100</v>
      </c>
      <c r="AC978">
        <v>0</v>
      </c>
      <c r="AD978">
        <v>0</v>
      </c>
      <c r="AE978" t="s">
        <v>40</v>
      </c>
      <c r="AF978" s="1">
        <v>42235</v>
      </c>
    </row>
    <row r="979" spans="1:32" x14ac:dyDescent="0.25">
      <c r="A979" t="s">
        <v>41</v>
      </c>
      <c r="B979">
        <v>1</v>
      </c>
      <c r="C979">
        <v>277</v>
      </c>
      <c r="D979">
        <v>2016</v>
      </c>
      <c r="E979" t="s">
        <v>61</v>
      </c>
      <c r="F979">
        <v>46</v>
      </c>
      <c r="G979">
        <v>7</v>
      </c>
      <c r="H979">
        <v>1</v>
      </c>
      <c r="I979">
        <v>2</v>
      </c>
      <c r="J979">
        <v>2</v>
      </c>
      <c r="K979">
        <v>0</v>
      </c>
      <c r="L979">
        <v>0</v>
      </c>
      <c r="M979" t="s">
        <v>34</v>
      </c>
      <c r="N979" t="s">
        <v>43</v>
      </c>
      <c r="O979" t="s">
        <v>64</v>
      </c>
      <c r="P979" t="s">
        <v>45</v>
      </c>
      <c r="Q979">
        <v>0</v>
      </c>
      <c r="R979">
        <v>0</v>
      </c>
      <c r="S979">
        <v>0</v>
      </c>
      <c r="T979" t="s">
        <v>46</v>
      </c>
      <c r="U979" t="s">
        <v>46</v>
      </c>
      <c r="V979">
        <v>0</v>
      </c>
      <c r="W979" t="s">
        <v>68</v>
      </c>
      <c r="Z979">
        <v>0</v>
      </c>
      <c r="AA979" t="s">
        <v>39</v>
      </c>
      <c r="AB979">
        <v>100</v>
      </c>
      <c r="AC979">
        <v>0</v>
      </c>
      <c r="AD979">
        <v>0</v>
      </c>
      <c r="AE979" t="s">
        <v>47</v>
      </c>
      <c r="AF979" s="1">
        <v>42464</v>
      </c>
    </row>
    <row r="980" spans="1:32" x14ac:dyDescent="0.25">
      <c r="A980" t="s">
        <v>41</v>
      </c>
      <c r="B980">
        <v>0</v>
      </c>
      <c r="C980">
        <v>2</v>
      </c>
      <c r="D980">
        <v>2016</v>
      </c>
      <c r="E980" t="s">
        <v>67</v>
      </c>
      <c r="F980">
        <v>33</v>
      </c>
      <c r="G980">
        <v>13</v>
      </c>
      <c r="H980">
        <v>0</v>
      </c>
      <c r="I980">
        <v>1</v>
      </c>
      <c r="J980">
        <v>2</v>
      </c>
      <c r="K980">
        <v>1</v>
      </c>
      <c r="L980">
        <v>0</v>
      </c>
      <c r="M980" t="s">
        <v>34</v>
      </c>
      <c r="N980" t="s">
        <v>43</v>
      </c>
      <c r="O980" t="s">
        <v>36</v>
      </c>
      <c r="P980" t="s">
        <v>36</v>
      </c>
      <c r="Q980">
        <v>0</v>
      </c>
      <c r="R980">
        <v>0</v>
      </c>
      <c r="S980">
        <v>0</v>
      </c>
      <c r="T980" t="s">
        <v>57</v>
      </c>
      <c r="U980" t="s">
        <v>57</v>
      </c>
      <c r="V980">
        <v>0</v>
      </c>
      <c r="W980" t="s">
        <v>38</v>
      </c>
      <c r="X980">
        <v>14</v>
      </c>
      <c r="Z980">
        <v>0</v>
      </c>
      <c r="AA980" t="s">
        <v>39</v>
      </c>
      <c r="AB980">
        <v>175.65</v>
      </c>
      <c r="AC980">
        <v>0</v>
      </c>
      <c r="AD980">
        <v>2</v>
      </c>
      <c r="AE980" t="s">
        <v>40</v>
      </c>
      <c r="AF980" s="1">
        <v>42596</v>
      </c>
    </row>
    <row r="981" spans="1:32" x14ac:dyDescent="0.25">
      <c r="A981" t="s">
        <v>32</v>
      </c>
      <c r="B981">
        <v>0</v>
      </c>
      <c r="C981">
        <v>2</v>
      </c>
      <c r="D981">
        <v>2017</v>
      </c>
      <c r="E981" t="s">
        <v>69</v>
      </c>
      <c r="F981">
        <v>19</v>
      </c>
      <c r="G981">
        <v>7</v>
      </c>
      <c r="H981">
        <v>2</v>
      </c>
      <c r="I981">
        <v>0</v>
      </c>
      <c r="J981">
        <v>2</v>
      </c>
      <c r="K981">
        <v>0</v>
      </c>
      <c r="L981">
        <v>0</v>
      </c>
      <c r="M981" t="s">
        <v>34</v>
      </c>
      <c r="N981" t="s">
        <v>43</v>
      </c>
      <c r="O981" t="s">
        <v>44</v>
      </c>
      <c r="P981" t="s">
        <v>45</v>
      </c>
      <c r="Q981">
        <v>0</v>
      </c>
      <c r="R981">
        <v>0</v>
      </c>
      <c r="S981">
        <v>0</v>
      </c>
      <c r="T981" t="s">
        <v>46</v>
      </c>
      <c r="U981" t="s">
        <v>86</v>
      </c>
      <c r="V981">
        <v>0</v>
      </c>
      <c r="W981" t="s">
        <v>38</v>
      </c>
      <c r="X981">
        <v>240</v>
      </c>
      <c r="Z981">
        <v>0</v>
      </c>
      <c r="AA981" t="s">
        <v>39</v>
      </c>
      <c r="AB981">
        <v>79.5</v>
      </c>
      <c r="AC981">
        <v>1</v>
      </c>
      <c r="AD981">
        <v>1</v>
      </c>
      <c r="AE981" t="s">
        <v>40</v>
      </c>
      <c r="AF981" s="1">
        <v>42864</v>
      </c>
    </row>
    <row r="982" spans="1:32" x14ac:dyDescent="0.25">
      <c r="A982" t="s">
        <v>32</v>
      </c>
      <c r="B982">
        <v>0</v>
      </c>
      <c r="C982">
        <v>152</v>
      </c>
      <c r="D982">
        <v>2016</v>
      </c>
      <c r="E982" t="s">
        <v>62</v>
      </c>
      <c r="F982">
        <v>40</v>
      </c>
      <c r="G982">
        <v>26</v>
      </c>
      <c r="H982">
        <v>2</v>
      </c>
      <c r="I982">
        <v>5</v>
      </c>
      <c r="J982">
        <v>1</v>
      </c>
      <c r="K982">
        <v>0</v>
      </c>
      <c r="L982">
        <v>0</v>
      </c>
      <c r="M982" t="s">
        <v>60</v>
      </c>
      <c r="N982" t="s">
        <v>35</v>
      </c>
      <c r="O982" t="s">
        <v>64</v>
      </c>
      <c r="P982" t="s">
        <v>45</v>
      </c>
      <c r="Q982">
        <v>0</v>
      </c>
      <c r="R982">
        <v>0</v>
      </c>
      <c r="S982">
        <v>0</v>
      </c>
      <c r="T982" t="s">
        <v>46</v>
      </c>
      <c r="U982" t="s">
        <v>46</v>
      </c>
      <c r="V982">
        <v>0</v>
      </c>
      <c r="W982" t="s">
        <v>38</v>
      </c>
      <c r="X982">
        <v>253</v>
      </c>
      <c r="Z982">
        <v>0</v>
      </c>
      <c r="AA982" t="s">
        <v>51</v>
      </c>
      <c r="AB982">
        <v>48.5</v>
      </c>
      <c r="AC982">
        <v>0</v>
      </c>
      <c r="AD982">
        <v>0</v>
      </c>
      <c r="AE982" t="s">
        <v>40</v>
      </c>
      <c r="AF982" s="1">
        <v>42646</v>
      </c>
    </row>
    <row r="983" spans="1:32" x14ac:dyDescent="0.25">
      <c r="A983" t="s">
        <v>41</v>
      </c>
      <c r="B983">
        <v>0</v>
      </c>
      <c r="C983">
        <v>44</v>
      </c>
      <c r="D983">
        <v>2016</v>
      </c>
      <c r="E983" t="s">
        <v>83</v>
      </c>
      <c r="F983">
        <v>26</v>
      </c>
      <c r="G983">
        <v>19</v>
      </c>
      <c r="H983">
        <v>1</v>
      </c>
      <c r="I983">
        <v>0</v>
      </c>
      <c r="J983">
        <v>2</v>
      </c>
      <c r="K983">
        <v>0</v>
      </c>
      <c r="L983">
        <v>0</v>
      </c>
      <c r="M983" t="s">
        <v>34</v>
      </c>
      <c r="N983" t="s">
        <v>43</v>
      </c>
      <c r="O983" t="s">
        <v>44</v>
      </c>
      <c r="P983" t="s">
        <v>45</v>
      </c>
      <c r="Q983">
        <v>0</v>
      </c>
      <c r="R983">
        <v>0</v>
      </c>
      <c r="S983">
        <v>0</v>
      </c>
      <c r="T983" t="s">
        <v>46</v>
      </c>
      <c r="U983" t="s">
        <v>104</v>
      </c>
      <c r="V983">
        <v>0</v>
      </c>
      <c r="W983" t="s">
        <v>38</v>
      </c>
      <c r="X983">
        <v>7</v>
      </c>
      <c r="Z983">
        <v>0</v>
      </c>
      <c r="AA983" t="s">
        <v>39</v>
      </c>
      <c r="AB983">
        <v>99.1</v>
      </c>
      <c r="AC983">
        <v>0</v>
      </c>
      <c r="AD983">
        <v>1</v>
      </c>
      <c r="AE983" t="s">
        <v>40</v>
      </c>
      <c r="AF983" s="1">
        <v>42541</v>
      </c>
    </row>
    <row r="984" spans="1:32" x14ac:dyDescent="0.25">
      <c r="A984" t="s">
        <v>32</v>
      </c>
      <c r="B984">
        <v>0</v>
      </c>
      <c r="C984">
        <v>178</v>
      </c>
      <c r="D984">
        <v>2016</v>
      </c>
      <c r="E984" t="s">
        <v>42</v>
      </c>
      <c r="F984">
        <v>29</v>
      </c>
      <c r="G984">
        <v>11</v>
      </c>
      <c r="H984">
        <v>1</v>
      </c>
      <c r="I984">
        <v>3</v>
      </c>
      <c r="J984">
        <v>2</v>
      </c>
      <c r="K984">
        <v>0</v>
      </c>
      <c r="L984">
        <v>0</v>
      </c>
      <c r="M984" t="s">
        <v>34</v>
      </c>
      <c r="N984" t="s">
        <v>43</v>
      </c>
      <c r="O984" t="s">
        <v>36</v>
      </c>
      <c r="P984" t="s">
        <v>36</v>
      </c>
      <c r="Q984">
        <v>0</v>
      </c>
      <c r="R984">
        <v>0</v>
      </c>
      <c r="S984">
        <v>0</v>
      </c>
      <c r="T984" t="s">
        <v>46</v>
      </c>
      <c r="U984" t="s">
        <v>46</v>
      </c>
      <c r="V984">
        <v>0</v>
      </c>
      <c r="W984" t="s">
        <v>38</v>
      </c>
      <c r="X984">
        <v>250</v>
      </c>
      <c r="Z984">
        <v>0</v>
      </c>
      <c r="AA984" t="s">
        <v>39</v>
      </c>
      <c r="AB984">
        <v>102.9</v>
      </c>
      <c r="AC984">
        <v>1</v>
      </c>
      <c r="AD984">
        <v>0</v>
      </c>
      <c r="AE984" t="s">
        <v>40</v>
      </c>
      <c r="AF984" s="1">
        <v>42566</v>
      </c>
    </row>
    <row r="985" spans="1:32" x14ac:dyDescent="0.25">
      <c r="A985" t="s">
        <v>41</v>
      </c>
      <c r="B985">
        <v>1</v>
      </c>
      <c r="C985">
        <v>71</v>
      </c>
      <c r="D985">
        <v>2016</v>
      </c>
      <c r="E985" t="s">
        <v>83</v>
      </c>
      <c r="F985">
        <v>25</v>
      </c>
      <c r="G985">
        <v>14</v>
      </c>
      <c r="H985">
        <v>0</v>
      </c>
      <c r="I985">
        <v>3</v>
      </c>
      <c r="J985">
        <v>1</v>
      </c>
      <c r="K985">
        <v>0</v>
      </c>
      <c r="L985">
        <v>0</v>
      </c>
      <c r="M985" t="s">
        <v>34</v>
      </c>
      <c r="N985" t="s">
        <v>43</v>
      </c>
      <c r="O985" t="s">
        <v>49</v>
      </c>
      <c r="P985" t="s">
        <v>45</v>
      </c>
      <c r="Q985">
        <v>0</v>
      </c>
      <c r="R985">
        <v>0</v>
      </c>
      <c r="S985">
        <v>0</v>
      </c>
      <c r="T985" t="s">
        <v>46</v>
      </c>
      <c r="U985" t="s">
        <v>46</v>
      </c>
      <c r="V985">
        <v>0</v>
      </c>
      <c r="W985" t="s">
        <v>68</v>
      </c>
      <c r="X985">
        <v>236</v>
      </c>
      <c r="Z985">
        <v>0</v>
      </c>
      <c r="AA985" t="s">
        <v>39</v>
      </c>
      <c r="AB985">
        <v>120</v>
      </c>
      <c r="AC985">
        <v>0</v>
      </c>
      <c r="AD985">
        <v>0</v>
      </c>
      <c r="AE985" t="s">
        <v>47</v>
      </c>
      <c r="AF985" s="1">
        <v>42487</v>
      </c>
    </row>
    <row r="986" spans="1:32" x14ac:dyDescent="0.25">
      <c r="A986" t="s">
        <v>41</v>
      </c>
      <c r="B986">
        <v>0</v>
      </c>
      <c r="C986">
        <v>13</v>
      </c>
      <c r="D986">
        <v>2016</v>
      </c>
      <c r="E986" t="s">
        <v>83</v>
      </c>
      <c r="F986">
        <v>26</v>
      </c>
      <c r="G986">
        <v>20</v>
      </c>
      <c r="H986">
        <v>1</v>
      </c>
      <c r="I986">
        <v>3</v>
      </c>
      <c r="J986">
        <v>2</v>
      </c>
      <c r="K986">
        <v>0</v>
      </c>
      <c r="L986">
        <v>0</v>
      </c>
      <c r="M986" t="s">
        <v>34</v>
      </c>
      <c r="N986" t="s">
        <v>128</v>
      </c>
      <c r="O986" t="s">
        <v>44</v>
      </c>
      <c r="P986" t="s">
        <v>45</v>
      </c>
      <c r="Q986">
        <v>0</v>
      </c>
      <c r="R986">
        <v>0</v>
      </c>
      <c r="S986">
        <v>0</v>
      </c>
      <c r="T986" t="s">
        <v>46</v>
      </c>
      <c r="U986" t="s">
        <v>46</v>
      </c>
      <c r="V986">
        <v>0</v>
      </c>
      <c r="W986" t="s">
        <v>38</v>
      </c>
      <c r="X986">
        <v>9</v>
      </c>
      <c r="Z986">
        <v>0</v>
      </c>
      <c r="AA986" t="s">
        <v>39</v>
      </c>
      <c r="AB986">
        <v>131</v>
      </c>
      <c r="AC986">
        <v>0</v>
      </c>
      <c r="AD986">
        <v>1</v>
      </c>
      <c r="AE986" t="s">
        <v>40</v>
      </c>
      <c r="AF986" s="1">
        <v>42545</v>
      </c>
    </row>
    <row r="987" spans="1:32" x14ac:dyDescent="0.25">
      <c r="A987" t="s">
        <v>41</v>
      </c>
      <c r="B987">
        <v>0</v>
      </c>
      <c r="C987">
        <v>1</v>
      </c>
      <c r="D987">
        <v>2017</v>
      </c>
      <c r="E987" t="s">
        <v>66</v>
      </c>
      <c r="F987">
        <v>5</v>
      </c>
      <c r="G987">
        <v>2</v>
      </c>
      <c r="H987">
        <v>0</v>
      </c>
      <c r="I987">
        <v>1</v>
      </c>
      <c r="J987">
        <v>1</v>
      </c>
      <c r="K987">
        <v>0</v>
      </c>
      <c r="L987">
        <v>0</v>
      </c>
      <c r="M987" t="s">
        <v>34</v>
      </c>
      <c r="N987" t="s">
        <v>43</v>
      </c>
      <c r="O987" t="s">
        <v>36</v>
      </c>
      <c r="P987" t="s">
        <v>36</v>
      </c>
      <c r="Q987">
        <v>1</v>
      </c>
      <c r="R987">
        <v>1</v>
      </c>
      <c r="S987">
        <v>6</v>
      </c>
      <c r="T987" t="s">
        <v>72</v>
      </c>
      <c r="U987" t="s">
        <v>72</v>
      </c>
      <c r="V987">
        <v>1</v>
      </c>
      <c r="W987" t="s">
        <v>38</v>
      </c>
      <c r="Z987">
        <v>0</v>
      </c>
      <c r="AA987" t="s">
        <v>39</v>
      </c>
      <c r="AB987">
        <v>110</v>
      </c>
      <c r="AC987">
        <v>0</v>
      </c>
      <c r="AD987">
        <v>0</v>
      </c>
      <c r="AE987" t="s">
        <v>40</v>
      </c>
      <c r="AF987" s="1">
        <v>42769</v>
      </c>
    </row>
    <row r="988" spans="1:32" x14ac:dyDescent="0.25">
      <c r="A988" t="s">
        <v>32</v>
      </c>
      <c r="B988">
        <v>0</v>
      </c>
      <c r="C988">
        <v>1</v>
      </c>
      <c r="D988">
        <v>2016</v>
      </c>
      <c r="E988" t="s">
        <v>69</v>
      </c>
      <c r="F988">
        <v>19</v>
      </c>
      <c r="G988">
        <v>2</v>
      </c>
      <c r="H988">
        <v>1</v>
      </c>
      <c r="I988">
        <v>0</v>
      </c>
      <c r="J988">
        <v>2</v>
      </c>
      <c r="K988">
        <v>0</v>
      </c>
      <c r="L988">
        <v>0</v>
      </c>
      <c r="M988" t="s">
        <v>60</v>
      </c>
      <c r="N988" t="s">
        <v>43</v>
      </c>
      <c r="O988" t="s">
        <v>44</v>
      </c>
      <c r="P988" t="s">
        <v>45</v>
      </c>
      <c r="Q988">
        <v>0</v>
      </c>
      <c r="R988">
        <v>0</v>
      </c>
      <c r="S988">
        <v>0</v>
      </c>
      <c r="T988" t="s">
        <v>57</v>
      </c>
      <c r="U988" t="s">
        <v>57</v>
      </c>
      <c r="V988">
        <v>0</v>
      </c>
      <c r="W988" t="s">
        <v>38</v>
      </c>
      <c r="X988">
        <v>240</v>
      </c>
      <c r="Z988">
        <v>0</v>
      </c>
      <c r="AA988" t="s">
        <v>39</v>
      </c>
      <c r="AB988">
        <v>90</v>
      </c>
      <c r="AC988">
        <v>0</v>
      </c>
      <c r="AD988">
        <v>0</v>
      </c>
      <c r="AE988" t="s">
        <v>40</v>
      </c>
      <c r="AF988" s="1">
        <v>42493</v>
      </c>
    </row>
    <row r="989" spans="1:32" x14ac:dyDescent="0.25">
      <c r="A989" t="s">
        <v>41</v>
      </c>
      <c r="B989">
        <v>0</v>
      </c>
      <c r="C989">
        <v>130</v>
      </c>
      <c r="D989">
        <v>2016</v>
      </c>
      <c r="E989" t="s">
        <v>62</v>
      </c>
      <c r="F989">
        <v>40</v>
      </c>
      <c r="G989">
        <v>29</v>
      </c>
      <c r="H989">
        <v>0</v>
      </c>
      <c r="I989">
        <v>3</v>
      </c>
      <c r="J989">
        <v>2</v>
      </c>
      <c r="K989">
        <v>0</v>
      </c>
      <c r="L989">
        <v>0</v>
      </c>
      <c r="M989" t="s">
        <v>34</v>
      </c>
      <c r="N989" t="s">
        <v>78</v>
      </c>
      <c r="O989" t="s">
        <v>44</v>
      </c>
      <c r="P989" t="s">
        <v>45</v>
      </c>
      <c r="Q989">
        <v>0</v>
      </c>
      <c r="R989">
        <v>0</v>
      </c>
      <c r="S989">
        <v>0</v>
      </c>
      <c r="T989" t="s">
        <v>57</v>
      </c>
      <c r="U989" t="s">
        <v>57</v>
      </c>
      <c r="V989">
        <v>1</v>
      </c>
      <c r="W989" t="s">
        <v>38</v>
      </c>
      <c r="X989">
        <v>9</v>
      </c>
      <c r="Z989">
        <v>0</v>
      </c>
      <c r="AA989" t="s">
        <v>39</v>
      </c>
      <c r="AB989">
        <v>139.5</v>
      </c>
      <c r="AC989">
        <v>0</v>
      </c>
      <c r="AD989">
        <v>2</v>
      </c>
      <c r="AE989" t="s">
        <v>40</v>
      </c>
      <c r="AF989" s="1">
        <v>42645</v>
      </c>
    </row>
    <row r="990" spans="1:32" x14ac:dyDescent="0.25">
      <c r="A990" t="s">
        <v>41</v>
      </c>
      <c r="B990">
        <v>1</v>
      </c>
      <c r="C990">
        <v>265</v>
      </c>
      <c r="D990">
        <v>2015</v>
      </c>
      <c r="E990" t="s">
        <v>42</v>
      </c>
      <c r="F990">
        <v>28</v>
      </c>
      <c r="G990">
        <v>9</v>
      </c>
      <c r="H990">
        <v>0</v>
      </c>
      <c r="I990">
        <v>2</v>
      </c>
      <c r="J990">
        <v>2</v>
      </c>
      <c r="K990">
        <v>0</v>
      </c>
      <c r="L990">
        <v>0</v>
      </c>
      <c r="M990" t="s">
        <v>34</v>
      </c>
      <c r="N990" t="s">
        <v>43</v>
      </c>
      <c r="O990" t="s">
        <v>64</v>
      </c>
      <c r="P990" t="s">
        <v>45</v>
      </c>
      <c r="Q990">
        <v>0</v>
      </c>
      <c r="R990">
        <v>1</v>
      </c>
      <c r="S990">
        <v>0</v>
      </c>
      <c r="T990" t="s">
        <v>46</v>
      </c>
      <c r="U990" t="s">
        <v>46</v>
      </c>
      <c r="V990">
        <v>0</v>
      </c>
      <c r="W990" t="s">
        <v>38</v>
      </c>
      <c r="X990">
        <v>1</v>
      </c>
      <c r="Z990">
        <v>0</v>
      </c>
      <c r="AA990" t="s">
        <v>73</v>
      </c>
      <c r="AB990">
        <v>62</v>
      </c>
      <c r="AC990">
        <v>0</v>
      </c>
      <c r="AD990">
        <v>0</v>
      </c>
      <c r="AE990" t="s">
        <v>47</v>
      </c>
      <c r="AF990" s="1">
        <v>42005</v>
      </c>
    </row>
    <row r="991" spans="1:32" x14ac:dyDescent="0.25">
      <c r="A991" t="s">
        <v>41</v>
      </c>
      <c r="B991">
        <v>1</v>
      </c>
      <c r="C991">
        <v>10</v>
      </c>
      <c r="D991">
        <v>2017</v>
      </c>
      <c r="E991" t="s">
        <v>66</v>
      </c>
      <c r="F991">
        <v>7</v>
      </c>
      <c r="G991">
        <v>16</v>
      </c>
      <c r="H991">
        <v>0</v>
      </c>
      <c r="I991">
        <v>3</v>
      </c>
      <c r="J991">
        <v>2</v>
      </c>
      <c r="K991">
        <v>0</v>
      </c>
      <c r="L991">
        <v>0</v>
      </c>
      <c r="M991" t="s">
        <v>55</v>
      </c>
      <c r="N991" t="s">
        <v>106</v>
      </c>
      <c r="O991" t="s">
        <v>44</v>
      </c>
      <c r="P991" t="s">
        <v>45</v>
      </c>
      <c r="Q991">
        <v>0</v>
      </c>
      <c r="R991">
        <v>0</v>
      </c>
      <c r="S991">
        <v>0</v>
      </c>
      <c r="T991" t="s">
        <v>46</v>
      </c>
      <c r="U991" t="s">
        <v>46</v>
      </c>
      <c r="V991">
        <v>0</v>
      </c>
      <c r="W991" t="s">
        <v>38</v>
      </c>
      <c r="X991">
        <v>9</v>
      </c>
      <c r="Z991">
        <v>0</v>
      </c>
      <c r="AA991" t="s">
        <v>39</v>
      </c>
      <c r="AB991">
        <v>98</v>
      </c>
      <c r="AC991">
        <v>0</v>
      </c>
      <c r="AD991">
        <v>0</v>
      </c>
      <c r="AE991" t="s">
        <v>47</v>
      </c>
      <c r="AF991" s="1">
        <v>42772</v>
      </c>
    </row>
    <row r="992" spans="1:32" x14ac:dyDescent="0.25">
      <c r="A992" t="s">
        <v>32</v>
      </c>
      <c r="B992">
        <v>1</v>
      </c>
      <c r="C992">
        <v>101</v>
      </c>
      <c r="D992">
        <v>2015</v>
      </c>
      <c r="E992" t="s">
        <v>62</v>
      </c>
      <c r="F992">
        <v>38</v>
      </c>
      <c r="G992">
        <v>18</v>
      </c>
      <c r="H992">
        <v>1</v>
      </c>
      <c r="I992">
        <v>2</v>
      </c>
      <c r="J992">
        <v>2</v>
      </c>
      <c r="K992">
        <v>0</v>
      </c>
      <c r="L992">
        <v>0</v>
      </c>
      <c r="M992" t="s">
        <v>34</v>
      </c>
      <c r="N992" t="s">
        <v>43</v>
      </c>
      <c r="O992" t="s">
        <v>44</v>
      </c>
      <c r="P992" t="s">
        <v>45</v>
      </c>
      <c r="Q992">
        <v>0</v>
      </c>
      <c r="R992">
        <v>0</v>
      </c>
      <c r="S992">
        <v>0</v>
      </c>
      <c r="T992" t="s">
        <v>46</v>
      </c>
      <c r="U992" t="s">
        <v>46</v>
      </c>
      <c r="V992">
        <v>0</v>
      </c>
      <c r="W992" t="s">
        <v>38</v>
      </c>
      <c r="X992">
        <v>240</v>
      </c>
      <c r="Z992">
        <v>0</v>
      </c>
      <c r="AA992" t="s">
        <v>39</v>
      </c>
      <c r="AB992">
        <v>83</v>
      </c>
      <c r="AC992">
        <v>0</v>
      </c>
      <c r="AD992">
        <v>0</v>
      </c>
      <c r="AE992" t="s">
        <v>47</v>
      </c>
      <c r="AF992" s="1">
        <v>42234</v>
      </c>
    </row>
    <row r="993" spans="1:32" x14ac:dyDescent="0.25">
      <c r="A993" t="s">
        <v>41</v>
      </c>
      <c r="B993">
        <v>0</v>
      </c>
      <c r="C993">
        <v>97</v>
      </c>
      <c r="D993">
        <v>2015</v>
      </c>
      <c r="E993" t="s">
        <v>33</v>
      </c>
      <c r="F993">
        <v>53</v>
      </c>
      <c r="G993">
        <v>28</v>
      </c>
      <c r="H993">
        <v>1</v>
      </c>
      <c r="I993">
        <v>3</v>
      </c>
      <c r="J993">
        <v>2</v>
      </c>
      <c r="K993">
        <v>0</v>
      </c>
      <c r="L993">
        <v>0</v>
      </c>
      <c r="M993" t="s">
        <v>55</v>
      </c>
      <c r="N993" t="s">
        <v>43</v>
      </c>
      <c r="O993" t="s">
        <v>44</v>
      </c>
      <c r="P993" t="s">
        <v>45</v>
      </c>
      <c r="Q993">
        <v>0</v>
      </c>
      <c r="R993">
        <v>0</v>
      </c>
      <c r="S993">
        <v>0</v>
      </c>
      <c r="T993" t="s">
        <v>46</v>
      </c>
      <c r="U993" t="s">
        <v>46</v>
      </c>
      <c r="V993">
        <v>0</v>
      </c>
      <c r="W993" t="s">
        <v>38</v>
      </c>
      <c r="X993">
        <v>15</v>
      </c>
      <c r="Z993">
        <v>0</v>
      </c>
      <c r="AA993" t="s">
        <v>39</v>
      </c>
      <c r="AB993">
        <v>53.38</v>
      </c>
      <c r="AC993">
        <v>0</v>
      </c>
      <c r="AD993">
        <v>0</v>
      </c>
      <c r="AE993" t="s">
        <v>40</v>
      </c>
      <c r="AF993" s="1">
        <v>42370</v>
      </c>
    </row>
    <row r="994" spans="1:32" x14ac:dyDescent="0.25">
      <c r="A994" t="s">
        <v>41</v>
      </c>
      <c r="B994">
        <v>0</v>
      </c>
      <c r="C994">
        <v>48</v>
      </c>
      <c r="D994">
        <v>2017</v>
      </c>
      <c r="E994" t="s">
        <v>66</v>
      </c>
      <c r="F994">
        <v>8</v>
      </c>
      <c r="G994">
        <v>22</v>
      </c>
      <c r="H994">
        <v>0</v>
      </c>
      <c r="I994">
        <v>2</v>
      </c>
      <c r="J994">
        <v>1</v>
      </c>
      <c r="K994">
        <v>0</v>
      </c>
      <c r="L994">
        <v>0</v>
      </c>
      <c r="M994" t="s">
        <v>34</v>
      </c>
      <c r="N994" t="s">
        <v>63</v>
      </c>
      <c r="O994" t="s">
        <v>64</v>
      </c>
      <c r="P994" t="s">
        <v>45</v>
      </c>
      <c r="Q994">
        <v>0</v>
      </c>
      <c r="R994">
        <v>0</v>
      </c>
      <c r="S994">
        <v>0</v>
      </c>
      <c r="T994" t="s">
        <v>46</v>
      </c>
      <c r="U994" t="s">
        <v>46</v>
      </c>
      <c r="V994">
        <v>0</v>
      </c>
      <c r="W994" t="s">
        <v>38</v>
      </c>
      <c r="Z994">
        <v>0</v>
      </c>
      <c r="AA994" t="s">
        <v>51</v>
      </c>
      <c r="AB994">
        <v>65</v>
      </c>
      <c r="AC994">
        <v>0</v>
      </c>
      <c r="AD994">
        <v>1</v>
      </c>
      <c r="AE994" t="s">
        <v>40</v>
      </c>
      <c r="AF994" s="1">
        <v>42790</v>
      </c>
    </row>
    <row r="995" spans="1:32" x14ac:dyDescent="0.25">
      <c r="A995" t="s">
        <v>32</v>
      </c>
      <c r="B995">
        <v>0</v>
      </c>
      <c r="C995">
        <v>69</v>
      </c>
      <c r="D995">
        <v>2017</v>
      </c>
      <c r="E995" t="s">
        <v>42</v>
      </c>
      <c r="F995">
        <v>28</v>
      </c>
      <c r="G995">
        <v>14</v>
      </c>
      <c r="H995">
        <v>2</v>
      </c>
      <c r="I995">
        <v>5</v>
      </c>
      <c r="J995">
        <v>2</v>
      </c>
      <c r="K995">
        <v>0</v>
      </c>
      <c r="L995">
        <v>0</v>
      </c>
      <c r="M995" t="s">
        <v>34</v>
      </c>
      <c r="N995" t="s">
        <v>63</v>
      </c>
      <c r="O995" t="s">
        <v>44</v>
      </c>
      <c r="P995" t="s">
        <v>45</v>
      </c>
      <c r="Q995">
        <v>0</v>
      </c>
      <c r="R995">
        <v>0</v>
      </c>
      <c r="S995">
        <v>0</v>
      </c>
      <c r="T995" t="s">
        <v>46</v>
      </c>
      <c r="U995" t="s">
        <v>46</v>
      </c>
      <c r="V995">
        <v>0</v>
      </c>
      <c r="W995" t="s">
        <v>38</v>
      </c>
      <c r="X995">
        <v>177</v>
      </c>
      <c r="Z995">
        <v>0</v>
      </c>
      <c r="AA995" t="s">
        <v>39</v>
      </c>
      <c r="AB995">
        <v>160</v>
      </c>
      <c r="AC995">
        <v>1</v>
      </c>
      <c r="AD995">
        <v>0</v>
      </c>
      <c r="AE995" t="s">
        <v>40</v>
      </c>
      <c r="AF995" s="1">
        <v>42937</v>
      </c>
    </row>
    <row r="996" spans="1:32" x14ac:dyDescent="0.25">
      <c r="A996" t="s">
        <v>41</v>
      </c>
      <c r="B996">
        <v>1</v>
      </c>
      <c r="C996">
        <v>184</v>
      </c>
      <c r="D996">
        <v>2016</v>
      </c>
      <c r="E996" t="s">
        <v>59</v>
      </c>
      <c r="F996">
        <v>42</v>
      </c>
      <c r="G996">
        <v>12</v>
      </c>
      <c r="H996">
        <v>0</v>
      </c>
      <c r="I996">
        <v>1</v>
      </c>
      <c r="J996">
        <v>2</v>
      </c>
      <c r="K996">
        <v>0</v>
      </c>
      <c r="L996">
        <v>0</v>
      </c>
      <c r="M996" t="s">
        <v>55</v>
      </c>
      <c r="N996" t="s">
        <v>70</v>
      </c>
      <c r="O996" t="s">
        <v>44</v>
      </c>
      <c r="P996" t="s">
        <v>45</v>
      </c>
      <c r="Q996">
        <v>0</v>
      </c>
      <c r="R996">
        <v>0</v>
      </c>
      <c r="S996">
        <v>0</v>
      </c>
      <c r="T996" t="s">
        <v>46</v>
      </c>
      <c r="U996" t="s">
        <v>86</v>
      </c>
      <c r="V996">
        <v>1</v>
      </c>
      <c r="W996" t="s">
        <v>38</v>
      </c>
      <c r="X996">
        <v>9</v>
      </c>
      <c r="Z996">
        <v>0</v>
      </c>
      <c r="AA996" t="s">
        <v>39</v>
      </c>
      <c r="AB996">
        <v>98.1</v>
      </c>
      <c r="AC996">
        <v>0</v>
      </c>
      <c r="AD996">
        <v>0</v>
      </c>
      <c r="AE996" t="s">
        <v>47</v>
      </c>
      <c r="AF996" s="1">
        <v>42650</v>
      </c>
    </row>
    <row r="997" spans="1:32" x14ac:dyDescent="0.25">
      <c r="A997" t="s">
        <v>41</v>
      </c>
      <c r="B997">
        <v>0</v>
      </c>
      <c r="C997">
        <v>67</v>
      </c>
      <c r="D997">
        <v>2015</v>
      </c>
      <c r="E997" t="s">
        <v>33</v>
      </c>
      <c r="F997">
        <v>49</v>
      </c>
      <c r="G997">
        <v>5</v>
      </c>
      <c r="H997">
        <v>2</v>
      </c>
      <c r="I997">
        <v>1</v>
      </c>
      <c r="J997">
        <v>2</v>
      </c>
      <c r="K997">
        <v>1</v>
      </c>
      <c r="L997">
        <v>0</v>
      </c>
      <c r="M997" t="s">
        <v>55</v>
      </c>
      <c r="N997" t="s">
        <v>43</v>
      </c>
      <c r="O997" t="s">
        <v>44</v>
      </c>
      <c r="P997" t="s">
        <v>45</v>
      </c>
      <c r="Q997">
        <v>0</v>
      </c>
      <c r="R997">
        <v>0</v>
      </c>
      <c r="S997">
        <v>0</v>
      </c>
      <c r="T997" t="s">
        <v>46</v>
      </c>
      <c r="U997" t="s">
        <v>57</v>
      </c>
      <c r="V997">
        <v>0</v>
      </c>
      <c r="W997" t="s">
        <v>38</v>
      </c>
      <c r="X997">
        <v>8</v>
      </c>
      <c r="Z997">
        <v>0</v>
      </c>
      <c r="AA997" t="s">
        <v>39</v>
      </c>
      <c r="AB997">
        <v>112.9</v>
      </c>
      <c r="AC997">
        <v>0</v>
      </c>
      <c r="AD997">
        <v>3</v>
      </c>
      <c r="AE997" t="s">
        <v>40</v>
      </c>
      <c r="AF997" s="1">
        <v>42346</v>
      </c>
    </row>
    <row r="998" spans="1:32" x14ac:dyDescent="0.25">
      <c r="A998" t="s">
        <v>32</v>
      </c>
      <c r="B998">
        <v>1</v>
      </c>
      <c r="C998">
        <v>38</v>
      </c>
      <c r="D998">
        <v>2015</v>
      </c>
      <c r="E998" t="s">
        <v>67</v>
      </c>
      <c r="F998">
        <v>33</v>
      </c>
      <c r="G998">
        <v>10</v>
      </c>
      <c r="H998">
        <v>2</v>
      </c>
      <c r="I998">
        <v>5</v>
      </c>
      <c r="J998">
        <v>2</v>
      </c>
      <c r="K998">
        <v>0</v>
      </c>
      <c r="L998">
        <v>0</v>
      </c>
      <c r="M998" t="s">
        <v>34</v>
      </c>
      <c r="N998" t="s">
        <v>43</v>
      </c>
      <c r="O998" t="s">
        <v>44</v>
      </c>
      <c r="P998" t="s">
        <v>45</v>
      </c>
      <c r="Q998">
        <v>0</v>
      </c>
      <c r="R998">
        <v>0</v>
      </c>
      <c r="S998">
        <v>0</v>
      </c>
      <c r="T998" t="s">
        <v>46</v>
      </c>
      <c r="U998" t="s">
        <v>46</v>
      </c>
      <c r="V998">
        <v>0</v>
      </c>
      <c r="W998" t="s">
        <v>38</v>
      </c>
      <c r="X998">
        <v>240</v>
      </c>
      <c r="Z998">
        <v>0</v>
      </c>
      <c r="AA998" t="s">
        <v>39</v>
      </c>
      <c r="AB998">
        <v>185.57</v>
      </c>
      <c r="AC998">
        <v>0</v>
      </c>
      <c r="AD998">
        <v>2</v>
      </c>
      <c r="AE998" t="s">
        <v>47</v>
      </c>
      <c r="AF998" s="1">
        <v>42199</v>
      </c>
    </row>
    <row r="999" spans="1:32" x14ac:dyDescent="0.25">
      <c r="A999" t="s">
        <v>32</v>
      </c>
      <c r="B999">
        <v>0</v>
      </c>
      <c r="C999">
        <v>107</v>
      </c>
      <c r="D999">
        <v>2015</v>
      </c>
      <c r="E999" t="s">
        <v>67</v>
      </c>
      <c r="F999">
        <v>33</v>
      </c>
      <c r="G999">
        <v>10</v>
      </c>
      <c r="H999">
        <v>1</v>
      </c>
      <c r="I999">
        <v>2</v>
      </c>
      <c r="J999">
        <v>2</v>
      </c>
      <c r="K999">
        <v>0</v>
      </c>
      <c r="L999">
        <v>0</v>
      </c>
      <c r="M999" t="s">
        <v>34</v>
      </c>
      <c r="N999" t="s">
        <v>43</v>
      </c>
      <c r="O999" t="s">
        <v>36</v>
      </c>
      <c r="P999" t="s">
        <v>36</v>
      </c>
      <c r="Q999">
        <v>0</v>
      </c>
      <c r="R999">
        <v>0</v>
      </c>
      <c r="S999">
        <v>0</v>
      </c>
      <c r="T999" t="s">
        <v>46</v>
      </c>
      <c r="U999" t="s">
        <v>46</v>
      </c>
      <c r="V999">
        <v>0</v>
      </c>
      <c r="W999" t="s">
        <v>38</v>
      </c>
      <c r="Z999">
        <v>0</v>
      </c>
      <c r="AA999" t="s">
        <v>51</v>
      </c>
      <c r="AB999">
        <v>134</v>
      </c>
      <c r="AC999">
        <v>0</v>
      </c>
      <c r="AD999">
        <v>1</v>
      </c>
      <c r="AE999" t="s">
        <v>40</v>
      </c>
      <c r="AF999" s="1">
        <v>42229</v>
      </c>
    </row>
    <row r="1000" spans="1:32" x14ac:dyDescent="0.25">
      <c r="A1000" t="s">
        <v>41</v>
      </c>
      <c r="B1000">
        <v>1</v>
      </c>
      <c r="C1000">
        <v>19</v>
      </c>
      <c r="D1000">
        <v>2016</v>
      </c>
      <c r="E1000" t="s">
        <v>33</v>
      </c>
      <c r="F1000">
        <v>53</v>
      </c>
      <c r="G1000">
        <v>30</v>
      </c>
      <c r="H1000">
        <v>0</v>
      </c>
      <c r="I1000">
        <v>1</v>
      </c>
      <c r="J1000">
        <v>2</v>
      </c>
      <c r="K1000">
        <v>0</v>
      </c>
      <c r="L1000">
        <v>0</v>
      </c>
      <c r="M1000" t="s">
        <v>34</v>
      </c>
      <c r="N1000" t="s">
        <v>35</v>
      </c>
      <c r="O1000" t="s">
        <v>44</v>
      </c>
      <c r="P1000" t="s">
        <v>45</v>
      </c>
      <c r="Q1000">
        <v>0</v>
      </c>
      <c r="R1000">
        <v>0</v>
      </c>
      <c r="S1000">
        <v>0</v>
      </c>
      <c r="T1000" t="s">
        <v>57</v>
      </c>
      <c r="U1000" t="s">
        <v>57</v>
      </c>
      <c r="V1000">
        <v>0</v>
      </c>
      <c r="W1000" t="s">
        <v>38</v>
      </c>
      <c r="X1000">
        <v>9</v>
      </c>
      <c r="Z1000">
        <v>0</v>
      </c>
      <c r="AA1000" t="s">
        <v>39</v>
      </c>
      <c r="AB1000">
        <v>148</v>
      </c>
      <c r="AC1000">
        <v>0</v>
      </c>
      <c r="AD1000">
        <v>0</v>
      </c>
      <c r="AE1000" t="s">
        <v>47</v>
      </c>
      <c r="AF1000" s="1">
        <v>42719</v>
      </c>
    </row>
    <row r="1001" spans="1:32" x14ac:dyDescent="0.25">
      <c r="A1001" t="s">
        <v>41</v>
      </c>
      <c r="B1001">
        <v>0</v>
      </c>
      <c r="C1001">
        <v>78</v>
      </c>
      <c r="D1001">
        <v>2017</v>
      </c>
      <c r="E1001" t="s">
        <v>69</v>
      </c>
      <c r="F1001">
        <v>22</v>
      </c>
      <c r="G1001">
        <v>28</v>
      </c>
      <c r="H1001">
        <v>2</v>
      </c>
      <c r="I1001">
        <v>2</v>
      </c>
      <c r="J1001">
        <v>2</v>
      </c>
      <c r="K1001">
        <v>0</v>
      </c>
      <c r="L1001">
        <v>0</v>
      </c>
      <c r="M1001" t="s">
        <v>34</v>
      </c>
      <c r="N1001" t="s">
        <v>35</v>
      </c>
      <c r="O1001" t="s">
        <v>49</v>
      </c>
      <c r="P1001" t="s">
        <v>45</v>
      </c>
      <c r="Q1001">
        <v>0</v>
      </c>
      <c r="R1001">
        <v>0</v>
      </c>
      <c r="S1001">
        <v>0</v>
      </c>
      <c r="T1001" t="s">
        <v>46</v>
      </c>
      <c r="U1001" t="s">
        <v>46</v>
      </c>
      <c r="V1001">
        <v>0</v>
      </c>
      <c r="W1001" t="s">
        <v>38</v>
      </c>
      <c r="X1001">
        <v>22</v>
      </c>
      <c r="Z1001">
        <v>0</v>
      </c>
      <c r="AA1001" t="s">
        <v>39</v>
      </c>
      <c r="AB1001">
        <v>89.1</v>
      </c>
      <c r="AC1001">
        <v>0</v>
      </c>
      <c r="AD1001">
        <v>1</v>
      </c>
      <c r="AE1001" t="s">
        <v>40</v>
      </c>
      <c r="AF1001" s="1">
        <v>42887</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2235-FA9A-4F89-BA39-B76FF9FC8B3E}">
  <dimension ref="A1:AF3"/>
  <sheetViews>
    <sheetView workbookViewId="0">
      <selection activeCell="A3" sqref="A3:AF4"/>
    </sheetView>
  </sheetViews>
  <sheetFormatPr defaultRowHeight="13.8" x14ac:dyDescent="0.25"/>
  <cols>
    <col min="1" max="1" width="17.5546875" bestFit="1" customWidth="1"/>
    <col min="2" max="2" width="26.44140625" bestFit="1" customWidth="1"/>
    <col min="3" max="3" width="29.109375" bestFit="1" customWidth="1"/>
    <col min="4" max="4" width="21.33203125" bestFit="1" customWidth="1"/>
    <col min="5" max="5" width="23.77734375" bestFit="1" customWidth="1"/>
    <col min="6" max="6" width="29.5546875" bestFit="1" customWidth="1"/>
    <col min="7" max="7" width="20.6640625" bestFit="1" customWidth="1"/>
    <col min="8" max="8" width="27.88671875" bestFit="1" customWidth="1"/>
    <col min="9" max="9" width="24" bestFit="1" customWidth="1"/>
    <col min="10" max="10" width="10.44140625" bestFit="1" customWidth="1"/>
    <col min="11" max="11" width="21.33203125" bestFit="1" customWidth="1"/>
    <col min="12" max="12" width="9.77734375" bestFit="1" customWidth="1"/>
    <col min="13" max="13" width="9" bestFit="1" customWidth="1"/>
    <col min="14" max="14" width="17.88671875" bestFit="1" customWidth="1"/>
    <col min="15" max="15" width="16.88671875" bestFit="1" customWidth="1"/>
    <col min="16" max="16" width="24.88671875" bestFit="1" customWidth="1"/>
    <col min="17" max="17" width="21.109375" bestFit="1" customWidth="1"/>
    <col min="18" max="18" width="25.6640625" bestFit="1" customWidth="1"/>
    <col min="19" max="19" width="36" bestFit="1" customWidth="1"/>
    <col min="20" max="20" width="27.44140625" bestFit="1" customWidth="1"/>
    <col min="21" max="21" width="27.5546875" bestFit="1" customWidth="1"/>
    <col min="22" max="22" width="25.21875" bestFit="1" customWidth="1"/>
    <col min="23" max="23" width="16" bestFit="1" customWidth="1"/>
    <col min="24" max="24" width="9.109375" bestFit="1" customWidth="1"/>
    <col min="25" max="25" width="12.109375" bestFit="1" customWidth="1"/>
    <col min="26" max="26" width="22.5546875" bestFit="1" customWidth="1"/>
    <col min="27" max="27" width="14.6640625" bestFit="1" customWidth="1"/>
    <col min="28" max="28" width="16.44140625" bestFit="1" customWidth="1"/>
    <col min="29" max="29" width="31.44140625" bestFit="1" customWidth="1"/>
    <col min="30" max="30" width="27.88671875" bestFit="1" customWidth="1"/>
    <col min="31" max="31" width="23.21875" bestFit="1" customWidth="1"/>
    <col min="32" max="32" width="28.5546875" bestFit="1" customWidth="1"/>
  </cols>
  <sheetData>
    <row r="1" spans="1:32" x14ac:dyDescent="0.25">
      <c r="A1" s="19" t="s">
        <v>140</v>
      </c>
    </row>
    <row r="3" spans="1:32"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F2FA1-2253-41CE-B3DD-11010DD409CB}">
  <dimension ref="A3:F60"/>
  <sheetViews>
    <sheetView topLeftCell="A37" workbookViewId="0">
      <selection activeCell="E47" sqref="E47"/>
    </sheetView>
  </sheetViews>
  <sheetFormatPr defaultRowHeight="13.8" x14ac:dyDescent="0.25"/>
  <cols>
    <col min="1" max="1" width="15.109375" bestFit="1" customWidth="1"/>
    <col min="2" max="2" width="21.88671875" bestFit="1" customWidth="1"/>
    <col min="4" max="4" width="14.33203125" bestFit="1" customWidth="1"/>
    <col min="5" max="5" width="33.5546875" bestFit="1" customWidth="1"/>
    <col min="6" max="6" width="29.6640625" bestFit="1" customWidth="1"/>
  </cols>
  <sheetData>
    <row r="3" spans="1:5" x14ac:dyDescent="0.25">
      <c r="A3" s="4" t="s">
        <v>129</v>
      </c>
      <c r="B3" t="s">
        <v>131</v>
      </c>
      <c r="D3" s="4" t="s">
        <v>129</v>
      </c>
      <c r="E3" t="s">
        <v>132</v>
      </c>
    </row>
    <row r="4" spans="1:5" x14ac:dyDescent="0.25">
      <c r="A4" s="5" t="s">
        <v>67</v>
      </c>
      <c r="B4" s="17">
        <v>115</v>
      </c>
      <c r="D4" s="5" t="s">
        <v>47</v>
      </c>
      <c r="E4" s="17">
        <v>379</v>
      </c>
    </row>
    <row r="5" spans="1:5" x14ac:dyDescent="0.25">
      <c r="A5" s="5" t="s">
        <v>42</v>
      </c>
      <c r="B5" s="17">
        <v>109</v>
      </c>
      <c r="D5" s="5" t="s">
        <v>40</v>
      </c>
      <c r="E5" s="17">
        <v>615</v>
      </c>
    </row>
    <row r="6" spans="1:5" x14ac:dyDescent="0.25">
      <c r="A6" s="5" t="s">
        <v>59</v>
      </c>
      <c r="B6" s="17">
        <v>103</v>
      </c>
      <c r="D6" s="5" t="s">
        <v>89</v>
      </c>
      <c r="E6" s="17">
        <v>6</v>
      </c>
    </row>
    <row r="7" spans="1:5" x14ac:dyDescent="0.25">
      <c r="A7" s="5" t="s">
        <v>54</v>
      </c>
      <c r="B7" s="17">
        <v>98</v>
      </c>
      <c r="D7" s="5" t="s">
        <v>130</v>
      </c>
      <c r="E7" s="17">
        <v>1000</v>
      </c>
    </row>
    <row r="8" spans="1:5" x14ac:dyDescent="0.25">
      <c r="A8" s="5" t="s">
        <v>62</v>
      </c>
      <c r="B8" s="17">
        <v>95</v>
      </c>
    </row>
    <row r="9" spans="1:5" x14ac:dyDescent="0.25">
      <c r="A9" s="5" t="s">
        <v>52</v>
      </c>
      <c r="B9" s="17">
        <v>90</v>
      </c>
      <c r="D9" s="4" t="s">
        <v>129</v>
      </c>
      <c r="E9" t="s">
        <v>133</v>
      </c>
    </row>
    <row r="10" spans="1:5" x14ac:dyDescent="0.25">
      <c r="A10" s="5" t="s">
        <v>69</v>
      </c>
      <c r="B10" s="17">
        <v>87</v>
      </c>
      <c r="D10" s="5" t="s">
        <v>41</v>
      </c>
      <c r="E10" s="17">
        <v>672</v>
      </c>
    </row>
    <row r="11" spans="1:5" x14ac:dyDescent="0.25">
      <c r="A11" s="5" t="s">
        <v>83</v>
      </c>
      <c r="B11" s="17">
        <v>80</v>
      </c>
      <c r="D11" s="5" t="s">
        <v>32</v>
      </c>
      <c r="E11" s="17">
        <v>328</v>
      </c>
    </row>
    <row r="12" spans="1:5" x14ac:dyDescent="0.25">
      <c r="A12" s="5" t="s">
        <v>66</v>
      </c>
      <c r="B12" s="17">
        <v>71</v>
      </c>
      <c r="D12" s="5" t="s">
        <v>130</v>
      </c>
      <c r="E12" s="17">
        <v>1000</v>
      </c>
    </row>
    <row r="13" spans="1:5" x14ac:dyDescent="0.25">
      <c r="A13" s="5" t="s">
        <v>61</v>
      </c>
      <c r="B13" s="17">
        <v>60</v>
      </c>
    </row>
    <row r="14" spans="1:5" x14ac:dyDescent="0.25">
      <c r="A14" s="5" t="s">
        <v>33</v>
      </c>
      <c r="B14" s="17">
        <v>52</v>
      </c>
      <c r="D14" s="4" t="s">
        <v>129</v>
      </c>
      <c r="E14" t="s">
        <v>135</v>
      </c>
    </row>
    <row r="15" spans="1:5" x14ac:dyDescent="0.25">
      <c r="A15" s="5" t="s">
        <v>74</v>
      </c>
      <c r="B15" s="17">
        <v>40</v>
      </c>
      <c r="D15" s="5" t="s">
        <v>74</v>
      </c>
      <c r="E15" s="17">
        <v>12</v>
      </c>
    </row>
    <row r="16" spans="1:5" x14ac:dyDescent="0.25">
      <c r="A16" s="5" t="s">
        <v>130</v>
      </c>
      <c r="B16" s="17">
        <v>1000</v>
      </c>
      <c r="D16" s="5" t="s">
        <v>66</v>
      </c>
      <c r="E16" s="17">
        <v>26</v>
      </c>
    </row>
    <row r="17" spans="1:5" x14ac:dyDescent="0.25">
      <c r="D17" s="5" t="s">
        <v>52</v>
      </c>
      <c r="E17" s="17">
        <v>30</v>
      </c>
    </row>
    <row r="18" spans="1:5" x14ac:dyDescent="0.25">
      <c r="A18" s="4" t="s">
        <v>129</v>
      </c>
      <c r="B18" t="s">
        <v>134</v>
      </c>
      <c r="D18" s="5" t="s">
        <v>54</v>
      </c>
      <c r="E18" s="17">
        <v>37</v>
      </c>
    </row>
    <row r="19" spans="1:5" x14ac:dyDescent="0.25">
      <c r="A19" s="5" t="s">
        <v>73</v>
      </c>
      <c r="B19" s="17">
        <v>35</v>
      </c>
      <c r="D19" s="5" t="s">
        <v>69</v>
      </c>
      <c r="E19" s="17">
        <v>36</v>
      </c>
    </row>
    <row r="20" spans="1:5" x14ac:dyDescent="0.25">
      <c r="A20" s="5" t="s">
        <v>122</v>
      </c>
      <c r="B20" s="17">
        <v>1</v>
      </c>
      <c r="D20" s="5" t="s">
        <v>83</v>
      </c>
      <c r="E20" s="17">
        <v>31</v>
      </c>
    </row>
    <row r="21" spans="1:5" x14ac:dyDescent="0.25">
      <c r="A21" s="5" t="s">
        <v>39</v>
      </c>
      <c r="B21" s="17">
        <v>742</v>
      </c>
      <c r="D21" s="5" t="s">
        <v>42</v>
      </c>
      <c r="E21" s="17">
        <v>45</v>
      </c>
    </row>
    <row r="22" spans="1:5" x14ac:dyDescent="0.25">
      <c r="A22" s="5" t="s">
        <v>51</v>
      </c>
      <c r="B22" s="17">
        <v>222</v>
      </c>
      <c r="D22" s="5" t="s">
        <v>67</v>
      </c>
      <c r="E22" s="17">
        <v>48</v>
      </c>
    </row>
    <row r="23" spans="1:5" x14ac:dyDescent="0.25">
      <c r="A23" s="5" t="s">
        <v>130</v>
      </c>
      <c r="B23" s="17">
        <v>1000</v>
      </c>
      <c r="D23" s="5" t="s">
        <v>62</v>
      </c>
      <c r="E23" s="17">
        <v>39</v>
      </c>
    </row>
    <row r="24" spans="1:5" x14ac:dyDescent="0.25">
      <c r="D24" s="5" t="s">
        <v>59</v>
      </c>
      <c r="E24" s="17">
        <v>43</v>
      </c>
    </row>
    <row r="25" spans="1:5" x14ac:dyDescent="0.25">
      <c r="A25" s="4" t="s">
        <v>129</v>
      </c>
      <c r="B25" t="s">
        <v>136</v>
      </c>
      <c r="D25" s="5" t="s">
        <v>61</v>
      </c>
      <c r="E25" s="17">
        <v>23</v>
      </c>
    </row>
    <row r="26" spans="1:5" x14ac:dyDescent="0.25">
      <c r="A26" s="5" t="s">
        <v>41</v>
      </c>
      <c r="B26" s="8">
        <v>1256</v>
      </c>
      <c r="D26" s="5" t="s">
        <v>33</v>
      </c>
      <c r="E26" s="17">
        <v>15</v>
      </c>
    </row>
    <row r="27" spans="1:5" x14ac:dyDescent="0.25">
      <c r="A27" s="5" t="s">
        <v>32</v>
      </c>
      <c r="B27" s="6">
        <v>617</v>
      </c>
      <c r="D27" s="5" t="s">
        <v>130</v>
      </c>
      <c r="E27" s="17">
        <v>385</v>
      </c>
    </row>
    <row r="28" spans="1:5" x14ac:dyDescent="0.25">
      <c r="A28" s="5" t="s">
        <v>130</v>
      </c>
      <c r="B28" s="8">
        <v>1873</v>
      </c>
    </row>
    <row r="30" spans="1:5" x14ac:dyDescent="0.25">
      <c r="A30" t="s">
        <v>139</v>
      </c>
    </row>
    <row r="31" spans="1:5" x14ac:dyDescent="0.25">
      <c r="A31" s="17">
        <v>106.232</v>
      </c>
    </row>
    <row r="33" spans="1:6" x14ac:dyDescent="0.25">
      <c r="A33" s="4" t="s">
        <v>129</v>
      </c>
      <c r="B33" t="s">
        <v>131</v>
      </c>
    </row>
    <row r="34" spans="1:6" x14ac:dyDescent="0.25">
      <c r="A34" s="5" t="s">
        <v>74</v>
      </c>
      <c r="B34" s="17">
        <v>40</v>
      </c>
    </row>
    <row r="35" spans="1:6" x14ac:dyDescent="0.25">
      <c r="A35" s="5" t="s">
        <v>66</v>
      </c>
      <c r="B35" s="17">
        <v>71</v>
      </c>
    </row>
    <row r="36" spans="1:6" x14ac:dyDescent="0.25">
      <c r="A36" s="5" t="s">
        <v>52</v>
      </c>
      <c r="B36" s="17">
        <v>90</v>
      </c>
    </row>
    <row r="37" spans="1:6" x14ac:dyDescent="0.25">
      <c r="A37" s="5" t="s">
        <v>54</v>
      </c>
      <c r="B37" s="17">
        <v>98</v>
      </c>
    </row>
    <row r="38" spans="1:6" x14ac:dyDescent="0.25">
      <c r="A38" s="5" t="s">
        <v>69</v>
      </c>
      <c r="B38" s="17">
        <v>87</v>
      </c>
    </row>
    <row r="39" spans="1:6" x14ac:dyDescent="0.25">
      <c r="A39" s="5" t="s">
        <v>83</v>
      </c>
      <c r="B39" s="17">
        <v>80</v>
      </c>
    </row>
    <row r="40" spans="1:6" x14ac:dyDescent="0.25">
      <c r="A40" s="5" t="s">
        <v>42</v>
      </c>
      <c r="B40" s="17">
        <v>109</v>
      </c>
    </row>
    <row r="41" spans="1:6" x14ac:dyDescent="0.25">
      <c r="A41" s="5" t="s">
        <v>67</v>
      </c>
      <c r="B41" s="17">
        <v>115</v>
      </c>
    </row>
    <row r="42" spans="1:6" x14ac:dyDescent="0.25">
      <c r="A42" s="5" t="s">
        <v>62</v>
      </c>
      <c r="B42" s="17">
        <v>95</v>
      </c>
    </row>
    <row r="43" spans="1:6" x14ac:dyDescent="0.25">
      <c r="A43" s="5" t="s">
        <v>59</v>
      </c>
      <c r="B43" s="17">
        <v>103</v>
      </c>
    </row>
    <row r="44" spans="1:6" x14ac:dyDescent="0.25">
      <c r="A44" s="5" t="s">
        <v>61</v>
      </c>
      <c r="B44" s="17">
        <v>60</v>
      </c>
      <c r="D44" s="4" t="s">
        <v>129</v>
      </c>
      <c r="E44" t="s">
        <v>141</v>
      </c>
      <c r="F44" t="s">
        <v>142</v>
      </c>
    </row>
    <row r="45" spans="1:6" x14ac:dyDescent="0.25">
      <c r="A45" s="5" t="s">
        <v>33</v>
      </c>
      <c r="B45" s="17">
        <v>52</v>
      </c>
      <c r="D45" s="5" t="s">
        <v>74</v>
      </c>
      <c r="E45" s="17">
        <v>41</v>
      </c>
      <c r="F45" s="17">
        <v>90</v>
      </c>
    </row>
    <row r="46" spans="1:6" x14ac:dyDescent="0.25">
      <c r="A46" s="5" t="s">
        <v>130</v>
      </c>
      <c r="B46" s="17">
        <v>1000</v>
      </c>
      <c r="D46" s="5" t="s">
        <v>66</v>
      </c>
      <c r="E46" s="17">
        <v>64</v>
      </c>
      <c r="F46" s="17">
        <v>164</v>
      </c>
    </row>
    <row r="47" spans="1:6" x14ac:dyDescent="0.25">
      <c r="D47" s="5" t="s">
        <v>52</v>
      </c>
      <c r="E47" s="17">
        <v>89</v>
      </c>
      <c r="F47" s="17">
        <v>245</v>
      </c>
    </row>
    <row r="48" spans="1:6" x14ac:dyDescent="0.25">
      <c r="A48" s="4" t="s">
        <v>129</v>
      </c>
      <c r="B48" t="s">
        <v>136</v>
      </c>
      <c r="D48" s="5" t="s">
        <v>54</v>
      </c>
      <c r="E48" s="17">
        <v>88</v>
      </c>
      <c r="F48" s="17">
        <v>232</v>
      </c>
    </row>
    <row r="49" spans="1:6" x14ac:dyDescent="0.25">
      <c r="A49" s="5" t="s">
        <v>76</v>
      </c>
      <c r="B49" s="17">
        <v>72</v>
      </c>
      <c r="D49" s="5" t="s">
        <v>69</v>
      </c>
      <c r="E49" s="17">
        <v>65</v>
      </c>
      <c r="F49" s="17">
        <v>196</v>
      </c>
    </row>
    <row r="50" spans="1:6" x14ac:dyDescent="0.25">
      <c r="A50" s="5" t="s">
        <v>36</v>
      </c>
      <c r="B50" s="17">
        <v>230</v>
      </c>
      <c r="D50" s="5" t="s">
        <v>83</v>
      </c>
      <c r="E50" s="17">
        <v>61</v>
      </c>
      <c r="F50" s="17">
        <v>199</v>
      </c>
    </row>
    <row r="51" spans="1:6" x14ac:dyDescent="0.25">
      <c r="A51" s="5" t="s">
        <v>114</v>
      </c>
      <c r="B51" s="17">
        <v>2</v>
      </c>
      <c r="D51" s="5" t="s">
        <v>42</v>
      </c>
      <c r="E51" s="17">
        <v>109</v>
      </c>
      <c r="F51" s="17">
        <v>281</v>
      </c>
    </row>
    <row r="52" spans="1:6" x14ac:dyDescent="0.25">
      <c r="A52" s="5" t="s">
        <v>45</v>
      </c>
      <c r="B52" s="17">
        <v>1569</v>
      </c>
      <c r="D52" s="5" t="s">
        <v>67</v>
      </c>
      <c r="E52" s="17">
        <v>115</v>
      </c>
      <c r="F52" s="17">
        <v>333</v>
      </c>
    </row>
    <row r="53" spans="1:6" x14ac:dyDescent="0.25">
      <c r="A53" s="5" t="s">
        <v>130</v>
      </c>
      <c r="B53" s="17">
        <v>1873</v>
      </c>
      <c r="D53" s="5" t="s">
        <v>62</v>
      </c>
      <c r="E53" s="17">
        <v>89</v>
      </c>
      <c r="F53" s="17">
        <v>240</v>
      </c>
    </row>
    <row r="54" spans="1:6" x14ac:dyDescent="0.25">
      <c r="D54" s="5" t="s">
        <v>59</v>
      </c>
      <c r="E54" s="17">
        <v>92</v>
      </c>
      <c r="F54" s="17">
        <v>234</v>
      </c>
    </row>
    <row r="55" spans="1:6" x14ac:dyDescent="0.25">
      <c r="A55" s="4" t="s">
        <v>129</v>
      </c>
      <c r="B55" t="s">
        <v>134</v>
      </c>
      <c r="D55" s="5" t="s">
        <v>61</v>
      </c>
      <c r="E55" s="17">
        <v>48</v>
      </c>
      <c r="F55" s="17">
        <v>138</v>
      </c>
    </row>
    <row r="56" spans="1:6" x14ac:dyDescent="0.25">
      <c r="A56" s="5" t="s">
        <v>39</v>
      </c>
      <c r="B56" s="17">
        <v>742</v>
      </c>
      <c r="D56" s="5" t="s">
        <v>33</v>
      </c>
      <c r="E56" s="17">
        <v>43</v>
      </c>
      <c r="F56" s="17">
        <v>123</v>
      </c>
    </row>
    <row r="57" spans="1:6" x14ac:dyDescent="0.25">
      <c r="A57" s="5" t="s">
        <v>51</v>
      </c>
      <c r="B57" s="17">
        <v>222</v>
      </c>
      <c r="D57" s="5" t="s">
        <v>130</v>
      </c>
      <c r="E57" s="17">
        <v>904</v>
      </c>
      <c r="F57" s="17">
        <v>2475</v>
      </c>
    </row>
    <row r="58" spans="1:6" x14ac:dyDescent="0.25">
      <c r="A58" s="5" t="s">
        <v>73</v>
      </c>
      <c r="B58" s="17">
        <v>35</v>
      </c>
    </row>
    <row r="59" spans="1:6" x14ac:dyDescent="0.25">
      <c r="A59" s="5" t="s">
        <v>122</v>
      </c>
      <c r="B59" s="17">
        <v>1</v>
      </c>
    </row>
    <row r="60" spans="1:6" x14ac:dyDescent="0.25">
      <c r="A60" s="5" t="s">
        <v>130</v>
      </c>
      <c r="B60" s="17">
        <v>1000</v>
      </c>
    </row>
  </sheetData>
  <phoneticPr fontId="18" type="noConversion"/>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A9-12B7-40EB-925F-A9A183EEB989}">
  <dimension ref="A1:AF1001"/>
  <sheetViews>
    <sheetView workbookViewId="0">
      <pane ySplit="1" topLeftCell="A2" activePane="bottomLeft" state="frozen"/>
      <selection pane="bottomLeft" activeCell="P1" sqref="P1"/>
    </sheetView>
  </sheetViews>
  <sheetFormatPr defaultRowHeight="13.8" x14ac:dyDescent="0.25"/>
  <cols>
    <col min="1" max="1" width="16.21875" customWidth="1"/>
    <col min="2" max="2" width="27.44140625" customWidth="1"/>
    <col min="3" max="3" width="26.77734375" customWidth="1"/>
    <col min="4" max="4" width="19.6640625" customWidth="1"/>
    <col min="5" max="5" width="21.88671875" customWidth="1"/>
    <col min="6" max="6" width="27.109375" customWidth="1"/>
    <col min="7" max="7" width="19" customWidth="1"/>
    <col min="8" max="8" width="25.6640625" customWidth="1"/>
    <col min="9" max="9" width="22.109375" customWidth="1"/>
    <col min="10" max="10" width="13.21875" customWidth="1"/>
    <col min="11" max="11" width="19.6640625" customWidth="1"/>
    <col min="14" max="14" width="16.5546875" customWidth="1"/>
    <col min="15" max="15" width="15.5546875" customWidth="1"/>
    <col min="16" max="16" width="22.88671875" customWidth="1"/>
    <col min="17" max="17" width="19.44140625" customWidth="1"/>
    <col min="18" max="18" width="23.5546875" customWidth="1"/>
    <col min="19" max="19" width="33" customWidth="1"/>
    <col min="20" max="20" width="25.21875" customWidth="1"/>
    <col min="21" max="21" width="25.33203125" customWidth="1"/>
    <col min="22" max="22" width="23.21875" customWidth="1"/>
    <col min="23" max="23" width="14.77734375" customWidth="1"/>
    <col min="25" max="25" width="13.77734375" customWidth="1"/>
    <col min="26" max="26" width="20.77734375" customWidth="1"/>
    <col min="27" max="28" width="19.77734375" customWidth="1"/>
    <col min="29" max="29" width="28.88671875" customWidth="1"/>
    <col min="30" max="30" width="25.6640625" customWidth="1"/>
    <col min="31" max="31" width="21.33203125" customWidth="1"/>
    <col min="32" max="32" width="26.21875"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s="2" t="s">
        <v>41</v>
      </c>
      <c r="B2" s="2">
        <v>1</v>
      </c>
      <c r="C2" s="2">
        <v>82</v>
      </c>
      <c r="D2" s="2">
        <v>2015</v>
      </c>
      <c r="E2" s="2" t="s">
        <v>42</v>
      </c>
      <c r="F2" s="2">
        <v>29</v>
      </c>
      <c r="G2" s="2">
        <v>16</v>
      </c>
      <c r="H2" s="2">
        <v>0</v>
      </c>
      <c r="I2" s="2">
        <v>3</v>
      </c>
      <c r="J2" s="2">
        <v>2</v>
      </c>
      <c r="K2" s="2">
        <v>0</v>
      </c>
      <c r="L2" s="2">
        <v>0</v>
      </c>
      <c r="M2" s="2" t="s">
        <v>34</v>
      </c>
      <c r="N2" s="2" t="s">
        <v>43</v>
      </c>
      <c r="O2" s="2" t="s">
        <v>44</v>
      </c>
      <c r="P2" s="2" t="s">
        <v>45</v>
      </c>
      <c r="Q2" s="2">
        <v>0</v>
      </c>
      <c r="R2" s="2">
        <v>0</v>
      </c>
      <c r="S2" s="2">
        <v>0</v>
      </c>
      <c r="T2" s="2" t="s">
        <v>46</v>
      </c>
      <c r="U2" s="2" t="s">
        <v>46</v>
      </c>
      <c r="V2" s="2">
        <v>0</v>
      </c>
      <c r="W2" s="2" t="s">
        <v>38</v>
      </c>
      <c r="X2" s="2">
        <v>9</v>
      </c>
      <c r="Y2" s="2"/>
      <c r="Z2" s="2">
        <v>0</v>
      </c>
      <c r="AA2" s="2" t="s">
        <v>39</v>
      </c>
      <c r="AB2" s="2">
        <v>76.5</v>
      </c>
      <c r="AC2" s="2">
        <v>0</v>
      </c>
      <c r="AD2" s="2">
        <v>0</v>
      </c>
      <c r="AE2" s="2" t="s">
        <v>47</v>
      </c>
      <c r="AF2" s="3">
        <v>42201</v>
      </c>
    </row>
    <row r="3" spans="1:32" x14ac:dyDescent="0.25">
      <c r="A3" s="2" t="s">
        <v>41</v>
      </c>
      <c r="B3" s="2">
        <v>0</v>
      </c>
      <c r="C3" s="2">
        <v>102</v>
      </c>
      <c r="D3" s="2">
        <v>2015</v>
      </c>
      <c r="E3" s="2" t="s">
        <v>59</v>
      </c>
      <c r="F3" s="2">
        <v>42</v>
      </c>
      <c r="G3" s="2">
        <v>16</v>
      </c>
      <c r="H3" s="2">
        <v>0</v>
      </c>
      <c r="I3" s="2">
        <v>2</v>
      </c>
      <c r="J3" s="2">
        <v>2</v>
      </c>
      <c r="K3" s="2">
        <v>0</v>
      </c>
      <c r="L3" s="2">
        <v>0</v>
      </c>
      <c r="M3" s="2" t="s">
        <v>60</v>
      </c>
      <c r="N3" s="2" t="s">
        <v>56</v>
      </c>
      <c r="O3" s="2" t="s">
        <v>49</v>
      </c>
      <c r="P3" s="2" t="s">
        <v>45</v>
      </c>
      <c r="Q3" s="2">
        <v>0</v>
      </c>
      <c r="R3" s="2">
        <v>0</v>
      </c>
      <c r="S3" s="2">
        <v>0</v>
      </c>
      <c r="T3" s="2" t="s">
        <v>46</v>
      </c>
      <c r="U3" s="2" t="s">
        <v>57</v>
      </c>
      <c r="V3" s="2">
        <v>0</v>
      </c>
      <c r="W3" s="2" t="s">
        <v>38</v>
      </c>
      <c r="X3" s="2">
        <v>6</v>
      </c>
      <c r="Y3" s="2"/>
      <c r="Z3" s="2">
        <v>0</v>
      </c>
      <c r="AA3" s="2" t="s">
        <v>51</v>
      </c>
      <c r="AB3" s="2">
        <v>109</v>
      </c>
      <c r="AC3" s="2">
        <v>0</v>
      </c>
      <c r="AD3" s="2">
        <v>0</v>
      </c>
      <c r="AE3" s="2" t="s">
        <v>40</v>
      </c>
      <c r="AF3" s="3">
        <v>42295</v>
      </c>
    </row>
    <row r="4" spans="1:32" x14ac:dyDescent="0.25">
      <c r="A4" s="2" t="s">
        <v>32</v>
      </c>
      <c r="B4" s="2">
        <v>0</v>
      </c>
      <c r="C4" s="2">
        <v>222</v>
      </c>
      <c r="D4" s="2">
        <v>2015</v>
      </c>
      <c r="E4" s="2" t="s">
        <v>62</v>
      </c>
      <c r="F4" s="2">
        <v>38</v>
      </c>
      <c r="G4" s="2">
        <v>14</v>
      </c>
      <c r="H4" s="2">
        <v>1</v>
      </c>
      <c r="I4" s="2">
        <v>1</v>
      </c>
      <c r="J4" s="2">
        <v>2</v>
      </c>
      <c r="K4" s="2">
        <v>0</v>
      </c>
      <c r="L4" s="2">
        <v>0</v>
      </c>
      <c r="M4" s="2" t="s">
        <v>60</v>
      </c>
      <c r="N4" s="2" t="s">
        <v>63</v>
      </c>
      <c r="O4" s="2" t="s">
        <v>64</v>
      </c>
      <c r="P4" s="2" t="s">
        <v>45</v>
      </c>
      <c r="Q4" s="2">
        <v>0</v>
      </c>
      <c r="R4" s="2">
        <v>0</v>
      </c>
      <c r="S4" s="2">
        <v>0</v>
      </c>
      <c r="T4" s="2" t="s">
        <v>46</v>
      </c>
      <c r="U4" s="2" t="s">
        <v>46</v>
      </c>
      <c r="V4" s="2">
        <v>0</v>
      </c>
      <c r="W4" s="2" t="s">
        <v>38</v>
      </c>
      <c r="X4" s="2">
        <v>68</v>
      </c>
      <c r="Y4" s="2"/>
      <c r="Z4" s="2">
        <v>0</v>
      </c>
      <c r="AA4" s="2" t="s">
        <v>39</v>
      </c>
      <c r="AB4" s="2">
        <v>80</v>
      </c>
      <c r="AC4" s="2">
        <v>0</v>
      </c>
      <c r="AD4" s="2">
        <v>0</v>
      </c>
      <c r="AE4" s="2" t="s">
        <v>40</v>
      </c>
      <c r="AF4" s="3">
        <v>42263</v>
      </c>
    </row>
    <row r="5" spans="1:32" x14ac:dyDescent="0.25">
      <c r="A5" s="2" t="s">
        <v>32</v>
      </c>
      <c r="B5" s="2">
        <v>0</v>
      </c>
      <c r="C5" s="2">
        <v>79</v>
      </c>
      <c r="D5" s="2">
        <v>2015</v>
      </c>
      <c r="E5" s="2" t="s">
        <v>33</v>
      </c>
      <c r="F5" s="2">
        <v>52</v>
      </c>
      <c r="G5" s="2">
        <v>24</v>
      </c>
      <c r="H5" s="2">
        <v>2</v>
      </c>
      <c r="I5" s="2">
        <v>5</v>
      </c>
      <c r="J5" s="2">
        <v>2</v>
      </c>
      <c r="K5" s="2">
        <v>0</v>
      </c>
      <c r="L5" s="2">
        <v>0</v>
      </c>
      <c r="M5" s="2" t="s">
        <v>60</v>
      </c>
      <c r="N5" s="2" t="s">
        <v>35</v>
      </c>
      <c r="O5" s="2" t="s">
        <v>49</v>
      </c>
      <c r="P5" s="2" t="s">
        <v>45</v>
      </c>
      <c r="Q5" s="2">
        <v>0</v>
      </c>
      <c r="R5" s="2">
        <v>0</v>
      </c>
      <c r="S5" s="2">
        <v>0</v>
      </c>
      <c r="T5" s="2" t="s">
        <v>46</v>
      </c>
      <c r="U5" s="2" t="s">
        <v>46</v>
      </c>
      <c r="V5" s="2">
        <v>0</v>
      </c>
      <c r="W5" s="2" t="s">
        <v>38</v>
      </c>
      <c r="X5" s="2">
        <v>156</v>
      </c>
      <c r="Y5" s="2"/>
      <c r="Z5" s="2">
        <v>0</v>
      </c>
      <c r="AA5" s="2" t="s">
        <v>39</v>
      </c>
      <c r="AB5" s="2">
        <v>57.29</v>
      </c>
      <c r="AC5" s="2">
        <v>0</v>
      </c>
      <c r="AD5" s="2">
        <v>2</v>
      </c>
      <c r="AE5" s="2" t="s">
        <v>40</v>
      </c>
      <c r="AF5" s="3">
        <v>42369</v>
      </c>
    </row>
    <row r="6" spans="1:32" x14ac:dyDescent="0.25">
      <c r="A6" s="2" t="s">
        <v>41</v>
      </c>
      <c r="B6" s="2">
        <v>1</v>
      </c>
      <c r="C6" s="2">
        <v>239</v>
      </c>
      <c r="D6" s="2">
        <v>2015</v>
      </c>
      <c r="E6" s="2" t="s">
        <v>59</v>
      </c>
      <c r="F6" s="2">
        <v>42</v>
      </c>
      <c r="G6" s="2">
        <v>17</v>
      </c>
      <c r="H6" s="2">
        <v>0</v>
      </c>
      <c r="I6" s="2">
        <v>1</v>
      </c>
      <c r="J6" s="2">
        <v>2</v>
      </c>
      <c r="K6" s="2">
        <v>0</v>
      </c>
      <c r="L6" s="2">
        <v>0</v>
      </c>
      <c r="M6" s="2" t="s">
        <v>34</v>
      </c>
      <c r="N6" s="2" t="s">
        <v>43</v>
      </c>
      <c r="O6" s="2" t="s">
        <v>64</v>
      </c>
      <c r="P6" s="2" t="s">
        <v>45</v>
      </c>
      <c r="Q6" s="2">
        <v>0</v>
      </c>
      <c r="R6" s="2">
        <v>1</v>
      </c>
      <c r="S6" s="2">
        <v>0</v>
      </c>
      <c r="T6" s="2" t="s">
        <v>46</v>
      </c>
      <c r="U6" s="2" t="s">
        <v>46</v>
      </c>
      <c r="V6" s="2">
        <v>0</v>
      </c>
      <c r="W6" s="2" t="s">
        <v>68</v>
      </c>
      <c r="X6" s="2">
        <v>1</v>
      </c>
      <c r="Y6" s="2"/>
      <c r="Z6" s="2">
        <v>0</v>
      </c>
      <c r="AA6" s="2" t="s">
        <v>39</v>
      </c>
      <c r="AB6" s="2">
        <v>60</v>
      </c>
      <c r="AC6" s="2">
        <v>0</v>
      </c>
      <c r="AD6" s="2">
        <v>0</v>
      </c>
      <c r="AE6" s="2" t="s">
        <v>47</v>
      </c>
      <c r="AF6" s="3">
        <v>42233</v>
      </c>
    </row>
    <row r="7" spans="1:32" x14ac:dyDescent="0.25">
      <c r="A7" s="2" t="s">
        <v>41</v>
      </c>
      <c r="B7" s="2">
        <v>1</v>
      </c>
      <c r="C7" s="2">
        <v>97</v>
      </c>
      <c r="D7" s="2">
        <v>2015</v>
      </c>
      <c r="E7" s="2" t="s">
        <v>59</v>
      </c>
      <c r="F7" s="2">
        <v>41</v>
      </c>
      <c r="G7" s="2">
        <v>5</v>
      </c>
      <c r="H7" s="2">
        <v>1</v>
      </c>
      <c r="I7" s="2">
        <v>3</v>
      </c>
      <c r="J7" s="2">
        <v>1</v>
      </c>
      <c r="K7" s="2">
        <v>0</v>
      </c>
      <c r="L7" s="2">
        <v>0</v>
      </c>
      <c r="M7" s="2" t="s">
        <v>34</v>
      </c>
      <c r="N7" s="2" t="s">
        <v>43</v>
      </c>
      <c r="O7" s="2" t="s">
        <v>64</v>
      </c>
      <c r="P7" s="2" t="s">
        <v>45</v>
      </c>
      <c r="Q7" s="2">
        <v>0</v>
      </c>
      <c r="R7" s="2">
        <v>0</v>
      </c>
      <c r="S7" s="2">
        <v>0</v>
      </c>
      <c r="T7" s="2" t="s">
        <v>46</v>
      </c>
      <c r="U7" s="2" t="s">
        <v>46</v>
      </c>
      <c r="V7" s="2">
        <v>0</v>
      </c>
      <c r="W7" s="2" t="s">
        <v>68</v>
      </c>
      <c r="X7" s="2">
        <v>29</v>
      </c>
      <c r="Y7" s="2"/>
      <c r="Z7" s="2">
        <v>0</v>
      </c>
      <c r="AA7" s="2" t="s">
        <v>39</v>
      </c>
      <c r="AB7" s="2">
        <v>140</v>
      </c>
      <c r="AC7" s="2">
        <v>0</v>
      </c>
      <c r="AD7" s="2">
        <v>0</v>
      </c>
      <c r="AE7" s="2" t="s">
        <v>47</v>
      </c>
      <c r="AF7" s="3">
        <v>42188</v>
      </c>
    </row>
    <row r="8" spans="1:32" x14ac:dyDescent="0.25">
      <c r="A8" s="2" t="s">
        <v>41</v>
      </c>
      <c r="B8" s="2">
        <v>1</v>
      </c>
      <c r="C8" s="2">
        <v>360</v>
      </c>
      <c r="D8" s="2">
        <v>2015</v>
      </c>
      <c r="E8" s="2" t="s">
        <v>59</v>
      </c>
      <c r="F8" s="2">
        <v>42</v>
      </c>
      <c r="G8" s="2">
        <v>12</v>
      </c>
      <c r="H8" s="2">
        <v>1</v>
      </c>
      <c r="I8" s="2">
        <v>1</v>
      </c>
      <c r="J8" s="2">
        <v>2</v>
      </c>
      <c r="K8" s="2">
        <v>0</v>
      </c>
      <c r="L8" s="2">
        <v>0</v>
      </c>
      <c r="M8" s="2" t="s">
        <v>34</v>
      </c>
      <c r="N8" s="2" t="s">
        <v>43</v>
      </c>
      <c r="O8" s="2" t="s">
        <v>64</v>
      </c>
      <c r="P8" s="2" t="s">
        <v>45</v>
      </c>
      <c r="Q8" s="2">
        <v>0</v>
      </c>
      <c r="R8" s="2">
        <v>1</v>
      </c>
      <c r="S8" s="2">
        <v>0</v>
      </c>
      <c r="T8" s="2" t="s">
        <v>46</v>
      </c>
      <c r="U8" s="2" t="s">
        <v>46</v>
      </c>
      <c r="V8" s="2">
        <v>0</v>
      </c>
      <c r="W8" s="2" t="s">
        <v>68</v>
      </c>
      <c r="X8" s="2">
        <v>1</v>
      </c>
      <c r="Y8" s="2"/>
      <c r="Z8" s="2">
        <v>0</v>
      </c>
      <c r="AA8" s="2" t="s">
        <v>73</v>
      </c>
      <c r="AB8" s="2">
        <v>62</v>
      </c>
      <c r="AC8" s="2">
        <v>0</v>
      </c>
      <c r="AD8" s="2">
        <v>0</v>
      </c>
      <c r="AE8" s="2" t="s">
        <v>47</v>
      </c>
      <c r="AF8" s="3">
        <v>42005</v>
      </c>
    </row>
    <row r="9" spans="1:32" x14ac:dyDescent="0.25">
      <c r="A9" s="2" t="s">
        <v>32</v>
      </c>
      <c r="B9" s="2">
        <v>0</v>
      </c>
      <c r="C9" s="2">
        <v>165</v>
      </c>
      <c r="D9" s="2">
        <v>2015</v>
      </c>
      <c r="E9" s="2" t="s">
        <v>33</v>
      </c>
      <c r="F9" s="2">
        <v>53</v>
      </c>
      <c r="G9" s="2">
        <v>30</v>
      </c>
      <c r="H9" s="2">
        <v>0</v>
      </c>
      <c r="I9" s="2">
        <v>4</v>
      </c>
      <c r="J9" s="2">
        <v>1</v>
      </c>
      <c r="K9" s="2">
        <v>0</v>
      </c>
      <c r="L9" s="2">
        <v>0</v>
      </c>
      <c r="M9" s="2" t="s">
        <v>77</v>
      </c>
      <c r="N9" s="2" t="s">
        <v>43</v>
      </c>
      <c r="O9" s="2" t="s">
        <v>64</v>
      </c>
      <c r="P9" s="2" t="s">
        <v>45</v>
      </c>
      <c r="Q9" s="2">
        <v>0</v>
      </c>
      <c r="R9" s="2">
        <v>0</v>
      </c>
      <c r="S9" s="2">
        <v>0</v>
      </c>
      <c r="T9" s="2" t="s">
        <v>46</v>
      </c>
      <c r="U9" s="2" t="s">
        <v>46</v>
      </c>
      <c r="V9" s="2">
        <v>0</v>
      </c>
      <c r="W9" s="2" t="s">
        <v>38</v>
      </c>
      <c r="X9" s="2">
        <v>308</v>
      </c>
      <c r="Y9" s="2"/>
      <c r="Z9" s="2">
        <v>122</v>
      </c>
      <c r="AA9" s="2" t="s">
        <v>51</v>
      </c>
      <c r="AB9" s="2">
        <v>0</v>
      </c>
      <c r="AC9" s="2">
        <v>0</v>
      </c>
      <c r="AD9" s="2">
        <v>0</v>
      </c>
      <c r="AE9" s="2" t="s">
        <v>40</v>
      </c>
      <c r="AF9" s="3">
        <v>42372</v>
      </c>
    </row>
    <row r="10" spans="1:32" x14ac:dyDescent="0.25">
      <c r="A10" s="2" t="s">
        <v>41</v>
      </c>
      <c r="B10" s="2">
        <v>0</v>
      </c>
      <c r="C10" s="2">
        <v>4</v>
      </c>
      <c r="D10" s="2">
        <v>2015</v>
      </c>
      <c r="E10" s="2" t="s">
        <v>67</v>
      </c>
      <c r="F10" s="2">
        <v>35</v>
      </c>
      <c r="G10" s="2">
        <v>25</v>
      </c>
      <c r="H10" s="2">
        <v>0</v>
      </c>
      <c r="I10" s="2">
        <v>4</v>
      </c>
      <c r="J10" s="2">
        <v>2</v>
      </c>
      <c r="K10" s="2">
        <v>0</v>
      </c>
      <c r="L10" s="2">
        <v>0</v>
      </c>
      <c r="M10" s="2" t="s">
        <v>34</v>
      </c>
      <c r="N10" s="2" t="s">
        <v>43</v>
      </c>
      <c r="O10" s="2" t="s">
        <v>64</v>
      </c>
      <c r="P10" s="2" t="s">
        <v>45</v>
      </c>
      <c r="Q10" s="2">
        <v>0</v>
      </c>
      <c r="R10" s="2">
        <v>0</v>
      </c>
      <c r="S10" s="2">
        <v>0</v>
      </c>
      <c r="T10" s="2" t="s">
        <v>46</v>
      </c>
      <c r="U10" s="2" t="s">
        <v>46</v>
      </c>
      <c r="V10" s="2">
        <v>0</v>
      </c>
      <c r="W10" s="2" t="s">
        <v>38</v>
      </c>
      <c r="X10" s="2">
        <v>1</v>
      </c>
      <c r="Y10" s="2"/>
      <c r="Z10" s="2">
        <v>0</v>
      </c>
      <c r="AA10" s="2" t="s">
        <v>51</v>
      </c>
      <c r="AB10" s="2">
        <v>62</v>
      </c>
      <c r="AC10" s="2">
        <v>0</v>
      </c>
      <c r="AD10" s="2">
        <v>0</v>
      </c>
      <c r="AE10" s="2" t="s">
        <v>40</v>
      </c>
      <c r="AF10" s="3">
        <v>42245</v>
      </c>
    </row>
    <row r="11" spans="1:32" x14ac:dyDescent="0.25">
      <c r="A11" s="2" t="s">
        <v>41</v>
      </c>
      <c r="B11" s="2">
        <v>0</v>
      </c>
      <c r="C11" s="2">
        <v>237</v>
      </c>
      <c r="D11" s="2">
        <v>2015</v>
      </c>
      <c r="E11" s="2" t="s">
        <v>62</v>
      </c>
      <c r="F11" s="2">
        <v>38</v>
      </c>
      <c r="G11" s="2">
        <v>14</v>
      </c>
      <c r="H11" s="2">
        <v>1</v>
      </c>
      <c r="I11" s="2">
        <v>2</v>
      </c>
      <c r="J11" s="2">
        <v>1</v>
      </c>
      <c r="K11" s="2">
        <v>0</v>
      </c>
      <c r="L11" s="2">
        <v>0</v>
      </c>
      <c r="M11" s="2" t="s">
        <v>34</v>
      </c>
      <c r="N11" s="2" t="s">
        <v>56</v>
      </c>
      <c r="O11" s="2" t="s">
        <v>44</v>
      </c>
      <c r="P11" s="2" t="s">
        <v>45</v>
      </c>
      <c r="Q11" s="2">
        <v>0</v>
      </c>
      <c r="R11" s="2">
        <v>0</v>
      </c>
      <c r="S11" s="2">
        <v>0</v>
      </c>
      <c r="T11" s="2" t="s">
        <v>46</v>
      </c>
      <c r="U11" s="2" t="s">
        <v>46</v>
      </c>
      <c r="V11" s="2">
        <v>0</v>
      </c>
      <c r="W11" s="2" t="s">
        <v>38</v>
      </c>
      <c r="X11" s="2">
        <v>9</v>
      </c>
      <c r="Y11" s="2"/>
      <c r="Z11" s="2">
        <v>0</v>
      </c>
      <c r="AA11" s="2" t="s">
        <v>51</v>
      </c>
      <c r="AB11" s="2">
        <v>80.75</v>
      </c>
      <c r="AC11" s="2">
        <v>0</v>
      </c>
      <c r="AD11" s="2">
        <v>0</v>
      </c>
      <c r="AE11" s="2" t="s">
        <v>40</v>
      </c>
      <c r="AF11" s="3">
        <v>42264</v>
      </c>
    </row>
    <row r="12" spans="1:32" x14ac:dyDescent="0.25">
      <c r="A12" s="2" t="s">
        <v>41</v>
      </c>
      <c r="B12" s="2">
        <v>0</v>
      </c>
      <c r="C12" s="2">
        <v>21</v>
      </c>
      <c r="D12" s="2">
        <v>2015</v>
      </c>
      <c r="E12" s="2" t="s">
        <v>33</v>
      </c>
      <c r="F12" s="2">
        <v>51</v>
      </c>
      <c r="G12" s="2">
        <v>17</v>
      </c>
      <c r="H12" s="2">
        <v>0</v>
      </c>
      <c r="I12" s="2">
        <v>2</v>
      </c>
      <c r="J12" s="2">
        <v>1</v>
      </c>
      <c r="K12" s="2">
        <v>0</v>
      </c>
      <c r="L12" s="2">
        <v>0</v>
      </c>
      <c r="M12" s="2" t="s">
        <v>34</v>
      </c>
      <c r="N12" s="2" t="s">
        <v>43</v>
      </c>
      <c r="O12" s="2" t="s">
        <v>76</v>
      </c>
      <c r="P12" s="2" t="s">
        <v>76</v>
      </c>
      <c r="Q12" s="2">
        <v>0</v>
      </c>
      <c r="R12" s="2">
        <v>0</v>
      </c>
      <c r="S12" s="2">
        <v>0</v>
      </c>
      <c r="T12" s="2" t="s">
        <v>46</v>
      </c>
      <c r="U12" s="2" t="s">
        <v>46</v>
      </c>
      <c r="V12" s="2">
        <v>0</v>
      </c>
      <c r="W12" s="2" t="s">
        <v>38</v>
      </c>
      <c r="X12" s="2"/>
      <c r="Y12" s="2">
        <v>40</v>
      </c>
      <c r="Z12" s="2">
        <v>0</v>
      </c>
      <c r="AA12" s="2" t="s">
        <v>51</v>
      </c>
      <c r="AB12" s="2">
        <v>65</v>
      </c>
      <c r="AC12" s="2">
        <v>0</v>
      </c>
      <c r="AD12" s="2">
        <v>0</v>
      </c>
      <c r="AE12" s="2" t="s">
        <v>40</v>
      </c>
      <c r="AF12" s="3">
        <v>42357</v>
      </c>
    </row>
    <row r="13" spans="1:32" x14ac:dyDescent="0.25">
      <c r="A13" s="2" t="s">
        <v>41</v>
      </c>
      <c r="B13" s="2">
        <v>1</v>
      </c>
      <c r="C13" s="2">
        <v>160</v>
      </c>
      <c r="D13" s="2">
        <v>2015</v>
      </c>
      <c r="E13" s="2" t="s">
        <v>33</v>
      </c>
      <c r="F13" s="2">
        <v>53</v>
      </c>
      <c r="G13" s="2">
        <v>30</v>
      </c>
      <c r="H13" s="2">
        <v>0</v>
      </c>
      <c r="I13" s="2">
        <v>3</v>
      </c>
      <c r="J13" s="2">
        <v>2</v>
      </c>
      <c r="K13" s="2">
        <v>0</v>
      </c>
      <c r="L13" s="2">
        <v>0</v>
      </c>
      <c r="M13" s="2" t="s">
        <v>34</v>
      </c>
      <c r="N13" s="2" t="s">
        <v>43</v>
      </c>
      <c r="O13" s="2" t="s">
        <v>49</v>
      </c>
      <c r="P13" s="2" t="s">
        <v>45</v>
      </c>
      <c r="Q13" s="2">
        <v>0</v>
      </c>
      <c r="R13" s="2">
        <v>0</v>
      </c>
      <c r="S13" s="2">
        <v>0</v>
      </c>
      <c r="T13" s="2" t="s">
        <v>46</v>
      </c>
      <c r="U13" s="2" t="s">
        <v>46</v>
      </c>
      <c r="V13" s="2">
        <v>0</v>
      </c>
      <c r="W13" s="2" t="s">
        <v>38</v>
      </c>
      <c r="X13" s="2">
        <v>3</v>
      </c>
      <c r="Y13" s="2"/>
      <c r="Z13" s="2">
        <v>111</v>
      </c>
      <c r="AA13" s="2" t="s">
        <v>51</v>
      </c>
      <c r="AB13" s="2">
        <v>70</v>
      </c>
      <c r="AC13" s="2">
        <v>0</v>
      </c>
      <c r="AD13" s="2">
        <v>0</v>
      </c>
      <c r="AE13" s="2" t="s">
        <v>47</v>
      </c>
      <c r="AF13" s="3">
        <v>42361</v>
      </c>
    </row>
    <row r="14" spans="1:32" x14ac:dyDescent="0.25">
      <c r="A14" s="2" t="s">
        <v>41</v>
      </c>
      <c r="B14" s="2">
        <v>1</v>
      </c>
      <c r="C14" s="2">
        <v>274</v>
      </c>
      <c r="D14" s="2">
        <v>2015</v>
      </c>
      <c r="E14" s="2" t="s">
        <v>42</v>
      </c>
      <c r="F14" s="2">
        <v>29</v>
      </c>
      <c r="G14" s="2">
        <v>18</v>
      </c>
      <c r="H14" s="2">
        <v>2</v>
      </c>
      <c r="I14" s="2">
        <v>2</v>
      </c>
      <c r="J14" s="2">
        <v>2</v>
      </c>
      <c r="K14" s="2">
        <v>0</v>
      </c>
      <c r="L14" s="2">
        <v>0</v>
      </c>
      <c r="M14" s="2" t="s">
        <v>34</v>
      </c>
      <c r="N14" s="2" t="s">
        <v>43</v>
      </c>
      <c r="O14" s="2" t="s">
        <v>64</v>
      </c>
      <c r="P14" s="2" t="s">
        <v>45</v>
      </c>
      <c r="Q14" s="2">
        <v>0</v>
      </c>
      <c r="R14" s="2">
        <v>1</v>
      </c>
      <c r="S14" s="2">
        <v>0</v>
      </c>
      <c r="T14" s="2" t="s">
        <v>46</v>
      </c>
      <c r="U14" s="2" t="s">
        <v>46</v>
      </c>
      <c r="V14" s="2">
        <v>0</v>
      </c>
      <c r="W14" s="2" t="s">
        <v>38</v>
      </c>
      <c r="X14" s="2">
        <v>1</v>
      </c>
      <c r="Y14" s="2"/>
      <c r="Z14" s="2">
        <v>0</v>
      </c>
      <c r="AA14" s="2" t="s">
        <v>51</v>
      </c>
      <c r="AB14" s="2">
        <v>62</v>
      </c>
      <c r="AC14" s="2">
        <v>0</v>
      </c>
      <c r="AD14" s="2">
        <v>0</v>
      </c>
      <c r="AE14" s="2" t="s">
        <v>47</v>
      </c>
      <c r="AF14" s="3">
        <v>42191</v>
      </c>
    </row>
    <row r="15" spans="1:32" x14ac:dyDescent="0.25">
      <c r="A15" s="2" t="s">
        <v>41</v>
      </c>
      <c r="B15" s="2">
        <v>1</v>
      </c>
      <c r="C15" s="2">
        <v>1</v>
      </c>
      <c r="D15" s="2">
        <v>2015</v>
      </c>
      <c r="E15" s="2" t="s">
        <v>33</v>
      </c>
      <c r="F15" s="2">
        <v>53</v>
      </c>
      <c r="G15" s="2">
        <v>29</v>
      </c>
      <c r="H15" s="2">
        <v>0</v>
      </c>
      <c r="I15" s="2">
        <v>4</v>
      </c>
      <c r="J15" s="2">
        <v>2</v>
      </c>
      <c r="K15" s="2">
        <v>0</v>
      </c>
      <c r="L15" s="2">
        <v>1</v>
      </c>
      <c r="M15" s="2" t="s">
        <v>34</v>
      </c>
      <c r="N15" s="2" t="s">
        <v>43</v>
      </c>
      <c r="O15" s="2" t="s">
        <v>64</v>
      </c>
      <c r="P15" s="2" t="s">
        <v>45</v>
      </c>
      <c r="Q15" s="2">
        <v>0</v>
      </c>
      <c r="R15" s="2">
        <v>0</v>
      </c>
      <c r="S15" s="2">
        <v>0</v>
      </c>
      <c r="T15" s="2" t="s">
        <v>86</v>
      </c>
      <c r="U15" s="2" t="s">
        <v>86</v>
      </c>
      <c r="V15" s="2">
        <v>2</v>
      </c>
      <c r="W15" s="2" t="s">
        <v>38</v>
      </c>
      <c r="X15" s="2">
        <v>29</v>
      </c>
      <c r="Y15" s="2"/>
      <c r="Z15" s="2">
        <v>0</v>
      </c>
      <c r="AA15" s="2" t="s">
        <v>39</v>
      </c>
      <c r="AB15" s="2">
        <v>72.5</v>
      </c>
      <c r="AC15" s="2">
        <v>0</v>
      </c>
      <c r="AD15" s="2">
        <v>2</v>
      </c>
      <c r="AE15" s="2" t="s">
        <v>47</v>
      </c>
      <c r="AF15" s="3">
        <v>42367</v>
      </c>
    </row>
    <row r="16" spans="1:32" x14ac:dyDescent="0.25">
      <c r="A16" s="2" t="s">
        <v>41</v>
      </c>
      <c r="B16" s="2">
        <v>1</v>
      </c>
      <c r="C16" s="2">
        <v>364</v>
      </c>
      <c r="D16" s="2">
        <v>2015</v>
      </c>
      <c r="E16" s="2" t="s">
        <v>59</v>
      </c>
      <c r="F16" s="2">
        <v>42</v>
      </c>
      <c r="G16" s="2">
        <v>16</v>
      </c>
      <c r="H16" s="2">
        <v>0</v>
      </c>
      <c r="I16" s="2">
        <v>2</v>
      </c>
      <c r="J16" s="2">
        <v>2</v>
      </c>
      <c r="K16" s="2">
        <v>0</v>
      </c>
      <c r="L16" s="2">
        <v>0</v>
      </c>
      <c r="M16" s="2" t="s">
        <v>60</v>
      </c>
      <c r="N16" s="2" t="s">
        <v>43</v>
      </c>
      <c r="O16" s="2" t="s">
        <v>49</v>
      </c>
      <c r="P16" s="2" t="s">
        <v>45</v>
      </c>
      <c r="Q16" s="2">
        <v>0</v>
      </c>
      <c r="R16" s="2">
        <v>1</v>
      </c>
      <c r="S16" s="2">
        <v>0</v>
      </c>
      <c r="T16" s="2" t="s">
        <v>46</v>
      </c>
      <c r="U16" s="2" t="s">
        <v>46</v>
      </c>
      <c r="V16" s="2">
        <v>0</v>
      </c>
      <c r="W16" s="2" t="s">
        <v>68</v>
      </c>
      <c r="X16" s="2">
        <v>6</v>
      </c>
      <c r="Y16" s="2"/>
      <c r="Z16" s="2">
        <v>0</v>
      </c>
      <c r="AA16" s="2" t="s">
        <v>51</v>
      </c>
      <c r="AB16" s="2">
        <v>101.5</v>
      </c>
      <c r="AC16" s="2">
        <v>0</v>
      </c>
      <c r="AD16" s="2">
        <v>0</v>
      </c>
      <c r="AE16" s="2" t="s">
        <v>47</v>
      </c>
      <c r="AF16" s="3">
        <v>42191</v>
      </c>
    </row>
    <row r="17" spans="1:32" x14ac:dyDescent="0.25">
      <c r="A17" s="2" t="s">
        <v>41</v>
      </c>
      <c r="B17" s="2">
        <v>1</v>
      </c>
      <c r="C17" s="2">
        <v>25</v>
      </c>
      <c r="D17" s="2">
        <v>2015</v>
      </c>
      <c r="E17" s="2" t="s">
        <v>33</v>
      </c>
      <c r="F17" s="2">
        <v>50</v>
      </c>
      <c r="G17" s="2">
        <v>8</v>
      </c>
      <c r="H17" s="2">
        <v>0</v>
      </c>
      <c r="I17" s="2">
        <v>2</v>
      </c>
      <c r="J17" s="2">
        <v>1</v>
      </c>
      <c r="K17" s="2">
        <v>0</v>
      </c>
      <c r="L17" s="2">
        <v>0</v>
      </c>
      <c r="M17" s="2" t="s">
        <v>34</v>
      </c>
      <c r="N17" s="2" t="s">
        <v>43</v>
      </c>
      <c r="O17" s="2" t="s">
        <v>49</v>
      </c>
      <c r="P17" s="2" t="s">
        <v>45</v>
      </c>
      <c r="Q17" s="2">
        <v>0</v>
      </c>
      <c r="R17" s="2">
        <v>1</v>
      </c>
      <c r="S17" s="2">
        <v>0</v>
      </c>
      <c r="T17" s="2" t="s">
        <v>46</v>
      </c>
      <c r="U17" s="2" t="s">
        <v>46</v>
      </c>
      <c r="V17" s="2">
        <v>0</v>
      </c>
      <c r="W17" s="2" t="s">
        <v>68</v>
      </c>
      <c r="X17" s="2">
        <v>19</v>
      </c>
      <c r="Y17" s="2"/>
      <c r="Z17" s="2">
        <v>0</v>
      </c>
      <c r="AA17" s="2" t="s">
        <v>39</v>
      </c>
      <c r="AB17" s="2">
        <v>90</v>
      </c>
      <c r="AC17" s="2">
        <v>0</v>
      </c>
      <c r="AD17" s="2">
        <v>0</v>
      </c>
      <c r="AE17" s="2" t="s">
        <v>47</v>
      </c>
      <c r="AF17" s="3">
        <v>42325</v>
      </c>
    </row>
    <row r="18" spans="1:32" x14ac:dyDescent="0.25">
      <c r="A18" s="2" t="s">
        <v>32</v>
      </c>
      <c r="B18" s="2">
        <v>0</v>
      </c>
      <c r="C18" s="2">
        <v>164</v>
      </c>
      <c r="D18" s="2">
        <v>2015</v>
      </c>
      <c r="E18" s="2" t="s">
        <v>61</v>
      </c>
      <c r="F18" s="2">
        <v>46</v>
      </c>
      <c r="G18" s="2">
        <v>9</v>
      </c>
      <c r="H18" s="2">
        <v>2</v>
      </c>
      <c r="I18" s="2">
        <v>5</v>
      </c>
      <c r="J18" s="2">
        <v>2</v>
      </c>
      <c r="K18" s="2">
        <v>0</v>
      </c>
      <c r="L18" s="2">
        <v>0</v>
      </c>
      <c r="M18" s="2" t="s">
        <v>60</v>
      </c>
      <c r="N18" s="2" t="s">
        <v>70</v>
      </c>
      <c r="O18" s="2" t="s">
        <v>44</v>
      </c>
      <c r="P18" s="2" t="s">
        <v>45</v>
      </c>
      <c r="Q18" s="2">
        <v>0</v>
      </c>
      <c r="R18" s="2">
        <v>0</v>
      </c>
      <c r="S18" s="2">
        <v>0</v>
      </c>
      <c r="T18" s="2" t="s">
        <v>46</v>
      </c>
      <c r="U18" s="2" t="s">
        <v>57</v>
      </c>
      <c r="V18" s="2">
        <v>0</v>
      </c>
      <c r="W18" s="2" t="s">
        <v>38</v>
      </c>
      <c r="X18" s="2">
        <v>240</v>
      </c>
      <c r="Y18" s="2"/>
      <c r="Z18" s="2">
        <v>0</v>
      </c>
      <c r="AA18" s="2" t="s">
        <v>39</v>
      </c>
      <c r="AB18" s="2">
        <v>61.2</v>
      </c>
      <c r="AC18" s="2">
        <v>1</v>
      </c>
      <c r="AD18" s="2">
        <v>0</v>
      </c>
      <c r="AE18" s="2" t="s">
        <v>40</v>
      </c>
      <c r="AF18" s="3">
        <v>42324</v>
      </c>
    </row>
    <row r="19" spans="1:32" x14ac:dyDescent="0.25">
      <c r="A19" s="2" t="s">
        <v>32</v>
      </c>
      <c r="B19" s="2">
        <v>1</v>
      </c>
      <c r="C19" s="2">
        <v>246</v>
      </c>
      <c r="D19" s="2">
        <v>2015</v>
      </c>
      <c r="E19" s="2" t="s">
        <v>62</v>
      </c>
      <c r="F19" s="2">
        <v>36</v>
      </c>
      <c r="G19" s="2">
        <v>5</v>
      </c>
      <c r="H19" s="2">
        <v>2</v>
      </c>
      <c r="I19" s="2">
        <v>5</v>
      </c>
      <c r="J19" s="2">
        <v>2</v>
      </c>
      <c r="K19" s="2">
        <v>0</v>
      </c>
      <c r="L19" s="2">
        <v>0</v>
      </c>
      <c r="M19" s="2" t="s">
        <v>34</v>
      </c>
      <c r="N19" s="2"/>
      <c r="O19" s="2" t="s">
        <v>49</v>
      </c>
      <c r="P19" s="2" t="s">
        <v>45</v>
      </c>
      <c r="Q19" s="2">
        <v>0</v>
      </c>
      <c r="R19" s="2">
        <v>1</v>
      </c>
      <c r="S19" s="2">
        <v>0</v>
      </c>
      <c r="T19" s="2" t="s">
        <v>46</v>
      </c>
      <c r="U19" s="2" t="s">
        <v>46</v>
      </c>
      <c r="V19" s="2">
        <v>0</v>
      </c>
      <c r="W19" s="2" t="s">
        <v>38</v>
      </c>
      <c r="X19" s="2">
        <v>96</v>
      </c>
      <c r="Y19" s="2"/>
      <c r="Z19" s="2">
        <v>0</v>
      </c>
      <c r="AA19" s="2" t="s">
        <v>51</v>
      </c>
      <c r="AB19" s="2">
        <v>58.95</v>
      </c>
      <c r="AC19" s="2">
        <v>0</v>
      </c>
      <c r="AD19" s="2">
        <v>0</v>
      </c>
      <c r="AE19" s="2" t="s">
        <v>47</v>
      </c>
      <c r="AF19" s="3">
        <v>42172</v>
      </c>
    </row>
    <row r="20" spans="1:32" x14ac:dyDescent="0.25">
      <c r="A20" s="2" t="s">
        <v>41</v>
      </c>
      <c r="B20" s="2">
        <v>1</v>
      </c>
      <c r="C20" s="2">
        <v>98</v>
      </c>
      <c r="D20" s="2">
        <v>2015</v>
      </c>
      <c r="E20" s="2" t="s">
        <v>61</v>
      </c>
      <c r="F20" s="2">
        <v>48</v>
      </c>
      <c r="G20" s="2">
        <v>23</v>
      </c>
      <c r="H20" s="2">
        <v>1</v>
      </c>
      <c r="I20" s="2">
        <v>2</v>
      </c>
      <c r="J20" s="2">
        <v>1</v>
      </c>
      <c r="K20" s="2">
        <v>0</v>
      </c>
      <c r="L20" s="2">
        <v>0</v>
      </c>
      <c r="M20" s="2" t="s">
        <v>34</v>
      </c>
      <c r="N20" s="2" t="s">
        <v>43</v>
      </c>
      <c r="O20" s="2" t="s">
        <v>64</v>
      </c>
      <c r="P20" s="2" t="s">
        <v>45</v>
      </c>
      <c r="Q20" s="2">
        <v>0</v>
      </c>
      <c r="R20" s="2">
        <v>0</v>
      </c>
      <c r="S20" s="2">
        <v>0</v>
      </c>
      <c r="T20" s="2" t="s">
        <v>46</v>
      </c>
      <c r="U20" s="2" t="s">
        <v>46</v>
      </c>
      <c r="V20" s="2">
        <v>0</v>
      </c>
      <c r="W20" s="2" t="s">
        <v>38</v>
      </c>
      <c r="X20" s="2">
        <v>37</v>
      </c>
      <c r="Y20" s="2"/>
      <c r="Z20" s="2">
        <v>0</v>
      </c>
      <c r="AA20" s="2" t="s">
        <v>51</v>
      </c>
      <c r="AB20" s="2">
        <v>70</v>
      </c>
      <c r="AC20" s="2">
        <v>0</v>
      </c>
      <c r="AD20" s="2">
        <v>0</v>
      </c>
      <c r="AE20" s="2" t="s">
        <v>89</v>
      </c>
      <c r="AF20" s="3">
        <v>42331</v>
      </c>
    </row>
    <row r="21" spans="1:32" x14ac:dyDescent="0.25">
      <c r="A21" s="2" t="s">
        <v>41</v>
      </c>
      <c r="B21" s="2">
        <v>1</v>
      </c>
      <c r="C21" s="2">
        <v>292</v>
      </c>
      <c r="D21" s="2">
        <v>2015</v>
      </c>
      <c r="E21" s="2" t="s">
        <v>67</v>
      </c>
      <c r="F21" s="2">
        <v>32</v>
      </c>
      <c r="G21" s="2">
        <v>5</v>
      </c>
      <c r="H21" s="2">
        <v>0</v>
      </c>
      <c r="I21" s="2">
        <v>2</v>
      </c>
      <c r="J21" s="2">
        <v>2</v>
      </c>
      <c r="K21" s="2">
        <v>0</v>
      </c>
      <c r="L21" s="2">
        <v>0</v>
      </c>
      <c r="M21" s="2" t="s">
        <v>34</v>
      </c>
      <c r="N21" s="2" t="s">
        <v>43</v>
      </c>
      <c r="O21" s="2" t="s">
        <v>64</v>
      </c>
      <c r="P21" s="2" t="s">
        <v>45</v>
      </c>
      <c r="Q21" s="2">
        <v>0</v>
      </c>
      <c r="R21" s="2">
        <v>1</v>
      </c>
      <c r="S21" s="2">
        <v>0</v>
      </c>
      <c r="T21" s="2" t="s">
        <v>46</v>
      </c>
      <c r="U21" s="2" t="s">
        <v>46</v>
      </c>
      <c r="V21" s="2">
        <v>0</v>
      </c>
      <c r="W21" s="2" t="s">
        <v>68</v>
      </c>
      <c r="X21" s="2">
        <v>1</v>
      </c>
      <c r="Y21" s="2"/>
      <c r="Z21" s="2">
        <v>0</v>
      </c>
      <c r="AA21" s="2" t="s">
        <v>51</v>
      </c>
      <c r="AB21" s="2">
        <v>62</v>
      </c>
      <c r="AC21" s="2">
        <v>0</v>
      </c>
      <c r="AD21" s="2">
        <v>0</v>
      </c>
      <c r="AE21" s="2" t="s">
        <v>47</v>
      </c>
      <c r="AF21" s="3">
        <v>42187</v>
      </c>
    </row>
    <row r="22" spans="1:32" x14ac:dyDescent="0.25">
      <c r="A22" s="2" t="s">
        <v>32</v>
      </c>
      <c r="B22" s="2">
        <v>1</v>
      </c>
      <c r="C22" s="2">
        <v>49</v>
      </c>
      <c r="D22" s="2">
        <v>2015</v>
      </c>
      <c r="E22" s="2" t="s">
        <v>42</v>
      </c>
      <c r="F22" s="2">
        <v>30</v>
      </c>
      <c r="G22" s="2">
        <v>20</v>
      </c>
      <c r="H22" s="2">
        <v>3</v>
      </c>
      <c r="I22" s="2">
        <v>6</v>
      </c>
      <c r="J22" s="2">
        <v>2</v>
      </c>
      <c r="K22" s="2">
        <v>0</v>
      </c>
      <c r="L22" s="2">
        <v>0</v>
      </c>
      <c r="M22" s="2" t="s">
        <v>90</v>
      </c>
      <c r="N22" s="2" t="s">
        <v>43</v>
      </c>
      <c r="O22" s="2" t="s">
        <v>49</v>
      </c>
      <c r="P22" s="2" t="s">
        <v>45</v>
      </c>
      <c r="Q22" s="2">
        <v>0</v>
      </c>
      <c r="R22" s="2">
        <v>0</v>
      </c>
      <c r="S22" s="2">
        <v>0</v>
      </c>
      <c r="T22" s="2" t="s">
        <v>57</v>
      </c>
      <c r="U22" s="2" t="s">
        <v>57</v>
      </c>
      <c r="V22" s="2">
        <v>0</v>
      </c>
      <c r="W22" s="2" t="s">
        <v>38</v>
      </c>
      <c r="X22" s="2">
        <v>15</v>
      </c>
      <c r="Y22" s="2"/>
      <c r="Z22" s="2">
        <v>0</v>
      </c>
      <c r="AA22" s="2" t="s">
        <v>39</v>
      </c>
      <c r="AB22" s="2">
        <v>111.2</v>
      </c>
      <c r="AC22" s="2">
        <v>0</v>
      </c>
      <c r="AD22" s="2">
        <v>0</v>
      </c>
      <c r="AE22" s="2" t="s">
        <v>47</v>
      </c>
      <c r="AF22" s="3">
        <v>42156</v>
      </c>
    </row>
    <row r="23" spans="1:32" x14ac:dyDescent="0.25">
      <c r="A23" s="2" t="s">
        <v>41</v>
      </c>
      <c r="B23" s="2">
        <v>1</v>
      </c>
      <c r="C23" s="2">
        <v>379</v>
      </c>
      <c r="D23" s="2">
        <v>2015</v>
      </c>
      <c r="E23" s="2" t="s">
        <v>59</v>
      </c>
      <c r="F23" s="2">
        <v>44</v>
      </c>
      <c r="G23" s="2">
        <v>31</v>
      </c>
      <c r="H23" s="2">
        <v>1</v>
      </c>
      <c r="I23" s="2">
        <v>1</v>
      </c>
      <c r="J23" s="2">
        <v>2</v>
      </c>
      <c r="K23" s="2">
        <v>0</v>
      </c>
      <c r="L23" s="2">
        <v>0</v>
      </c>
      <c r="M23" s="2" t="s">
        <v>34</v>
      </c>
      <c r="N23" s="2" t="s">
        <v>43</v>
      </c>
      <c r="O23" s="2" t="s">
        <v>64</v>
      </c>
      <c r="P23" s="2" t="s">
        <v>45</v>
      </c>
      <c r="Q23" s="2">
        <v>0</v>
      </c>
      <c r="R23" s="2">
        <v>1</v>
      </c>
      <c r="S23" s="2">
        <v>0</v>
      </c>
      <c r="T23" s="2" t="s">
        <v>46</v>
      </c>
      <c r="U23" s="2" t="s">
        <v>46</v>
      </c>
      <c r="V23" s="2">
        <v>0</v>
      </c>
      <c r="W23" s="2" t="s">
        <v>68</v>
      </c>
      <c r="X23" s="2">
        <v>1</v>
      </c>
      <c r="Y23" s="2"/>
      <c r="Z23" s="2">
        <v>0</v>
      </c>
      <c r="AA23" s="2" t="s">
        <v>39</v>
      </c>
      <c r="AB23" s="2">
        <v>62</v>
      </c>
      <c r="AC23" s="2">
        <v>0</v>
      </c>
      <c r="AD23" s="2">
        <v>0</v>
      </c>
      <c r="AE23" s="2" t="s">
        <v>47</v>
      </c>
      <c r="AF23" s="3">
        <v>42208</v>
      </c>
    </row>
    <row r="24" spans="1:32" x14ac:dyDescent="0.25">
      <c r="A24" s="2" t="s">
        <v>41</v>
      </c>
      <c r="B24" s="2">
        <v>0</v>
      </c>
      <c r="C24" s="2">
        <v>4</v>
      </c>
      <c r="D24" s="2">
        <v>2015</v>
      </c>
      <c r="E24" s="2" t="s">
        <v>67</v>
      </c>
      <c r="F24" s="2">
        <v>33</v>
      </c>
      <c r="G24" s="2">
        <v>11</v>
      </c>
      <c r="H24" s="2">
        <v>0</v>
      </c>
      <c r="I24" s="2">
        <v>5</v>
      </c>
      <c r="J24" s="2">
        <v>2</v>
      </c>
      <c r="K24" s="2">
        <v>0</v>
      </c>
      <c r="L24" s="2">
        <v>0</v>
      </c>
      <c r="M24" s="2" t="s">
        <v>34</v>
      </c>
      <c r="N24" s="2" t="s">
        <v>70</v>
      </c>
      <c r="O24" s="2" t="s">
        <v>44</v>
      </c>
      <c r="P24" s="2" t="s">
        <v>45</v>
      </c>
      <c r="Q24" s="2">
        <v>0</v>
      </c>
      <c r="R24" s="2">
        <v>0</v>
      </c>
      <c r="S24" s="2">
        <v>0</v>
      </c>
      <c r="T24" s="2" t="s">
        <v>46</v>
      </c>
      <c r="U24" s="2" t="s">
        <v>46</v>
      </c>
      <c r="V24" s="2">
        <v>0</v>
      </c>
      <c r="W24" s="2" t="s">
        <v>38</v>
      </c>
      <c r="X24" s="2">
        <v>9</v>
      </c>
      <c r="Y24" s="2"/>
      <c r="Z24" s="2">
        <v>0</v>
      </c>
      <c r="AA24" s="2" t="s">
        <v>73</v>
      </c>
      <c r="AB24" s="2">
        <v>90</v>
      </c>
      <c r="AC24" s="2">
        <v>0</v>
      </c>
      <c r="AD24" s="2">
        <v>2</v>
      </c>
      <c r="AE24" s="2" t="s">
        <v>40</v>
      </c>
      <c r="AF24" s="3">
        <v>42232</v>
      </c>
    </row>
    <row r="25" spans="1:32" x14ac:dyDescent="0.25">
      <c r="A25" s="2" t="s">
        <v>32</v>
      </c>
      <c r="B25" s="2">
        <v>0</v>
      </c>
      <c r="C25" s="2">
        <v>1</v>
      </c>
      <c r="D25" s="2">
        <v>2015</v>
      </c>
      <c r="E25" s="2" t="s">
        <v>59</v>
      </c>
      <c r="F25" s="2">
        <v>42</v>
      </c>
      <c r="G25" s="2">
        <v>13</v>
      </c>
      <c r="H25" s="2">
        <v>0</v>
      </c>
      <c r="I25" s="2">
        <v>1</v>
      </c>
      <c r="J25" s="2">
        <v>2</v>
      </c>
      <c r="K25" s="2">
        <v>0</v>
      </c>
      <c r="L25" s="2">
        <v>0</v>
      </c>
      <c r="M25" s="2" t="s">
        <v>34</v>
      </c>
      <c r="N25" s="2" t="s">
        <v>71</v>
      </c>
      <c r="O25" s="2" t="s">
        <v>44</v>
      </c>
      <c r="P25" s="2" t="s">
        <v>45</v>
      </c>
      <c r="Q25" s="2">
        <v>0</v>
      </c>
      <c r="R25" s="2">
        <v>0</v>
      </c>
      <c r="S25" s="2">
        <v>0</v>
      </c>
      <c r="T25" s="2" t="s">
        <v>57</v>
      </c>
      <c r="U25" s="2" t="s">
        <v>57</v>
      </c>
      <c r="V25" s="2">
        <v>1</v>
      </c>
      <c r="W25" s="2" t="s">
        <v>38</v>
      </c>
      <c r="X25" s="2">
        <v>240</v>
      </c>
      <c r="Y25" s="2"/>
      <c r="Z25" s="2">
        <v>0</v>
      </c>
      <c r="AA25" s="2" t="s">
        <v>39</v>
      </c>
      <c r="AB25" s="2">
        <v>66</v>
      </c>
      <c r="AC25" s="2">
        <v>0</v>
      </c>
      <c r="AD25" s="2">
        <v>1</v>
      </c>
      <c r="AE25" s="2" t="s">
        <v>40</v>
      </c>
      <c r="AF25" s="3">
        <v>42291</v>
      </c>
    </row>
    <row r="26" spans="1:32" x14ac:dyDescent="0.25">
      <c r="A26" s="2" t="s">
        <v>41</v>
      </c>
      <c r="B26" s="2">
        <v>0</v>
      </c>
      <c r="C26" s="2">
        <v>53</v>
      </c>
      <c r="D26" s="2">
        <v>2015</v>
      </c>
      <c r="E26" s="2" t="s">
        <v>59</v>
      </c>
      <c r="F26" s="2">
        <v>41</v>
      </c>
      <c r="G26" s="2">
        <v>9</v>
      </c>
      <c r="H26" s="2">
        <v>1</v>
      </c>
      <c r="I26" s="2">
        <v>2</v>
      </c>
      <c r="J26" s="2">
        <v>2</v>
      </c>
      <c r="K26" s="2">
        <v>0</v>
      </c>
      <c r="L26" s="2">
        <v>0</v>
      </c>
      <c r="M26" s="2" t="s">
        <v>34</v>
      </c>
      <c r="N26" s="2" t="s">
        <v>35</v>
      </c>
      <c r="O26" s="2" t="s">
        <v>44</v>
      </c>
      <c r="P26" s="2" t="s">
        <v>45</v>
      </c>
      <c r="Q26" s="2">
        <v>0</v>
      </c>
      <c r="R26" s="2">
        <v>0</v>
      </c>
      <c r="S26" s="2">
        <v>0</v>
      </c>
      <c r="T26" s="2" t="s">
        <v>46</v>
      </c>
      <c r="U26" s="2" t="s">
        <v>46</v>
      </c>
      <c r="V26" s="2">
        <v>0</v>
      </c>
      <c r="W26" s="2" t="s">
        <v>38</v>
      </c>
      <c r="X26" s="2">
        <v>9</v>
      </c>
      <c r="Y26" s="2"/>
      <c r="Z26" s="2">
        <v>0</v>
      </c>
      <c r="AA26" s="2" t="s">
        <v>73</v>
      </c>
      <c r="AB26" s="2">
        <v>94.5</v>
      </c>
      <c r="AC26" s="2">
        <v>0</v>
      </c>
      <c r="AD26" s="2">
        <v>0</v>
      </c>
      <c r="AE26" s="2" t="s">
        <v>40</v>
      </c>
      <c r="AF26" s="3">
        <v>42289</v>
      </c>
    </row>
    <row r="27" spans="1:32" x14ac:dyDescent="0.25">
      <c r="A27" s="2" t="s">
        <v>32</v>
      </c>
      <c r="B27" s="2">
        <v>1</v>
      </c>
      <c r="C27" s="2">
        <v>260</v>
      </c>
      <c r="D27" s="2">
        <v>2015</v>
      </c>
      <c r="E27" s="2" t="s">
        <v>33</v>
      </c>
      <c r="F27" s="2">
        <v>52</v>
      </c>
      <c r="G27" s="2">
        <v>20</v>
      </c>
      <c r="H27" s="2">
        <v>4</v>
      </c>
      <c r="I27" s="2">
        <v>9</v>
      </c>
      <c r="J27" s="2">
        <v>1</v>
      </c>
      <c r="K27" s="2">
        <v>0</v>
      </c>
      <c r="L27" s="2">
        <v>0</v>
      </c>
      <c r="M27" s="2" t="s">
        <v>34</v>
      </c>
      <c r="N27" s="2" t="s">
        <v>43</v>
      </c>
      <c r="O27" s="2" t="s">
        <v>44</v>
      </c>
      <c r="P27" s="2" t="s">
        <v>45</v>
      </c>
      <c r="Q27" s="2">
        <v>0</v>
      </c>
      <c r="R27" s="2">
        <v>0</v>
      </c>
      <c r="S27" s="2">
        <v>0</v>
      </c>
      <c r="T27" s="2" t="s">
        <v>57</v>
      </c>
      <c r="U27" s="2" t="s">
        <v>57</v>
      </c>
      <c r="V27" s="2">
        <v>0</v>
      </c>
      <c r="W27" s="2" t="s">
        <v>38</v>
      </c>
      <c r="X27" s="2">
        <v>240</v>
      </c>
      <c r="Y27" s="2"/>
      <c r="Z27" s="2">
        <v>0</v>
      </c>
      <c r="AA27" s="2" t="s">
        <v>39</v>
      </c>
      <c r="AB27" s="2">
        <v>47.54</v>
      </c>
      <c r="AC27" s="2">
        <v>0</v>
      </c>
      <c r="AD27" s="2">
        <v>1</v>
      </c>
      <c r="AE27" s="2" t="s">
        <v>47</v>
      </c>
      <c r="AF27" s="3">
        <v>42240</v>
      </c>
    </row>
    <row r="28" spans="1:32" x14ac:dyDescent="0.25">
      <c r="A28" s="2" t="s">
        <v>41</v>
      </c>
      <c r="B28" s="2">
        <v>0</v>
      </c>
      <c r="C28" s="2">
        <v>1</v>
      </c>
      <c r="D28" s="2">
        <v>2015</v>
      </c>
      <c r="E28" s="2" t="s">
        <v>67</v>
      </c>
      <c r="F28" s="2">
        <v>33</v>
      </c>
      <c r="G28" s="2">
        <v>9</v>
      </c>
      <c r="H28" s="2">
        <v>1</v>
      </c>
      <c r="I28" s="2">
        <v>0</v>
      </c>
      <c r="J28" s="2">
        <v>2</v>
      </c>
      <c r="K28" s="2">
        <v>2</v>
      </c>
      <c r="L28" s="2">
        <v>0</v>
      </c>
      <c r="M28" s="2" t="s">
        <v>34</v>
      </c>
      <c r="N28" s="2" t="s">
        <v>43</v>
      </c>
      <c r="O28" s="2" t="s">
        <v>44</v>
      </c>
      <c r="P28" s="2" t="s">
        <v>45</v>
      </c>
      <c r="Q28" s="2">
        <v>0</v>
      </c>
      <c r="R28" s="2">
        <v>0</v>
      </c>
      <c r="S28" s="2">
        <v>0</v>
      </c>
      <c r="T28" s="2" t="s">
        <v>37</v>
      </c>
      <c r="U28" s="2" t="s">
        <v>37</v>
      </c>
      <c r="V28" s="2">
        <v>0</v>
      </c>
      <c r="W28" s="2" t="s">
        <v>38</v>
      </c>
      <c r="X28" s="2">
        <v>9</v>
      </c>
      <c r="Y28" s="2"/>
      <c r="Z28" s="2">
        <v>0</v>
      </c>
      <c r="AA28" s="2" t="s">
        <v>39</v>
      </c>
      <c r="AB28" s="2">
        <v>153</v>
      </c>
      <c r="AC28" s="2">
        <v>0</v>
      </c>
      <c r="AD28" s="2">
        <v>2</v>
      </c>
      <c r="AE28" s="2" t="s">
        <v>40</v>
      </c>
      <c r="AF28" s="3">
        <v>42226</v>
      </c>
    </row>
    <row r="29" spans="1:32" x14ac:dyDescent="0.25">
      <c r="A29" s="2" t="s">
        <v>41</v>
      </c>
      <c r="B29" s="2">
        <v>1</v>
      </c>
      <c r="C29" s="2">
        <v>97</v>
      </c>
      <c r="D29" s="2">
        <v>2015</v>
      </c>
      <c r="E29" s="2" t="s">
        <v>59</v>
      </c>
      <c r="F29" s="2">
        <v>41</v>
      </c>
      <c r="G29" s="2">
        <v>5</v>
      </c>
      <c r="H29" s="2">
        <v>1</v>
      </c>
      <c r="I29" s="2">
        <v>3</v>
      </c>
      <c r="J29" s="2">
        <v>1</v>
      </c>
      <c r="K29" s="2">
        <v>0</v>
      </c>
      <c r="L29" s="2">
        <v>0</v>
      </c>
      <c r="M29" s="2" t="s">
        <v>34</v>
      </c>
      <c r="N29" s="2" t="s">
        <v>43</v>
      </c>
      <c r="O29" s="2" t="s">
        <v>64</v>
      </c>
      <c r="P29" s="2" t="s">
        <v>45</v>
      </c>
      <c r="Q29" s="2">
        <v>0</v>
      </c>
      <c r="R29" s="2">
        <v>0</v>
      </c>
      <c r="S29" s="2">
        <v>0</v>
      </c>
      <c r="T29" s="2" t="s">
        <v>46</v>
      </c>
      <c r="U29" s="2" t="s">
        <v>46</v>
      </c>
      <c r="V29" s="2">
        <v>0</v>
      </c>
      <c r="W29" s="2" t="s">
        <v>68</v>
      </c>
      <c r="X29" s="2">
        <v>29</v>
      </c>
      <c r="Y29" s="2"/>
      <c r="Z29" s="2">
        <v>0</v>
      </c>
      <c r="AA29" s="2" t="s">
        <v>39</v>
      </c>
      <c r="AB29" s="2">
        <v>140</v>
      </c>
      <c r="AC29" s="2">
        <v>0</v>
      </c>
      <c r="AD29" s="2">
        <v>0</v>
      </c>
      <c r="AE29" s="2" t="s">
        <v>47</v>
      </c>
      <c r="AF29" s="3">
        <v>42188</v>
      </c>
    </row>
    <row r="30" spans="1:32" x14ac:dyDescent="0.25">
      <c r="A30" s="2" t="s">
        <v>32</v>
      </c>
      <c r="B30" s="2">
        <v>0</v>
      </c>
      <c r="C30" s="2">
        <v>2</v>
      </c>
      <c r="D30" s="2">
        <v>2015</v>
      </c>
      <c r="E30" s="2" t="s">
        <v>59</v>
      </c>
      <c r="F30" s="2">
        <v>41</v>
      </c>
      <c r="G30" s="2">
        <v>9</v>
      </c>
      <c r="H30" s="2">
        <v>0</v>
      </c>
      <c r="I30" s="2">
        <v>1</v>
      </c>
      <c r="J30" s="2">
        <v>1</v>
      </c>
      <c r="K30" s="2">
        <v>0</v>
      </c>
      <c r="L30" s="2">
        <v>0</v>
      </c>
      <c r="M30" s="2" t="s">
        <v>34</v>
      </c>
      <c r="N30" s="2" t="s">
        <v>43</v>
      </c>
      <c r="O30" s="2" t="s">
        <v>64</v>
      </c>
      <c r="P30" s="2" t="s">
        <v>76</v>
      </c>
      <c r="Q30" s="2">
        <v>0</v>
      </c>
      <c r="R30" s="2">
        <v>0</v>
      </c>
      <c r="S30" s="2">
        <v>1</v>
      </c>
      <c r="T30" s="2" t="s">
        <v>46</v>
      </c>
      <c r="U30" s="2" t="s">
        <v>57</v>
      </c>
      <c r="V30" s="2">
        <v>0</v>
      </c>
      <c r="W30" s="2" t="s">
        <v>38</v>
      </c>
      <c r="X30" s="2"/>
      <c r="Y30" s="2">
        <v>86</v>
      </c>
      <c r="Z30" s="2">
        <v>0</v>
      </c>
      <c r="AA30" s="2" t="s">
        <v>39</v>
      </c>
      <c r="AB30" s="2">
        <v>48</v>
      </c>
      <c r="AC30" s="2">
        <v>0</v>
      </c>
      <c r="AD30" s="2">
        <v>0</v>
      </c>
      <c r="AE30" s="2" t="s">
        <v>40</v>
      </c>
      <c r="AF30" s="3">
        <v>42287</v>
      </c>
    </row>
    <row r="31" spans="1:32" x14ac:dyDescent="0.25">
      <c r="A31" s="2" t="s">
        <v>32</v>
      </c>
      <c r="B31" s="2">
        <v>0</v>
      </c>
      <c r="C31" s="2">
        <v>8</v>
      </c>
      <c r="D31" s="2">
        <v>2015</v>
      </c>
      <c r="E31" s="2" t="s">
        <v>42</v>
      </c>
      <c r="F31" s="2">
        <v>28</v>
      </c>
      <c r="G31" s="2">
        <v>7</v>
      </c>
      <c r="H31" s="2">
        <v>0</v>
      </c>
      <c r="I31" s="2">
        <v>4</v>
      </c>
      <c r="J31" s="2">
        <v>3</v>
      </c>
      <c r="K31" s="2">
        <v>2</v>
      </c>
      <c r="L31" s="2">
        <v>0</v>
      </c>
      <c r="M31" s="2" t="s">
        <v>34</v>
      </c>
      <c r="N31" s="2" t="s">
        <v>63</v>
      </c>
      <c r="O31" s="2" t="s">
        <v>44</v>
      </c>
      <c r="P31" s="2" t="s">
        <v>45</v>
      </c>
      <c r="Q31" s="2">
        <v>0</v>
      </c>
      <c r="R31" s="2">
        <v>0</v>
      </c>
      <c r="S31" s="2">
        <v>0</v>
      </c>
      <c r="T31" s="2" t="s">
        <v>92</v>
      </c>
      <c r="U31" s="2" t="s">
        <v>92</v>
      </c>
      <c r="V31" s="2">
        <v>2</v>
      </c>
      <c r="W31" s="2" t="s">
        <v>38</v>
      </c>
      <c r="X31" s="2">
        <v>240</v>
      </c>
      <c r="Y31" s="2"/>
      <c r="Z31" s="2">
        <v>0</v>
      </c>
      <c r="AA31" s="2" t="s">
        <v>39</v>
      </c>
      <c r="AB31" s="2">
        <v>193</v>
      </c>
      <c r="AC31" s="2">
        <v>0</v>
      </c>
      <c r="AD31" s="2">
        <v>1</v>
      </c>
      <c r="AE31" s="2" t="s">
        <v>40</v>
      </c>
      <c r="AF31" s="3">
        <v>42196</v>
      </c>
    </row>
    <row r="32" spans="1:32" x14ac:dyDescent="0.25">
      <c r="A32" s="2" t="s">
        <v>41</v>
      </c>
      <c r="B32" s="2">
        <v>1</v>
      </c>
      <c r="C32" s="2">
        <v>262</v>
      </c>
      <c r="D32" s="2">
        <v>2015</v>
      </c>
      <c r="E32" s="2" t="s">
        <v>61</v>
      </c>
      <c r="F32" s="2">
        <v>46</v>
      </c>
      <c r="G32" s="2">
        <v>9</v>
      </c>
      <c r="H32" s="2">
        <v>1</v>
      </c>
      <c r="I32" s="2">
        <v>2</v>
      </c>
      <c r="J32" s="2">
        <v>2</v>
      </c>
      <c r="K32" s="2">
        <v>0</v>
      </c>
      <c r="L32" s="2">
        <v>0</v>
      </c>
      <c r="M32" s="2" t="s">
        <v>34</v>
      </c>
      <c r="N32" s="2" t="s">
        <v>43</v>
      </c>
      <c r="O32" s="2" t="s">
        <v>64</v>
      </c>
      <c r="P32" s="2" t="s">
        <v>45</v>
      </c>
      <c r="Q32" s="2">
        <v>0</v>
      </c>
      <c r="R32" s="2">
        <v>1</v>
      </c>
      <c r="S32" s="2">
        <v>0</v>
      </c>
      <c r="T32" s="2" t="s">
        <v>46</v>
      </c>
      <c r="U32" s="2" t="s">
        <v>46</v>
      </c>
      <c r="V32" s="2">
        <v>0</v>
      </c>
      <c r="W32" s="2" t="s">
        <v>68</v>
      </c>
      <c r="X32" s="2">
        <v>1</v>
      </c>
      <c r="Y32" s="2"/>
      <c r="Z32" s="2">
        <v>0</v>
      </c>
      <c r="AA32" s="2" t="s">
        <v>39</v>
      </c>
      <c r="AB32" s="2">
        <v>62.8</v>
      </c>
      <c r="AC32" s="2">
        <v>0</v>
      </c>
      <c r="AD32" s="2">
        <v>0</v>
      </c>
      <c r="AE32" s="2" t="s">
        <v>47</v>
      </c>
      <c r="AF32" s="3">
        <v>42251</v>
      </c>
    </row>
    <row r="33" spans="1:32" x14ac:dyDescent="0.25">
      <c r="A33" s="2" t="s">
        <v>41</v>
      </c>
      <c r="B33" s="2">
        <v>1</v>
      </c>
      <c r="C33" s="2">
        <v>19</v>
      </c>
      <c r="D33" s="2">
        <v>2015</v>
      </c>
      <c r="E33" s="2" t="s">
        <v>59</v>
      </c>
      <c r="F33" s="2">
        <v>41</v>
      </c>
      <c r="G33" s="2">
        <v>6</v>
      </c>
      <c r="H33" s="2">
        <v>0</v>
      </c>
      <c r="I33" s="2">
        <v>3</v>
      </c>
      <c r="J33" s="2">
        <v>1</v>
      </c>
      <c r="K33" s="2">
        <v>0</v>
      </c>
      <c r="L33" s="2">
        <v>0</v>
      </c>
      <c r="M33" s="2" t="s">
        <v>34</v>
      </c>
      <c r="N33" s="2" t="s">
        <v>43</v>
      </c>
      <c r="O33" s="2" t="s">
        <v>49</v>
      </c>
      <c r="P33" s="2" t="s">
        <v>45</v>
      </c>
      <c r="Q33" s="2">
        <v>1</v>
      </c>
      <c r="R33" s="2">
        <v>1</v>
      </c>
      <c r="S33" s="2">
        <v>0</v>
      </c>
      <c r="T33" s="2" t="s">
        <v>46</v>
      </c>
      <c r="U33" s="2" t="s">
        <v>46</v>
      </c>
      <c r="V33" s="2">
        <v>0</v>
      </c>
      <c r="W33" s="2" t="s">
        <v>68</v>
      </c>
      <c r="X33" s="2">
        <v>82</v>
      </c>
      <c r="Y33" s="2"/>
      <c r="Z33" s="2">
        <v>0</v>
      </c>
      <c r="AA33" s="2" t="s">
        <v>39</v>
      </c>
      <c r="AB33" s="2">
        <v>80</v>
      </c>
      <c r="AC33" s="2">
        <v>0</v>
      </c>
      <c r="AD33" s="2">
        <v>0</v>
      </c>
      <c r="AE33" s="2" t="s">
        <v>47</v>
      </c>
      <c r="AF33" s="3">
        <v>42264</v>
      </c>
    </row>
    <row r="34" spans="1:32" x14ac:dyDescent="0.25">
      <c r="A34" s="2" t="s">
        <v>32</v>
      </c>
      <c r="B34" s="2">
        <v>0</v>
      </c>
      <c r="C34" s="2">
        <v>36</v>
      </c>
      <c r="D34" s="2">
        <v>2015</v>
      </c>
      <c r="E34" s="2" t="s">
        <v>33</v>
      </c>
      <c r="F34" s="2">
        <v>53</v>
      </c>
      <c r="G34" s="2">
        <v>27</v>
      </c>
      <c r="H34" s="2">
        <v>2</v>
      </c>
      <c r="I34" s="2">
        <v>0</v>
      </c>
      <c r="J34" s="2">
        <v>2</v>
      </c>
      <c r="K34" s="2">
        <v>0</v>
      </c>
      <c r="L34" s="2">
        <v>0</v>
      </c>
      <c r="M34" s="2" t="s">
        <v>60</v>
      </c>
      <c r="N34" s="2" t="s">
        <v>63</v>
      </c>
      <c r="O34" s="2" t="s">
        <v>49</v>
      </c>
      <c r="P34" s="2" t="s">
        <v>45</v>
      </c>
      <c r="Q34" s="2">
        <v>0</v>
      </c>
      <c r="R34" s="2">
        <v>0</v>
      </c>
      <c r="S34" s="2">
        <v>0</v>
      </c>
      <c r="T34" s="2" t="s">
        <v>46</v>
      </c>
      <c r="U34" s="2" t="s">
        <v>57</v>
      </c>
      <c r="V34" s="2">
        <v>1</v>
      </c>
      <c r="W34" s="2" t="s">
        <v>38</v>
      </c>
      <c r="X34" s="2">
        <v>6</v>
      </c>
      <c r="Y34" s="2"/>
      <c r="Z34" s="2">
        <v>0</v>
      </c>
      <c r="AA34" s="2" t="s">
        <v>39</v>
      </c>
      <c r="AB34" s="2">
        <v>55.4</v>
      </c>
      <c r="AC34" s="2">
        <v>1</v>
      </c>
      <c r="AD34" s="2">
        <v>0</v>
      </c>
      <c r="AE34" s="2" t="s">
        <v>40</v>
      </c>
      <c r="AF34" s="3">
        <v>42367</v>
      </c>
    </row>
    <row r="35" spans="1:32" x14ac:dyDescent="0.25">
      <c r="A35" s="2" t="s">
        <v>41</v>
      </c>
      <c r="B35" s="2">
        <v>0</v>
      </c>
      <c r="C35" s="2">
        <v>164</v>
      </c>
      <c r="D35" s="2">
        <v>2015</v>
      </c>
      <c r="E35" s="2" t="s">
        <v>59</v>
      </c>
      <c r="F35" s="2">
        <v>40</v>
      </c>
      <c r="G35" s="2">
        <v>2</v>
      </c>
      <c r="H35" s="2">
        <v>0</v>
      </c>
      <c r="I35" s="2">
        <v>2</v>
      </c>
      <c r="J35" s="2">
        <v>1</v>
      </c>
      <c r="K35" s="2">
        <v>0</v>
      </c>
      <c r="L35" s="2">
        <v>0</v>
      </c>
      <c r="M35" s="2" t="s">
        <v>34</v>
      </c>
      <c r="N35" s="2" t="s">
        <v>43</v>
      </c>
      <c r="O35" s="2" t="s">
        <v>49</v>
      </c>
      <c r="P35" s="2" t="s">
        <v>45</v>
      </c>
      <c r="Q35" s="2">
        <v>0</v>
      </c>
      <c r="R35" s="2">
        <v>0</v>
      </c>
      <c r="S35" s="2">
        <v>0</v>
      </c>
      <c r="T35" s="2" t="s">
        <v>46</v>
      </c>
      <c r="U35" s="2" t="s">
        <v>46</v>
      </c>
      <c r="V35" s="2">
        <v>0</v>
      </c>
      <c r="W35" s="2" t="s">
        <v>38</v>
      </c>
      <c r="X35" s="2">
        <v>19</v>
      </c>
      <c r="Y35" s="2"/>
      <c r="Z35" s="2">
        <v>0</v>
      </c>
      <c r="AA35" s="2" t="s">
        <v>51</v>
      </c>
      <c r="AB35" s="2">
        <v>100</v>
      </c>
      <c r="AC35" s="2">
        <v>0</v>
      </c>
      <c r="AD35" s="2">
        <v>0</v>
      </c>
      <c r="AE35" s="2" t="s">
        <v>40</v>
      </c>
      <c r="AF35" s="3">
        <v>42281</v>
      </c>
    </row>
    <row r="36" spans="1:32" x14ac:dyDescent="0.25">
      <c r="A36" s="2" t="s">
        <v>32</v>
      </c>
      <c r="B36" s="2">
        <v>0</v>
      </c>
      <c r="C36" s="2">
        <v>8</v>
      </c>
      <c r="D36" s="2">
        <v>2015</v>
      </c>
      <c r="E36" s="2" t="s">
        <v>61</v>
      </c>
      <c r="F36" s="2">
        <v>48</v>
      </c>
      <c r="G36" s="2">
        <v>25</v>
      </c>
      <c r="H36" s="2">
        <v>0</v>
      </c>
      <c r="I36" s="2">
        <v>1</v>
      </c>
      <c r="J36" s="2">
        <v>1</v>
      </c>
      <c r="K36" s="2">
        <v>0</v>
      </c>
      <c r="L36" s="2">
        <v>0</v>
      </c>
      <c r="M36" s="2" t="s">
        <v>34</v>
      </c>
      <c r="N36" s="2"/>
      <c r="O36" s="2" t="s">
        <v>76</v>
      </c>
      <c r="P36" s="2" t="s">
        <v>76</v>
      </c>
      <c r="Q36" s="2">
        <v>0</v>
      </c>
      <c r="R36" s="2">
        <v>0</v>
      </c>
      <c r="S36" s="2">
        <v>7</v>
      </c>
      <c r="T36" s="2" t="s">
        <v>46</v>
      </c>
      <c r="U36" s="2" t="s">
        <v>57</v>
      </c>
      <c r="V36" s="2">
        <v>0</v>
      </c>
      <c r="W36" s="2" t="s">
        <v>38</v>
      </c>
      <c r="X36" s="2"/>
      <c r="Y36" s="2">
        <v>204</v>
      </c>
      <c r="Z36" s="2">
        <v>0</v>
      </c>
      <c r="AA36" s="2" t="s">
        <v>39</v>
      </c>
      <c r="AB36" s="2">
        <v>35</v>
      </c>
      <c r="AC36" s="2">
        <v>0</v>
      </c>
      <c r="AD36" s="2">
        <v>1</v>
      </c>
      <c r="AE36" s="2" t="s">
        <v>40</v>
      </c>
      <c r="AF36" s="3">
        <v>42334</v>
      </c>
    </row>
    <row r="37" spans="1:32" x14ac:dyDescent="0.25">
      <c r="A37" s="2" t="s">
        <v>41</v>
      </c>
      <c r="B37" s="2">
        <v>1</v>
      </c>
      <c r="C37" s="2">
        <v>97</v>
      </c>
      <c r="D37" s="2">
        <v>2015</v>
      </c>
      <c r="E37" s="2" t="s">
        <v>59</v>
      </c>
      <c r="F37" s="2">
        <v>41</v>
      </c>
      <c r="G37" s="2">
        <v>5</v>
      </c>
      <c r="H37" s="2">
        <v>1</v>
      </c>
      <c r="I37" s="2">
        <v>3</v>
      </c>
      <c r="J37" s="2">
        <v>1</v>
      </c>
      <c r="K37" s="2">
        <v>0</v>
      </c>
      <c r="L37" s="2">
        <v>0</v>
      </c>
      <c r="M37" s="2" t="s">
        <v>34</v>
      </c>
      <c r="N37" s="2" t="s">
        <v>43</v>
      </c>
      <c r="O37" s="2" t="s">
        <v>64</v>
      </c>
      <c r="P37" s="2" t="s">
        <v>45</v>
      </c>
      <c r="Q37" s="2">
        <v>0</v>
      </c>
      <c r="R37" s="2">
        <v>0</v>
      </c>
      <c r="S37" s="2">
        <v>0</v>
      </c>
      <c r="T37" s="2" t="s">
        <v>46</v>
      </c>
      <c r="U37" s="2" t="s">
        <v>46</v>
      </c>
      <c r="V37" s="2">
        <v>0</v>
      </c>
      <c r="W37" s="2" t="s">
        <v>68</v>
      </c>
      <c r="X37" s="2">
        <v>29</v>
      </c>
      <c r="Y37" s="2"/>
      <c r="Z37" s="2">
        <v>0</v>
      </c>
      <c r="AA37" s="2" t="s">
        <v>39</v>
      </c>
      <c r="AB37" s="2">
        <v>140</v>
      </c>
      <c r="AC37" s="2">
        <v>0</v>
      </c>
      <c r="AD37" s="2">
        <v>0</v>
      </c>
      <c r="AE37" s="2" t="s">
        <v>47</v>
      </c>
      <c r="AF37" s="3">
        <v>42188</v>
      </c>
    </row>
    <row r="38" spans="1:32" x14ac:dyDescent="0.25">
      <c r="A38" s="2" t="s">
        <v>41</v>
      </c>
      <c r="B38" s="2">
        <v>0</v>
      </c>
      <c r="C38" s="2">
        <v>14</v>
      </c>
      <c r="D38" s="2">
        <v>2015</v>
      </c>
      <c r="E38" s="2" t="s">
        <v>62</v>
      </c>
      <c r="F38" s="2">
        <v>36</v>
      </c>
      <c r="G38" s="2">
        <v>4</v>
      </c>
      <c r="H38" s="2">
        <v>2</v>
      </c>
      <c r="I38" s="2">
        <v>2</v>
      </c>
      <c r="J38" s="2">
        <v>2</v>
      </c>
      <c r="K38" s="2">
        <v>0</v>
      </c>
      <c r="L38" s="2">
        <v>0</v>
      </c>
      <c r="M38" s="2" t="s">
        <v>60</v>
      </c>
      <c r="N38" s="2" t="s">
        <v>63</v>
      </c>
      <c r="O38" s="2" t="s">
        <v>44</v>
      </c>
      <c r="P38" s="2" t="s">
        <v>45</v>
      </c>
      <c r="Q38" s="2">
        <v>0</v>
      </c>
      <c r="R38" s="2">
        <v>0</v>
      </c>
      <c r="S38" s="2">
        <v>0</v>
      </c>
      <c r="T38" s="2" t="s">
        <v>46</v>
      </c>
      <c r="U38" s="2" t="s">
        <v>86</v>
      </c>
      <c r="V38" s="2">
        <v>0</v>
      </c>
      <c r="W38" s="2" t="s">
        <v>38</v>
      </c>
      <c r="X38" s="2">
        <v>15</v>
      </c>
      <c r="Y38" s="2"/>
      <c r="Z38" s="2">
        <v>0</v>
      </c>
      <c r="AA38" s="2" t="s">
        <v>39</v>
      </c>
      <c r="AB38" s="2">
        <v>113</v>
      </c>
      <c r="AC38" s="2">
        <v>1</v>
      </c>
      <c r="AD38" s="2">
        <v>3</v>
      </c>
      <c r="AE38" s="2" t="s">
        <v>40</v>
      </c>
      <c r="AF38" s="3">
        <v>42255</v>
      </c>
    </row>
    <row r="39" spans="1:32" x14ac:dyDescent="0.25">
      <c r="A39" s="2" t="s">
        <v>41</v>
      </c>
      <c r="B39" s="2">
        <v>0</v>
      </c>
      <c r="C39" s="2">
        <v>200</v>
      </c>
      <c r="D39" s="2">
        <v>2015</v>
      </c>
      <c r="E39" s="2" t="s">
        <v>59</v>
      </c>
      <c r="F39" s="2">
        <v>40</v>
      </c>
      <c r="G39" s="2">
        <v>2</v>
      </c>
      <c r="H39" s="2">
        <v>1</v>
      </c>
      <c r="I39" s="2">
        <v>2</v>
      </c>
      <c r="J39" s="2">
        <v>2</v>
      </c>
      <c r="K39" s="2">
        <v>0</v>
      </c>
      <c r="L39" s="2">
        <v>0</v>
      </c>
      <c r="M39" s="2" t="s">
        <v>34</v>
      </c>
      <c r="N39" s="2" t="s">
        <v>95</v>
      </c>
      <c r="O39" s="2" t="s">
        <v>44</v>
      </c>
      <c r="P39" s="2" t="s">
        <v>45</v>
      </c>
      <c r="Q39" s="2">
        <v>0</v>
      </c>
      <c r="R39" s="2">
        <v>0</v>
      </c>
      <c r="S39" s="2">
        <v>0</v>
      </c>
      <c r="T39" s="2" t="s">
        <v>46</v>
      </c>
      <c r="U39" s="2" t="s">
        <v>46</v>
      </c>
      <c r="V39" s="2">
        <v>0</v>
      </c>
      <c r="W39" s="2" t="s">
        <v>38</v>
      </c>
      <c r="X39" s="2">
        <v>8</v>
      </c>
      <c r="Y39" s="2"/>
      <c r="Z39" s="2">
        <v>0</v>
      </c>
      <c r="AA39" s="2" t="s">
        <v>39</v>
      </c>
      <c r="AB39" s="2">
        <v>89.25</v>
      </c>
      <c r="AC39" s="2">
        <v>0</v>
      </c>
      <c r="AD39" s="2">
        <v>1</v>
      </c>
      <c r="AE39" s="2" t="s">
        <v>40</v>
      </c>
      <c r="AF39" s="3">
        <v>42282</v>
      </c>
    </row>
    <row r="40" spans="1:32" x14ac:dyDescent="0.25">
      <c r="A40" s="2" t="s">
        <v>41</v>
      </c>
      <c r="B40" s="2">
        <v>0</v>
      </c>
      <c r="C40" s="2">
        <v>2</v>
      </c>
      <c r="D40" s="2">
        <v>2015</v>
      </c>
      <c r="E40" s="2" t="s">
        <v>67</v>
      </c>
      <c r="F40" s="2">
        <v>33</v>
      </c>
      <c r="G40" s="2">
        <v>9</v>
      </c>
      <c r="H40" s="2">
        <v>1</v>
      </c>
      <c r="I40" s="2">
        <v>0</v>
      </c>
      <c r="J40" s="2">
        <v>2</v>
      </c>
      <c r="K40" s="2">
        <v>0</v>
      </c>
      <c r="L40" s="2">
        <v>0</v>
      </c>
      <c r="M40" s="2" t="s">
        <v>34</v>
      </c>
      <c r="N40" s="2" t="s">
        <v>43</v>
      </c>
      <c r="O40" s="2" t="s">
        <v>36</v>
      </c>
      <c r="P40" s="2" t="s">
        <v>36</v>
      </c>
      <c r="Q40" s="2">
        <v>0</v>
      </c>
      <c r="R40" s="2">
        <v>0</v>
      </c>
      <c r="S40" s="2">
        <v>0</v>
      </c>
      <c r="T40" s="2" t="s">
        <v>72</v>
      </c>
      <c r="U40" s="2" t="s">
        <v>72</v>
      </c>
      <c r="V40" s="2">
        <v>0</v>
      </c>
      <c r="W40" s="2" t="s">
        <v>38</v>
      </c>
      <c r="X40" s="2"/>
      <c r="Y40" s="2"/>
      <c r="Z40" s="2">
        <v>0</v>
      </c>
      <c r="AA40" s="2" t="s">
        <v>39</v>
      </c>
      <c r="AB40" s="2">
        <v>67.5</v>
      </c>
      <c r="AC40" s="2">
        <v>0</v>
      </c>
      <c r="AD40" s="2">
        <v>2</v>
      </c>
      <c r="AE40" s="2" t="s">
        <v>40</v>
      </c>
      <c r="AF40" s="3">
        <v>42226</v>
      </c>
    </row>
    <row r="41" spans="1:32" x14ac:dyDescent="0.25">
      <c r="A41" s="2" t="s">
        <v>32</v>
      </c>
      <c r="B41" s="2">
        <v>0</v>
      </c>
      <c r="C41" s="2">
        <v>0</v>
      </c>
      <c r="D41" s="2">
        <v>2015</v>
      </c>
      <c r="E41" s="2" t="s">
        <v>61</v>
      </c>
      <c r="F41" s="2">
        <v>45</v>
      </c>
      <c r="G41" s="2">
        <v>4</v>
      </c>
      <c r="H41" s="2">
        <v>0</v>
      </c>
      <c r="I41" s="2">
        <v>2</v>
      </c>
      <c r="J41" s="2">
        <v>1</v>
      </c>
      <c r="K41" s="2">
        <v>0</v>
      </c>
      <c r="L41" s="2">
        <v>0</v>
      </c>
      <c r="M41" s="2" t="s">
        <v>34</v>
      </c>
      <c r="N41" s="2" t="s">
        <v>43</v>
      </c>
      <c r="O41" s="2" t="s">
        <v>44</v>
      </c>
      <c r="P41" s="2" t="s">
        <v>45</v>
      </c>
      <c r="Q41" s="2">
        <v>0</v>
      </c>
      <c r="R41" s="2">
        <v>0</v>
      </c>
      <c r="S41" s="2">
        <v>0</v>
      </c>
      <c r="T41" s="2" t="s">
        <v>46</v>
      </c>
      <c r="U41" s="2" t="s">
        <v>46</v>
      </c>
      <c r="V41" s="2">
        <v>1</v>
      </c>
      <c r="W41" s="2" t="s">
        <v>38</v>
      </c>
      <c r="X41" s="2">
        <v>240</v>
      </c>
      <c r="Y41" s="2"/>
      <c r="Z41" s="2">
        <v>0</v>
      </c>
      <c r="AA41" s="2" t="s">
        <v>39</v>
      </c>
      <c r="AB41" s="2">
        <v>44.1</v>
      </c>
      <c r="AC41" s="2">
        <v>0</v>
      </c>
      <c r="AD41" s="2">
        <v>1</v>
      </c>
      <c r="AE41" s="2" t="s">
        <v>40</v>
      </c>
      <c r="AF41" s="3">
        <v>42314</v>
      </c>
    </row>
    <row r="42" spans="1:32" x14ac:dyDescent="0.25">
      <c r="A42" s="2" t="s">
        <v>41</v>
      </c>
      <c r="B42" s="2">
        <v>1</v>
      </c>
      <c r="C42" s="2">
        <v>74</v>
      </c>
      <c r="D42" s="2">
        <v>2015</v>
      </c>
      <c r="E42" s="2" t="s">
        <v>62</v>
      </c>
      <c r="F42" s="2">
        <v>38</v>
      </c>
      <c r="G42" s="2">
        <v>18</v>
      </c>
      <c r="H42" s="2">
        <v>0</v>
      </c>
      <c r="I42" s="2">
        <v>2</v>
      </c>
      <c r="J42" s="2">
        <v>2</v>
      </c>
      <c r="K42" s="2">
        <v>0</v>
      </c>
      <c r="L42" s="2">
        <v>0</v>
      </c>
      <c r="M42" s="2" t="s">
        <v>60</v>
      </c>
      <c r="N42" s="2" t="s">
        <v>43</v>
      </c>
      <c r="O42" s="2" t="s">
        <v>49</v>
      </c>
      <c r="P42" s="2" t="s">
        <v>45</v>
      </c>
      <c r="Q42" s="2">
        <v>0</v>
      </c>
      <c r="R42" s="2">
        <v>0</v>
      </c>
      <c r="S42" s="2">
        <v>0</v>
      </c>
      <c r="T42" s="2" t="s">
        <v>46</v>
      </c>
      <c r="U42" s="2" t="s">
        <v>46</v>
      </c>
      <c r="V42" s="2">
        <v>0</v>
      </c>
      <c r="W42" s="2" t="s">
        <v>68</v>
      </c>
      <c r="X42" s="2">
        <v>6</v>
      </c>
      <c r="Y42" s="2"/>
      <c r="Z42" s="2">
        <v>0</v>
      </c>
      <c r="AA42" s="2" t="s">
        <v>51</v>
      </c>
      <c r="AB42" s="2">
        <v>101.5</v>
      </c>
      <c r="AC42" s="2">
        <v>0</v>
      </c>
      <c r="AD42" s="2">
        <v>0</v>
      </c>
      <c r="AE42" s="2" t="s">
        <v>47</v>
      </c>
      <c r="AF42" s="3">
        <v>42191</v>
      </c>
    </row>
    <row r="43" spans="1:32" x14ac:dyDescent="0.25">
      <c r="A43" s="2" t="s">
        <v>41</v>
      </c>
      <c r="B43" s="2">
        <v>0</v>
      </c>
      <c r="C43" s="2">
        <v>2</v>
      </c>
      <c r="D43" s="2">
        <v>2015</v>
      </c>
      <c r="E43" s="2" t="s">
        <v>33</v>
      </c>
      <c r="F43" s="2">
        <v>50</v>
      </c>
      <c r="G43" s="2">
        <v>11</v>
      </c>
      <c r="H43" s="2">
        <v>0</v>
      </c>
      <c r="I43" s="2">
        <v>1</v>
      </c>
      <c r="J43" s="2">
        <v>2</v>
      </c>
      <c r="K43" s="2">
        <v>0</v>
      </c>
      <c r="L43" s="2">
        <v>0</v>
      </c>
      <c r="M43" s="2" t="s">
        <v>55</v>
      </c>
      <c r="N43" s="2" t="s">
        <v>43</v>
      </c>
      <c r="O43" s="2" t="s">
        <v>44</v>
      </c>
      <c r="P43" s="2" t="s">
        <v>45</v>
      </c>
      <c r="Q43" s="2">
        <v>0</v>
      </c>
      <c r="R43" s="2">
        <v>0</v>
      </c>
      <c r="S43" s="2">
        <v>0</v>
      </c>
      <c r="T43" s="2" t="s">
        <v>46</v>
      </c>
      <c r="U43" s="2" t="s">
        <v>46</v>
      </c>
      <c r="V43" s="2">
        <v>0</v>
      </c>
      <c r="W43" s="2" t="s">
        <v>38</v>
      </c>
      <c r="X43" s="2">
        <v>9</v>
      </c>
      <c r="Y43" s="2"/>
      <c r="Z43" s="2">
        <v>0</v>
      </c>
      <c r="AA43" s="2" t="s">
        <v>39</v>
      </c>
      <c r="AB43" s="2">
        <v>94</v>
      </c>
      <c r="AC43" s="2">
        <v>1</v>
      </c>
      <c r="AD43" s="2">
        <v>0</v>
      </c>
      <c r="AE43" s="2" t="s">
        <v>40</v>
      </c>
      <c r="AF43" s="3">
        <v>42350</v>
      </c>
    </row>
    <row r="44" spans="1:32" x14ac:dyDescent="0.25">
      <c r="A44" s="2" t="s">
        <v>41</v>
      </c>
      <c r="B44" s="2">
        <v>1</v>
      </c>
      <c r="C44" s="2">
        <v>92</v>
      </c>
      <c r="D44" s="2">
        <v>2015</v>
      </c>
      <c r="E44" s="2" t="s">
        <v>42</v>
      </c>
      <c r="F44" s="2">
        <v>27</v>
      </c>
      <c r="G44" s="2">
        <v>1</v>
      </c>
      <c r="H44" s="2">
        <v>2</v>
      </c>
      <c r="I44" s="2">
        <v>4</v>
      </c>
      <c r="J44" s="2">
        <v>2</v>
      </c>
      <c r="K44" s="2">
        <v>0</v>
      </c>
      <c r="L44" s="2">
        <v>0</v>
      </c>
      <c r="M44" s="2" t="s">
        <v>34</v>
      </c>
      <c r="N44" s="2" t="s">
        <v>43</v>
      </c>
      <c r="O44" s="2" t="s">
        <v>44</v>
      </c>
      <c r="P44" s="2" t="s">
        <v>45</v>
      </c>
      <c r="Q44" s="2">
        <v>0</v>
      </c>
      <c r="R44" s="2">
        <v>0</v>
      </c>
      <c r="S44" s="2">
        <v>0</v>
      </c>
      <c r="T44" s="2" t="s">
        <v>46</v>
      </c>
      <c r="U44" s="2" t="s">
        <v>46</v>
      </c>
      <c r="V44" s="2">
        <v>0</v>
      </c>
      <c r="W44" s="2" t="s">
        <v>38</v>
      </c>
      <c r="X44" s="2">
        <v>9</v>
      </c>
      <c r="Y44" s="2"/>
      <c r="Z44" s="2">
        <v>0</v>
      </c>
      <c r="AA44" s="2" t="s">
        <v>39</v>
      </c>
      <c r="AB44" s="2">
        <v>76.5</v>
      </c>
      <c r="AC44" s="2">
        <v>0</v>
      </c>
      <c r="AD44" s="2">
        <v>2</v>
      </c>
      <c r="AE44" s="2" t="s">
        <v>47</v>
      </c>
      <c r="AF44" s="3">
        <v>42178</v>
      </c>
    </row>
    <row r="45" spans="1:32" x14ac:dyDescent="0.25">
      <c r="A45" s="2" t="s">
        <v>32</v>
      </c>
      <c r="B45" s="2">
        <v>1</v>
      </c>
      <c r="C45" s="2">
        <v>78</v>
      </c>
      <c r="D45" s="2">
        <v>2015</v>
      </c>
      <c r="E45" s="2" t="s">
        <v>59</v>
      </c>
      <c r="F45" s="2">
        <v>41</v>
      </c>
      <c r="G45" s="2">
        <v>9</v>
      </c>
      <c r="H45" s="2">
        <v>1</v>
      </c>
      <c r="I45" s="2">
        <v>2</v>
      </c>
      <c r="J45" s="2">
        <v>2</v>
      </c>
      <c r="K45" s="2">
        <v>0</v>
      </c>
      <c r="L45" s="2">
        <v>0</v>
      </c>
      <c r="M45" s="2" t="s">
        <v>90</v>
      </c>
      <c r="N45" s="2" t="s">
        <v>63</v>
      </c>
      <c r="O45" s="2" t="s">
        <v>64</v>
      </c>
      <c r="P45" s="2" t="s">
        <v>45</v>
      </c>
      <c r="Q45" s="2">
        <v>0</v>
      </c>
      <c r="R45" s="2">
        <v>0</v>
      </c>
      <c r="S45" s="2">
        <v>0</v>
      </c>
      <c r="T45" s="2" t="s">
        <v>46</v>
      </c>
      <c r="U45" s="2" t="s">
        <v>46</v>
      </c>
      <c r="V45" s="2">
        <v>0</v>
      </c>
      <c r="W45" s="2" t="s">
        <v>68</v>
      </c>
      <c r="X45" s="2">
        <v>134</v>
      </c>
      <c r="Y45" s="2"/>
      <c r="Z45" s="2">
        <v>0</v>
      </c>
      <c r="AA45" s="2" t="s">
        <v>39</v>
      </c>
      <c r="AB45" s="2">
        <v>92</v>
      </c>
      <c r="AC45" s="2">
        <v>0</v>
      </c>
      <c r="AD45" s="2">
        <v>0</v>
      </c>
      <c r="AE45" s="2" t="s">
        <v>47</v>
      </c>
      <c r="AF45" s="3">
        <v>42230</v>
      </c>
    </row>
    <row r="46" spans="1:32" x14ac:dyDescent="0.25">
      <c r="A46" s="2" t="s">
        <v>32</v>
      </c>
      <c r="B46" s="2">
        <v>0</v>
      </c>
      <c r="C46" s="2">
        <v>49</v>
      </c>
      <c r="D46" s="2">
        <v>2015</v>
      </c>
      <c r="E46" s="2" t="s">
        <v>42</v>
      </c>
      <c r="F46" s="2">
        <v>31</v>
      </c>
      <c r="G46" s="2">
        <v>27</v>
      </c>
      <c r="H46" s="2">
        <v>1</v>
      </c>
      <c r="I46" s="2">
        <v>5</v>
      </c>
      <c r="J46" s="2">
        <v>2</v>
      </c>
      <c r="K46" s="2">
        <v>0</v>
      </c>
      <c r="L46" s="2">
        <v>0</v>
      </c>
      <c r="M46" s="2" t="s">
        <v>34</v>
      </c>
      <c r="N46" s="2" t="s">
        <v>43</v>
      </c>
      <c r="O46" s="2" t="s">
        <v>44</v>
      </c>
      <c r="P46" s="2" t="s">
        <v>45</v>
      </c>
      <c r="Q46" s="2">
        <v>0</v>
      </c>
      <c r="R46" s="2">
        <v>0</v>
      </c>
      <c r="S46" s="2">
        <v>0</v>
      </c>
      <c r="T46" s="2" t="s">
        <v>46</v>
      </c>
      <c r="U46" s="2" t="s">
        <v>46</v>
      </c>
      <c r="V46" s="2">
        <v>0</v>
      </c>
      <c r="W46" s="2" t="s">
        <v>38</v>
      </c>
      <c r="X46" s="2">
        <v>240</v>
      </c>
      <c r="Y46" s="2"/>
      <c r="Z46" s="2">
        <v>0</v>
      </c>
      <c r="AA46" s="2" t="s">
        <v>39</v>
      </c>
      <c r="AB46" s="2">
        <v>118.17</v>
      </c>
      <c r="AC46" s="2">
        <v>0</v>
      </c>
      <c r="AD46" s="2">
        <v>0</v>
      </c>
      <c r="AE46" s="2" t="s">
        <v>40</v>
      </c>
      <c r="AF46" s="3">
        <v>42218</v>
      </c>
    </row>
    <row r="47" spans="1:32" x14ac:dyDescent="0.25">
      <c r="A47" s="2" t="s">
        <v>41</v>
      </c>
      <c r="B47" s="2">
        <v>1</v>
      </c>
      <c r="C47" s="2">
        <v>153</v>
      </c>
      <c r="D47" s="2">
        <v>2015</v>
      </c>
      <c r="E47" s="2" t="s">
        <v>67</v>
      </c>
      <c r="F47" s="2">
        <v>32</v>
      </c>
      <c r="G47" s="2">
        <v>3</v>
      </c>
      <c r="H47" s="2">
        <v>1</v>
      </c>
      <c r="I47" s="2">
        <v>2</v>
      </c>
      <c r="J47" s="2">
        <v>2</v>
      </c>
      <c r="K47" s="2">
        <v>0</v>
      </c>
      <c r="L47" s="2">
        <v>0</v>
      </c>
      <c r="M47" s="2" t="s">
        <v>34</v>
      </c>
      <c r="N47" s="2" t="s">
        <v>43</v>
      </c>
      <c r="O47" s="2" t="s">
        <v>64</v>
      </c>
      <c r="P47" s="2" t="s">
        <v>45</v>
      </c>
      <c r="Q47" s="2">
        <v>0</v>
      </c>
      <c r="R47" s="2">
        <v>1</v>
      </c>
      <c r="S47" s="2">
        <v>0</v>
      </c>
      <c r="T47" s="2" t="s">
        <v>46</v>
      </c>
      <c r="U47" s="2" t="s">
        <v>46</v>
      </c>
      <c r="V47" s="2">
        <v>0</v>
      </c>
      <c r="W47" s="2" t="s">
        <v>68</v>
      </c>
      <c r="X47" s="2">
        <v>1</v>
      </c>
      <c r="Y47" s="2"/>
      <c r="Z47" s="2">
        <v>0</v>
      </c>
      <c r="AA47" s="2" t="s">
        <v>39</v>
      </c>
      <c r="AB47" s="2">
        <v>60</v>
      </c>
      <c r="AC47" s="2">
        <v>0</v>
      </c>
      <c r="AD47" s="2">
        <v>0</v>
      </c>
      <c r="AE47" s="2" t="s">
        <v>47</v>
      </c>
      <c r="AF47" s="3">
        <v>42143</v>
      </c>
    </row>
    <row r="48" spans="1:32" x14ac:dyDescent="0.25">
      <c r="A48" s="2" t="s">
        <v>41</v>
      </c>
      <c r="B48" s="2">
        <v>0</v>
      </c>
      <c r="C48" s="2">
        <v>17</v>
      </c>
      <c r="D48" s="2">
        <v>2015</v>
      </c>
      <c r="E48" s="2" t="s">
        <v>62</v>
      </c>
      <c r="F48" s="2">
        <v>39</v>
      </c>
      <c r="G48" s="2">
        <v>26</v>
      </c>
      <c r="H48" s="2">
        <v>2</v>
      </c>
      <c r="I48" s="2">
        <v>2</v>
      </c>
      <c r="J48" s="2">
        <v>1</v>
      </c>
      <c r="K48" s="2">
        <v>0</v>
      </c>
      <c r="L48" s="2">
        <v>0</v>
      </c>
      <c r="M48" s="2" t="s">
        <v>34</v>
      </c>
      <c r="N48" s="2" t="s">
        <v>71</v>
      </c>
      <c r="O48" s="2" t="s">
        <v>64</v>
      </c>
      <c r="P48" s="2" t="s">
        <v>45</v>
      </c>
      <c r="Q48" s="2">
        <v>0</v>
      </c>
      <c r="R48" s="2">
        <v>0</v>
      </c>
      <c r="S48" s="2">
        <v>0</v>
      </c>
      <c r="T48" s="2" t="s">
        <v>46</v>
      </c>
      <c r="U48" s="2" t="s">
        <v>46</v>
      </c>
      <c r="V48" s="2">
        <v>1</v>
      </c>
      <c r="W48" s="2" t="s">
        <v>38</v>
      </c>
      <c r="X48" s="2">
        <v>1</v>
      </c>
      <c r="Y48" s="2"/>
      <c r="Z48" s="2">
        <v>0</v>
      </c>
      <c r="AA48" s="2" t="s">
        <v>51</v>
      </c>
      <c r="AB48" s="2">
        <v>170</v>
      </c>
      <c r="AC48" s="2">
        <v>0</v>
      </c>
      <c r="AD48" s="2">
        <v>0</v>
      </c>
      <c r="AE48" s="2" t="s">
        <v>40</v>
      </c>
      <c r="AF48" s="3">
        <v>42277</v>
      </c>
    </row>
    <row r="49" spans="1:32" x14ac:dyDescent="0.25">
      <c r="A49" s="2" t="s">
        <v>32</v>
      </c>
      <c r="B49" s="2">
        <v>0</v>
      </c>
      <c r="C49" s="2">
        <v>163</v>
      </c>
      <c r="D49" s="2">
        <v>2015</v>
      </c>
      <c r="E49" s="2" t="s">
        <v>59</v>
      </c>
      <c r="F49" s="2">
        <v>43</v>
      </c>
      <c r="G49" s="2">
        <v>23</v>
      </c>
      <c r="H49" s="2">
        <v>1</v>
      </c>
      <c r="I49" s="2">
        <v>2</v>
      </c>
      <c r="J49" s="2">
        <v>1</v>
      </c>
      <c r="K49" s="2">
        <v>0</v>
      </c>
      <c r="L49" s="2">
        <v>0</v>
      </c>
      <c r="M49" s="2" t="s">
        <v>34</v>
      </c>
      <c r="N49" s="2" t="s">
        <v>35</v>
      </c>
      <c r="O49" s="2" t="s">
        <v>44</v>
      </c>
      <c r="P49" s="2" t="s">
        <v>45</v>
      </c>
      <c r="Q49" s="2">
        <v>0</v>
      </c>
      <c r="R49" s="2">
        <v>0</v>
      </c>
      <c r="S49" s="2">
        <v>0</v>
      </c>
      <c r="T49" s="2" t="s">
        <v>46</v>
      </c>
      <c r="U49" s="2" t="s">
        <v>104</v>
      </c>
      <c r="V49" s="2">
        <v>0</v>
      </c>
      <c r="W49" s="2" t="s">
        <v>38</v>
      </c>
      <c r="X49" s="2">
        <v>240</v>
      </c>
      <c r="Y49" s="2"/>
      <c r="Z49" s="2">
        <v>0</v>
      </c>
      <c r="AA49" s="2" t="s">
        <v>51</v>
      </c>
      <c r="AB49" s="2">
        <v>47</v>
      </c>
      <c r="AC49" s="2">
        <v>0</v>
      </c>
      <c r="AD49" s="2">
        <v>1</v>
      </c>
      <c r="AE49" s="2" t="s">
        <v>40</v>
      </c>
      <c r="AF49" s="3">
        <v>42303</v>
      </c>
    </row>
    <row r="50" spans="1:32" x14ac:dyDescent="0.25">
      <c r="A50" s="2" t="s">
        <v>32</v>
      </c>
      <c r="B50" s="2">
        <v>0</v>
      </c>
      <c r="C50" s="2">
        <v>120</v>
      </c>
      <c r="D50" s="2">
        <v>2015</v>
      </c>
      <c r="E50" s="2" t="s">
        <v>67</v>
      </c>
      <c r="F50" s="2">
        <v>32</v>
      </c>
      <c r="G50" s="2">
        <v>4</v>
      </c>
      <c r="H50" s="2">
        <v>2</v>
      </c>
      <c r="I50" s="2">
        <v>5</v>
      </c>
      <c r="J50" s="2">
        <v>2</v>
      </c>
      <c r="K50" s="2">
        <v>0</v>
      </c>
      <c r="L50" s="2">
        <v>0</v>
      </c>
      <c r="M50" s="2" t="s">
        <v>34</v>
      </c>
      <c r="N50" s="2" t="s">
        <v>70</v>
      </c>
      <c r="O50" s="2" t="s">
        <v>49</v>
      </c>
      <c r="P50" s="2" t="s">
        <v>45</v>
      </c>
      <c r="Q50" s="2">
        <v>0</v>
      </c>
      <c r="R50" s="2">
        <v>0</v>
      </c>
      <c r="S50" s="2">
        <v>0</v>
      </c>
      <c r="T50" s="2" t="s">
        <v>46</v>
      </c>
      <c r="U50" s="2" t="s">
        <v>57</v>
      </c>
      <c r="V50" s="2">
        <v>0</v>
      </c>
      <c r="W50" s="2" t="s">
        <v>38</v>
      </c>
      <c r="X50" s="2">
        <v>6</v>
      </c>
      <c r="Y50" s="2"/>
      <c r="Z50" s="2">
        <v>0</v>
      </c>
      <c r="AA50" s="2" t="s">
        <v>51</v>
      </c>
      <c r="AB50" s="2">
        <v>90.95</v>
      </c>
      <c r="AC50" s="2">
        <v>0</v>
      </c>
      <c r="AD50" s="2">
        <v>1</v>
      </c>
      <c r="AE50" s="2" t="s">
        <v>40</v>
      </c>
      <c r="AF50" s="3">
        <v>42227</v>
      </c>
    </row>
    <row r="51" spans="1:32" x14ac:dyDescent="0.25">
      <c r="A51" s="2" t="s">
        <v>41</v>
      </c>
      <c r="B51" s="2">
        <v>1</v>
      </c>
      <c r="C51" s="2">
        <v>151</v>
      </c>
      <c r="D51" s="2">
        <v>2015</v>
      </c>
      <c r="E51" s="2" t="s">
        <v>42</v>
      </c>
      <c r="F51" s="2">
        <v>30</v>
      </c>
      <c r="G51" s="2">
        <v>25</v>
      </c>
      <c r="H51" s="2">
        <v>2</v>
      </c>
      <c r="I51" s="2">
        <v>1</v>
      </c>
      <c r="J51" s="2">
        <v>2</v>
      </c>
      <c r="K51" s="2">
        <v>0</v>
      </c>
      <c r="L51" s="2">
        <v>0</v>
      </c>
      <c r="M51" s="2" t="s">
        <v>60</v>
      </c>
      <c r="N51" s="2" t="s">
        <v>43</v>
      </c>
      <c r="O51" s="2" t="s">
        <v>64</v>
      </c>
      <c r="P51" s="2" t="s">
        <v>45</v>
      </c>
      <c r="Q51" s="2">
        <v>0</v>
      </c>
      <c r="R51" s="2">
        <v>1</v>
      </c>
      <c r="S51" s="2">
        <v>0</v>
      </c>
      <c r="T51" s="2" t="s">
        <v>46</v>
      </c>
      <c r="U51" s="2" t="s">
        <v>46</v>
      </c>
      <c r="V51" s="2">
        <v>0</v>
      </c>
      <c r="W51" s="2" t="s">
        <v>68</v>
      </c>
      <c r="X51" s="2">
        <v>1</v>
      </c>
      <c r="Y51" s="2"/>
      <c r="Z51" s="2">
        <v>0</v>
      </c>
      <c r="AA51" s="2" t="s">
        <v>51</v>
      </c>
      <c r="AB51" s="2">
        <v>86</v>
      </c>
      <c r="AC51" s="2">
        <v>0</v>
      </c>
      <c r="AD51" s="2">
        <v>0</v>
      </c>
      <c r="AE51" s="2" t="s">
        <v>47</v>
      </c>
      <c r="AF51" s="3">
        <v>42194</v>
      </c>
    </row>
    <row r="52" spans="1:32" x14ac:dyDescent="0.25">
      <c r="A52" s="2" t="s">
        <v>41</v>
      </c>
      <c r="B52" s="2">
        <v>1</v>
      </c>
      <c r="C52" s="2">
        <v>364</v>
      </c>
      <c r="D52" s="2">
        <v>2015</v>
      </c>
      <c r="E52" s="2" t="s">
        <v>59</v>
      </c>
      <c r="F52" s="2">
        <v>42</v>
      </c>
      <c r="G52" s="2">
        <v>16</v>
      </c>
      <c r="H52" s="2">
        <v>0</v>
      </c>
      <c r="I52" s="2">
        <v>2</v>
      </c>
      <c r="J52" s="2">
        <v>2</v>
      </c>
      <c r="K52" s="2">
        <v>0</v>
      </c>
      <c r="L52" s="2">
        <v>0</v>
      </c>
      <c r="M52" s="2" t="s">
        <v>60</v>
      </c>
      <c r="N52" s="2" t="s">
        <v>43</v>
      </c>
      <c r="O52" s="2" t="s">
        <v>49</v>
      </c>
      <c r="P52" s="2" t="s">
        <v>45</v>
      </c>
      <c r="Q52" s="2">
        <v>0</v>
      </c>
      <c r="R52" s="2">
        <v>1</v>
      </c>
      <c r="S52" s="2">
        <v>0</v>
      </c>
      <c r="T52" s="2" t="s">
        <v>46</v>
      </c>
      <c r="U52" s="2" t="s">
        <v>46</v>
      </c>
      <c r="V52" s="2">
        <v>0</v>
      </c>
      <c r="W52" s="2" t="s">
        <v>68</v>
      </c>
      <c r="X52" s="2">
        <v>6</v>
      </c>
      <c r="Y52" s="2"/>
      <c r="Z52" s="2">
        <v>0</v>
      </c>
      <c r="AA52" s="2" t="s">
        <v>51</v>
      </c>
      <c r="AB52" s="2">
        <v>101.5</v>
      </c>
      <c r="AC52" s="2">
        <v>0</v>
      </c>
      <c r="AD52" s="2">
        <v>0</v>
      </c>
      <c r="AE52" s="2" t="s">
        <v>47</v>
      </c>
      <c r="AF52" s="3">
        <v>42191</v>
      </c>
    </row>
    <row r="53" spans="1:32" x14ac:dyDescent="0.25">
      <c r="A53" s="2" t="s">
        <v>41</v>
      </c>
      <c r="B53" s="2">
        <v>1</v>
      </c>
      <c r="C53" s="2">
        <v>110</v>
      </c>
      <c r="D53" s="2">
        <v>2015</v>
      </c>
      <c r="E53" s="2" t="s">
        <v>42</v>
      </c>
      <c r="F53" s="2">
        <v>30</v>
      </c>
      <c r="G53" s="2">
        <v>25</v>
      </c>
      <c r="H53" s="2">
        <v>2</v>
      </c>
      <c r="I53" s="2">
        <v>1</v>
      </c>
      <c r="J53" s="2">
        <v>2</v>
      </c>
      <c r="K53" s="2">
        <v>0</v>
      </c>
      <c r="L53" s="2">
        <v>0</v>
      </c>
      <c r="M53" s="2" t="s">
        <v>60</v>
      </c>
      <c r="N53" s="2" t="s">
        <v>106</v>
      </c>
      <c r="O53" s="2" t="s">
        <v>49</v>
      </c>
      <c r="P53" s="2" t="s">
        <v>45</v>
      </c>
      <c r="Q53" s="2">
        <v>0</v>
      </c>
      <c r="R53" s="2">
        <v>0</v>
      </c>
      <c r="S53" s="2">
        <v>0</v>
      </c>
      <c r="T53" s="2" t="s">
        <v>46</v>
      </c>
      <c r="U53" s="2" t="s">
        <v>46</v>
      </c>
      <c r="V53" s="2">
        <v>0</v>
      </c>
      <c r="W53" s="2" t="s">
        <v>38</v>
      </c>
      <c r="X53" s="2">
        <v>17</v>
      </c>
      <c r="Y53" s="2"/>
      <c r="Z53" s="2">
        <v>0</v>
      </c>
      <c r="AA53" s="2" t="s">
        <v>51</v>
      </c>
      <c r="AB53" s="2">
        <v>94.5</v>
      </c>
      <c r="AC53" s="2">
        <v>0</v>
      </c>
      <c r="AD53" s="2">
        <v>0</v>
      </c>
      <c r="AE53" s="2" t="s">
        <v>47</v>
      </c>
      <c r="AF53" s="3">
        <v>42201</v>
      </c>
    </row>
    <row r="54" spans="1:32" x14ac:dyDescent="0.25">
      <c r="A54" s="2" t="s">
        <v>32</v>
      </c>
      <c r="B54" s="2">
        <v>1</v>
      </c>
      <c r="C54" s="2">
        <v>275</v>
      </c>
      <c r="D54" s="2">
        <v>2015</v>
      </c>
      <c r="E54" s="2" t="s">
        <v>59</v>
      </c>
      <c r="F54" s="2">
        <v>41</v>
      </c>
      <c r="G54" s="2">
        <v>4</v>
      </c>
      <c r="H54" s="2">
        <v>2</v>
      </c>
      <c r="I54" s="2">
        <v>0</v>
      </c>
      <c r="J54" s="2">
        <v>2</v>
      </c>
      <c r="K54" s="2">
        <v>0</v>
      </c>
      <c r="L54" s="2">
        <v>0</v>
      </c>
      <c r="M54" s="2" t="s">
        <v>60</v>
      </c>
      <c r="N54" s="2" t="s">
        <v>43</v>
      </c>
      <c r="O54" s="2" t="s">
        <v>49</v>
      </c>
      <c r="P54" s="2" t="s">
        <v>45</v>
      </c>
      <c r="Q54" s="2">
        <v>0</v>
      </c>
      <c r="R54" s="2">
        <v>26</v>
      </c>
      <c r="S54" s="2">
        <v>0</v>
      </c>
      <c r="T54" s="2" t="s">
        <v>46</v>
      </c>
      <c r="U54" s="2" t="s">
        <v>46</v>
      </c>
      <c r="V54" s="2">
        <v>0</v>
      </c>
      <c r="W54" s="2" t="s">
        <v>68</v>
      </c>
      <c r="X54" s="2">
        <v>208</v>
      </c>
      <c r="Y54" s="2"/>
      <c r="Z54" s="2">
        <v>0</v>
      </c>
      <c r="AA54" s="2" t="s">
        <v>39</v>
      </c>
      <c r="AB54" s="2">
        <v>50</v>
      </c>
      <c r="AC54" s="2">
        <v>0</v>
      </c>
      <c r="AD54" s="2">
        <v>0</v>
      </c>
      <c r="AE54" s="2" t="s">
        <v>47</v>
      </c>
      <c r="AF54" s="3">
        <v>42034</v>
      </c>
    </row>
    <row r="55" spans="1:32" x14ac:dyDescent="0.25">
      <c r="A55" s="2" t="s">
        <v>41</v>
      </c>
      <c r="B55" s="2">
        <v>0</v>
      </c>
      <c r="C55" s="2">
        <v>74</v>
      </c>
      <c r="D55" s="2">
        <v>2015</v>
      </c>
      <c r="E55" s="2" t="s">
        <v>62</v>
      </c>
      <c r="F55" s="2">
        <v>38</v>
      </c>
      <c r="G55" s="2">
        <v>18</v>
      </c>
      <c r="H55" s="2">
        <v>0</v>
      </c>
      <c r="I55" s="2">
        <v>2</v>
      </c>
      <c r="J55" s="2">
        <v>2</v>
      </c>
      <c r="K55" s="2">
        <v>0</v>
      </c>
      <c r="L55" s="2">
        <v>0</v>
      </c>
      <c r="M55" s="2" t="s">
        <v>60</v>
      </c>
      <c r="N55" s="2" t="s">
        <v>43</v>
      </c>
      <c r="O55" s="2" t="s">
        <v>49</v>
      </c>
      <c r="P55" s="2" t="s">
        <v>45</v>
      </c>
      <c r="Q55" s="2">
        <v>0</v>
      </c>
      <c r="R55" s="2">
        <v>0</v>
      </c>
      <c r="S55" s="2">
        <v>0</v>
      </c>
      <c r="T55" s="2" t="s">
        <v>46</v>
      </c>
      <c r="U55" s="2" t="s">
        <v>46</v>
      </c>
      <c r="V55" s="2">
        <v>0</v>
      </c>
      <c r="W55" s="2" t="s">
        <v>38</v>
      </c>
      <c r="X55" s="2">
        <v>6</v>
      </c>
      <c r="Y55" s="2"/>
      <c r="Z55" s="2">
        <v>0</v>
      </c>
      <c r="AA55" s="2" t="s">
        <v>51</v>
      </c>
      <c r="AB55" s="2">
        <v>109</v>
      </c>
      <c r="AC55" s="2">
        <v>0</v>
      </c>
      <c r="AD55" s="2">
        <v>0</v>
      </c>
      <c r="AE55" s="2" t="s">
        <v>40</v>
      </c>
      <c r="AF55" s="3">
        <v>42267</v>
      </c>
    </row>
    <row r="56" spans="1:32" x14ac:dyDescent="0.25">
      <c r="A56" s="2" t="s">
        <v>32</v>
      </c>
      <c r="B56" s="2">
        <v>0</v>
      </c>
      <c r="C56" s="2">
        <v>11</v>
      </c>
      <c r="D56" s="2">
        <v>2015</v>
      </c>
      <c r="E56" s="2" t="s">
        <v>33</v>
      </c>
      <c r="F56" s="2">
        <v>50</v>
      </c>
      <c r="G56" s="2">
        <v>6</v>
      </c>
      <c r="H56" s="2">
        <v>2</v>
      </c>
      <c r="I56" s="2">
        <v>0</v>
      </c>
      <c r="J56" s="2">
        <v>2</v>
      </c>
      <c r="K56" s="2">
        <v>0</v>
      </c>
      <c r="L56" s="2">
        <v>0</v>
      </c>
      <c r="M56" s="2" t="s">
        <v>34</v>
      </c>
      <c r="N56" s="2" t="s">
        <v>63</v>
      </c>
      <c r="O56" s="2" t="s">
        <v>49</v>
      </c>
      <c r="P56" s="2" t="s">
        <v>45</v>
      </c>
      <c r="Q56" s="2">
        <v>0</v>
      </c>
      <c r="R56" s="2">
        <v>0</v>
      </c>
      <c r="S56" s="2">
        <v>0</v>
      </c>
      <c r="T56" s="2" t="s">
        <v>57</v>
      </c>
      <c r="U56" s="2" t="s">
        <v>57</v>
      </c>
      <c r="V56" s="2">
        <v>0</v>
      </c>
      <c r="W56" s="2" t="s">
        <v>38</v>
      </c>
      <c r="X56" s="2">
        <v>5</v>
      </c>
      <c r="Y56" s="2"/>
      <c r="Z56" s="2">
        <v>0</v>
      </c>
      <c r="AA56" s="2" t="s">
        <v>39</v>
      </c>
      <c r="AB56" s="2">
        <v>37</v>
      </c>
      <c r="AC56" s="2">
        <v>0</v>
      </c>
      <c r="AD56" s="2">
        <v>0</v>
      </c>
      <c r="AE56" s="2" t="s">
        <v>40</v>
      </c>
      <c r="AF56" s="3">
        <v>42346</v>
      </c>
    </row>
    <row r="57" spans="1:32" x14ac:dyDescent="0.25">
      <c r="A57" s="2" t="s">
        <v>41</v>
      </c>
      <c r="B57" s="2">
        <v>1</v>
      </c>
      <c r="C57" s="2">
        <v>279</v>
      </c>
      <c r="D57" s="2">
        <v>2015</v>
      </c>
      <c r="E57" s="2" t="s">
        <v>42</v>
      </c>
      <c r="F57" s="2">
        <v>30</v>
      </c>
      <c r="G57" s="2">
        <v>23</v>
      </c>
      <c r="H57" s="2">
        <v>0</v>
      </c>
      <c r="I57" s="2">
        <v>2</v>
      </c>
      <c r="J57" s="2">
        <v>2</v>
      </c>
      <c r="K57" s="2">
        <v>0</v>
      </c>
      <c r="L57" s="2">
        <v>0</v>
      </c>
      <c r="M57" s="2" t="s">
        <v>34</v>
      </c>
      <c r="N57" s="2" t="s">
        <v>43</v>
      </c>
      <c r="O57" s="2" t="s">
        <v>64</v>
      </c>
      <c r="P57" s="2" t="s">
        <v>45</v>
      </c>
      <c r="Q57" s="2">
        <v>0</v>
      </c>
      <c r="R57" s="2">
        <v>1</v>
      </c>
      <c r="S57" s="2">
        <v>0</v>
      </c>
      <c r="T57" s="2" t="s">
        <v>46</v>
      </c>
      <c r="U57" s="2" t="s">
        <v>46</v>
      </c>
      <c r="V57" s="2">
        <v>0</v>
      </c>
      <c r="W57" s="2" t="s">
        <v>38</v>
      </c>
      <c r="X57" s="2">
        <v>1</v>
      </c>
      <c r="Y57" s="2"/>
      <c r="Z57" s="2">
        <v>0</v>
      </c>
      <c r="AA57" s="2" t="s">
        <v>73</v>
      </c>
      <c r="AB57" s="2">
        <v>62</v>
      </c>
      <c r="AC57" s="2">
        <v>0</v>
      </c>
      <c r="AD57" s="2">
        <v>0</v>
      </c>
      <c r="AE57" s="2" t="s">
        <v>47</v>
      </c>
      <c r="AF57" s="3">
        <v>42005</v>
      </c>
    </row>
    <row r="58" spans="1:32" x14ac:dyDescent="0.25">
      <c r="A58" s="2" t="s">
        <v>41</v>
      </c>
      <c r="B58" s="2">
        <v>1</v>
      </c>
      <c r="C58" s="2">
        <v>2</v>
      </c>
      <c r="D58" s="2">
        <v>2015</v>
      </c>
      <c r="E58" s="2" t="s">
        <v>61</v>
      </c>
      <c r="F58" s="2">
        <v>46</v>
      </c>
      <c r="G58" s="2">
        <v>9</v>
      </c>
      <c r="H58" s="2">
        <v>3</v>
      </c>
      <c r="I58" s="2">
        <v>8</v>
      </c>
      <c r="J58" s="2">
        <v>2</v>
      </c>
      <c r="K58" s="2">
        <v>0</v>
      </c>
      <c r="L58" s="2">
        <v>0</v>
      </c>
      <c r="M58" s="2" t="s">
        <v>34</v>
      </c>
      <c r="N58" s="2" t="s">
        <v>43</v>
      </c>
      <c r="O58" s="2" t="s">
        <v>36</v>
      </c>
      <c r="P58" s="2" t="s">
        <v>36</v>
      </c>
      <c r="Q58" s="2">
        <v>0</v>
      </c>
      <c r="R58" s="2">
        <v>0</v>
      </c>
      <c r="S58" s="2">
        <v>0</v>
      </c>
      <c r="T58" s="2" t="s">
        <v>46</v>
      </c>
      <c r="U58" s="2" t="s">
        <v>46</v>
      </c>
      <c r="V58" s="2">
        <v>0</v>
      </c>
      <c r="W58" s="2" t="s">
        <v>38</v>
      </c>
      <c r="X58" s="2">
        <v>14</v>
      </c>
      <c r="Y58" s="2"/>
      <c r="Z58" s="2">
        <v>0</v>
      </c>
      <c r="AA58" s="2" t="s">
        <v>39</v>
      </c>
      <c r="AB58" s="2">
        <v>95.81</v>
      </c>
      <c r="AC58" s="2">
        <v>0</v>
      </c>
      <c r="AD58" s="2">
        <v>0</v>
      </c>
      <c r="AE58" s="2" t="s">
        <v>47</v>
      </c>
      <c r="AF58" s="3">
        <v>42317</v>
      </c>
    </row>
    <row r="59" spans="1:32" x14ac:dyDescent="0.25">
      <c r="A59" s="2" t="s">
        <v>32</v>
      </c>
      <c r="B59" s="2">
        <v>0</v>
      </c>
      <c r="C59" s="2">
        <v>54</v>
      </c>
      <c r="D59" s="2">
        <v>2015</v>
      </c>
      <c r="E59" s="2" t="s">
        <v>67</v>
      </c>
      <c r="F59" s="2">
        <v>34</v>
      </c>
      <c r="G59" s="2">
        <v>18</v>
      </c>
      <c r="H59" s="2">
        <v>0</v>
      </c>
      <c r="I59" s="2">
        <v>5</v>
      </c>
      <c r="J59" s="2">
        <v>2</v>
      </c>
      <c r="K59" s="2">
        <v>0</v>
      </c>
      <c r="L59" s="2">
        <v>0</v>
      </c>
      <c r="M59" s="2" t="s">
        <v>60</v>
      </c>
      <c r="N59" s="2" t="s">
        <v>63</v>
      </c>
      <c r="O59" s="2" t="s">
        <v>44</v>
      </c>
      <c r="P59" s="2" t="s">
        <v>45</v>
      </c>
      <c r="Q59" s="2">
        <v>0</v>
      </c>
      <c r="R59" s="2">
        <v>0</v>
      </c>
      <c r="S59" s="2">
        <v>0</v>
      </c>
      <c r="T59" s="2" t="s">
        <v>46</v>
      </c>
      <c r="U59" s="2" t="s">
        <v>46</v>
      </c>
      <c r="V59" s="2">
        <v>0</v>
      </c>
      <c r="W59" s="2" t="s">
        <v>38</v>
      </c>
      <c r="X59" s="2">
        <v>241</v>
      </c>
      <c r="Y59" s="2"/>
      <c r="Z59" s="2">
        <v>0</v>
      </c>
      <c r="AA59" s="2" t="s">
        <v>39</v>
      </c>
      <c r="AB59" s="2">
        <v>151.22999999999999</v>
      </c>
      <c r="AC59" s="2">
        <v>0</v>
      </c>
      <c r="AD59" s="2">
        <v>1</v>
      </c>
      <c r="AE59" s="2" t="s">
        <v>40</v>
      </c>
      <c r="AF59" s="3">
        <v>42239</v>
      </c>
    </row>
    <row r="60" spans="1:32" x14ac:dyDescent="0.25">
      <c r="A60" s="2" t="s">
        <v>32</v>
      </c>
      <c r="B60" s="2">
        <v>0</v>
      </c>
      <c r="C60" s="2">
        <v>30</v>
      </c>
      <c r="D60" s="2">
        <v>2015</v>
      </c>
      <c r="E60" s="2" t="s">
        <v>67</v>
      </c>
      <c r="F60" s="2">
        <v>35</v>
      </c>
      <c r="G60" s="2">
        <v>28</v>
      </c>
      <c r="H60" s="2">
        <v>0</v>
      </c>
      <c r="I60" s="2">
        <v>1</v>
      </c>
      <c r="J60" s="2">
        <v>2</v>
      </c>
      <c r="K60" s="2">
        <v>0</v>
      </c>
      <c r="L60" s="2">
        <v>0</v>
      </c>
      <c r="M60" s="2" t="s">
        <v>34</v>
      </c>
      <c r="N60" s="2" t="s">
        <v>63</v>
      </c>
      <c r="O60" s="2" t="s">
        <v>36</v>
      </c>
      <c r="P60" s="2" t="s">
        <v>36</v>
      </c>
      <c r="Q60" s="2">
        <v>0</v>
      </c>
      <c r="R60" s="2">
        <v>0</v>
      </c>
      <c r="S60" s="2">
        <v>0</v>
      </c>
      <c r="T60" s="2" t="s">
        <v>46</v>
      </c>
      <c r="U60" s="2" t="s">
        <v>84</v>
      </c>
      <c r="V60" s="2">
        <v>0</v>
      </c>
      <c r="W60" s="2" t="s">
        <v>38</v>
      </c>
      <c r="X60" s="2">
        <v>250</v>
      </c>
      <c r="Y60" s="2"/>
      <c r="Z60" s="2">
        <v>0</v>
      </c>
      <c r="AA60" s="2" t="s">
        <v>39</v>
      </c>
      <c r="AB60" s="2">
        <v>115</v>
      </c>
      <c r="AC60" s="2">
        <v>0</v>
      </c>
      <c r="AD60" s="2">
        <v>3</v>
      </c>
      <c r="AE60" s="2" t="s">
        <v>40</v>
      </c>
      <c r="AF60" s="3">
        <v>42245</v>
      </c>
    </row>
    <row r="61" spans="1:32" x14ac:dyDescent="0.25">
      <c r="A61" s="2" t="s">
        <v>41</v>
      </c>
      <c r="B61" s="2">
        <v>1</v>
      </c>
      <c r="C61" s="2">
        <v>85</v>
      </c>
      <c r="D61" s="2">
        <v>2015</v>
      </c>
      <c r="E61" s="2" t="s">
        <v>42</v>
      </c>
      <c r="F61" s="2">
        <v>30</v>
      </c>
      <c r="G61" s="2">
        <v>24</v>
      </c>
      <c r="H61" s="2">
        <v>2</v>
      </c>
      <c r="I61" s="2">
        <v>3</v>
      </c>
      <c r="J61" s="2">
        <v>2</v>
      </c>
      <c r="K61" s="2">
        <v>0</v>
      </c>
      <c r="L61" s="2">
        <v>0</v>
      </c>
      <c r="M61" s="2" t="s">
        <v>34</v>
      </c>
      <c r="N61" s="2" t="s">
        <v>43</v>
      </c>
      <c r="O61" s="2" t="s">
        <v>44</v>
      </c>
      <c r="P61" s="2" t="s">
        <v>45</v>
      </c>
      <c r="Q61" s="2">
        <v>0</v>
      </c>
      <c r="R61" s="2">
        <v>0</v>
      </c>
      <c r="S61" s="2">
        <v>0</v>
      </c>
      <c r="T61" s="2" t="s">
        <v>46</v>
      </c>
      <c r="U61" s="2" t="s">
        <v>46</v>
      </c>
      <c r="V61" s="2">
        <v>0</v>
      </c>
      <c r="W61" s="2" t="s">
        <v>38</v>
      </c>
      <c r="X61" s="2">
        <v>9</v>
      </c>
      <c r="Y61" s="2"/>
      <c r="Z61" s="2">
        <v>0</v>
      </c>
      <c r="AA61" s="2" t="s">
        <v>39</v>
      </c>
      <c r="AB61" s="2">
        <v>76.5</v>
      </c>
      <c r="AC61" s="2">
        <v>0</v>
      </c>
      <c r="AD61" s="2">
        <v>0</v>
      </c>
      <c r="AE61" s="2" t="s">
        <v>47</v>
      </c>
      <c r="AF61" s="3">
        <v>42144</v>
      </c>
    </row>
    <row r="62" spans="1:32" x14ac:dyDescent="0.25">
      <c r="A62" s="2" t="s">
        <v>41</v>
      </c>
      <c r="B62" s="2">
        <v>0</v>
      </c>
      <c r="C62" s="2">
        <v>26</v>
      </c>
      <c r="D62" s="2">
        <v>2015</v>
      </c>
      <c r="E62" s="2" t="s">
        <v>59</v>
      </c>
      <c r="F62" s="2">
        <v>44</v>
      </c>
      <c r="G62" s="2">
        <v>31</v>
      </c>
      <c r="H62" s="2">
        <v>2</v>
      </c>
      <c r="I62" s="2">
        <v>5</v>
      </c>
      <c r="J62" s="2">
        <v>2</v>
      </c>
      <c r="K62" s="2">
        <v>0</v>
      </c>
      <c r="L62" s="2">
        <v>0</v>
      </c>
      <c r="M62" s="2" t="s">
        <v>34</v>
      </c>
      <c r="N62" s="2" t="s">
        <v>106</v>
      </c>
      <c r="O62" s="2" t="s">
        <v>44</v>
      </c>
      <c r="P62" s="2" t="s">
        <v>45</v>
      </c>
      <c r="Q62" s="2">
        <v>0</v>
      </c>
      <c r="R62" s="2">
        <v>0</v>
      </c>
      <c r="S62" s="2">
        <v>0</v>
      </c>
      <c r="T62" s="2" t="s">
        <v>46</v>
      </c>
      <c r="U62" s="2" t="s">
        <v>46</v>
      </c>
      <c r="V62" s="2">
        <v>0</v>
      </c>
      <c r="W62" s="2" t="s">
        <v>38</v>
      </c>
      <c r="X62" s="2">
        <v>9</v>
      </c>
      <c r="Y62" s="2"/>
      <c r="Z62" s="2">
        <v>0</v>
      </c>
      <c r="AA62" s="2" t="s">
        <v>73</v>
      </c>
      <c r="AB62" s="2">
        <v>95.96</v>
      </c>
      <c r="AC62" s="2">
        <v>0</v>
      </c>
      <c r="AD62" s="2">
        <v>1</v>
      </c>
      <c r="AE62" s="2" t="s">
        <v>40</v>
      </c>
      <c r="AF62" s="3">
        <v>42315</v>
      </c>
    </row>
    <row r="63" spans="1:32" x14ac:dyDescent="0.25">
      <c r="A63" s="2" t="s">
        <v>41</v>
      </c>
      <c r="B63" s="2">
        <v>1</v>
      </c>
      <c r="C63" s="2">
        <v>233</v>
      </c>
      <c r="D63" s="2">
        <v>2015</v>
      </c>
      <c r="E63" s="2" t="s">
        <v>61</v>
      </c>
      <c r="F63" s="2">
        <v>45</v>
      </c>
      <c r="G63" s="2">
        <v>7</v>
      </c>
      <c r="H63" s="2">
        <v>1</v>
      </c>
      <c r="I63" s="2">
        <v>1</v>
      </c>
      <c r="J63" s="2">
        <v>2</v>
      </c>
      <c r="K63" s="2">
        <v>0</v>
      </c>
      <c r="L63" s="2">
        <v>0</v>
      </c>
      <c r="M63" s="2" t="s">
        <v>34</v>
      </c>
      <c r="N63" s="2" t="s">
        <v>43</v>
      </c>
      <c r="O63" s="2" t="s">
        <v>64</v>
      </c>
      <c r="P63" s="2" t="s">
        <v>45</v>
      </c>
      <c r="Q63" s="2">
        <v>0</v>
      </c>
      <c r="R63" s="2">
        <v>0</v>
      </c>
      <c r="S63" s="2">
        <v>0</v>
      </c>
      <c r="T63" s="2" t="s">
        <v>46</v>
      </c>
      <c r="U63" s="2" t="s">
        <v>46</v>
      </c>
      <c r="V63" s="2">
        <v>0</v>
      </c>
      <c r="W63" s="2" t="s">
        <v>38</v>
      </c>
      <c r="X63" s="2">
        <v>1</v>
      </c>
      <c r="Y63" s="2"/>
      <c r="Z63" s="2">
        <v>0</v>
      </c>
      <c r="AA63" s="2" t="s">
        <v>51</v>
      </c>
      <c r="AB63" s="2">
        <v>60</v>
      </c>
      <c r="AC63" s="2">
        <v>0</v>
      </c>
      <c r="AD63" s="2">
        <v>0</v>
      </c>
      <c r="AE63" s="2" t="s">
        <v>47</v>
      </c>
      <c r="AF63" s="3">
        <v>42298</v>
      </c>
    </row>
    <row r="64" spans="1:32" x14ac:dyDescent="0.25">
      <c r="A64" s="2" t="s">
        <v>41</v>
      </c>
      <c r="B64" s="2">
        <v>1</v>
      </c>
      <c r="C64" s="2">
        <v>355</v>
      </c>
      <c r="D64" s="2">
        <v>2015</v>
      </c>
      <c r="E64" s="2" t="s">
        <v>59</v>
      </c>
      <c r="F64" s="2">
        <v>41</v>
      </c>
      <c r="G64" s="2">
        <v>7</v>
      </c>
      <c r="H64" s="2">
        <v>0</v>
      </c>
      <c r="I64" s="2">
        <v>2</v>
      </c>
      <c r="J64" s="2">
        <v>2</v>
      </c>
      <c r="K64" s="2">
        <v>0</v>
      </c>
      <c r="L64" s="2">
        <v>0</v>
      </c>
      <c r="M64" s="2" t="s">
        <v>34</v>
      </c>
      <c r="N64" s="2" t="s">
        <v>43</v>
      </c>
      <c r="O64" s="2" t="s">
        <v>64</v>
      </c>
      <c r="P64" s="2" t="s">
        <v>45</v>
      </c>
      <c r="Q64" s="2">
        <v>0</v>
      </c>
      <c r="R64" s="2">
        <v>1</v>
      </c>
      <c r="S64" s="2">
        <v>0</v>
      </c>
      <c r="T64" s="2" t="s">
        <v>46</v>
      </c>
      <c r="U64" s="2" t="s">
        <v>46</v>
      </c>
      <c r="V64" s="2">
        <v>0</v>
      </c>
      <c r="W64" s="2" t="s">
        <v>68</v>
      </c>
      <c r="X64" s="2">
        <v>1</v>
      </c>
      <c r="Y64" s="2"/>
      <c r="Z64" s="2">
        <v>0</v>
      </c>
      <c r="AA64" s="2" t="s">
        <v>51</v>
      </c>
      <c r="AB64" s="2">
        <v>62</v>
      </c>
      <c r="AC64" s="2">
        <v>0</v>
      </c>
      <c r="AD64" s="2">
        <v>0</v>
      </c>
      <c r="AE64" s="2" t="s">
        <v>47</v>
      </c>
      <c r="AF64" s="3">
        <v>42187</v>
      </c>
    </row>
    <row r="65" spans="1:32" x14ac:dyDescent="0.25">
      <c r="A65" s="2" t="s">
        <v>41</v>
      </c>
      <c r="B65" s="2">
        <v>0</v>
      </c>
      <c r="C65" s="2">
        <v>6</v>
      </c>
      <c r="D65" s="2">
        <v>2015</v>
      </c>
      <c r="E65" s="2" t="s">
        <v>33</v>
      </c>
      <c r="F65" s="2">
        <v>53</v>
      </c>
      <c r="G65" s="2">
        <v>31</v>
      </c>
      <c r="H65" s="2">
        <v>0</v>
      </c>
      <c r="I65" s="2">
        <v>2</v>
      </c>
      <c r="J65" s="2">
        <v>2</v>
      </c>
      <c r="K65" s="2">
        <v>0</v>
      </c>
      <c r="L65" s="2">
        <v>0</v>
      </c>
      <c r="M65" s="2" t="s">
        <v>34</v>
      </c>
      <c r="N65" s="2" t="s">
        <v>111</v>
      </c>
      <c r="O65" s="2" t="s">
        <v>44</v>
      </c>
      <c r="P65" s="2" t="s">
        <v>45</v>
      </c>
      <c r="Q65" s="2">
        <v>0</v>
      </c>
      <c r="R65" s="2">
        <v>0</v>
      </c>
      <c r="S65" s="2">
        <v>0</v>
      </c>
      <c r="T65" s="2" t="s">
        <v>57</v>
      </c>
      <c r="U65" s="2" t="s">
        <v>57</v>
      </c>
      <c r="V65" s="2">
        <v>0</v>
      </c>
      <c r="W65" s="2" t="s">
        <v>38</v>
      </c>
      <c r="X65" s="2">
        <v>9</v>
      </c>
      <c r="Y65" s="2"/>
      <c r="Z65" s="2">
        <v>0</v>
      </c>
      <c r="AA65" s="2" t="s">
        <v>39</v>
      </c>
      <c r="AB65" s="2">
        <v>137</v>
      </c>
      <c r="AC65" s="2">
        <v>0</v>
      </c>
      <c r="AD65" s="2">
        <v>1</v>
      </c>
      <c r="AE65" s="2" t="s">
        <v>40</v>
      </c>
      <c r="AF65" s="3">
        <v>42371</v>
      </c>
    </row>
    <row r="66" spans="1:32" x14ac:dyDescent="0.25">
      <c r="A66" s="2" t="s">
        <v>41</v>
      </c>
      <c r="B66" s="2">
        <v>0</v>
      </c>
      <c r="C66" s="2">
        <v>39</v>
      </c>
      <c r="D66" s="2">
        <v>2015</v>
      </c>
      <c r="E66" s="2" t="s">
        <v>67</v>
      </c>
      <c r="F66" s="2">
        <v>33</v>
      </c>
      <c r="G66" s="2">
        <v>14</v>
      </c>
      <c r="H66" s="2">
        <v>0</v>
      </c>
      <c r="I66" s="2">
        <v>2</v>
      </c>
      <c r="J66" s="2">
        <v>2</v>
      </c>
      <c r="K66" s="2">
        <v>0</v>
      </c>
      <c r="L66" s="2">
        <v>0</v>
      </c>
      <c r="M66" s="2" t="s">
        <v>60</v>
      </c>
      <c r="N66" s="2" t="s">
        <v>56</v>
      </c>
      <c r="O66" s="2" t="s">
        <v>49</v>
      </c>
      <c r="P66" s="2" t="s">
        <v>45</v>
      </c>
      <c r="Q66" s="2">
        <v>0</v>
      </c>
      <c r="R66" s="2">
        <v>0</v>
      </c>
      <c r="S66" s="2">
        <v>0</v>
      </c>
      <c r="T66" s="2" t="s">
        <v>46</v>
      </c>
      <c r="U66" s="2" t="s">
        <v>57</v>
      </c>
      <c r="V66" s="2">
        <v>0</v>
      </c>
      <c r="W66" s="2" t="s">
        <v>38</v>
      </c>
      <c r="X66" s="2">
        <v>6</v>
      </c>
      <c r="Y66" s="2"/>
      <c r="Z66" s="2">
        <v>0</v>
      </c>
      <c r="AA66" s="2" t="s">
        <v>51</v>
      </c>
      <c r="AB66" s="2">
        <v>109</v>
      </c>
      <c r="AC66" s="2">
        <v>0</v>
      </c>
      <c r="AD66" s="2">
        <v>0</v>
      </c>
      <c r="AE66" s="2" t="s">
        <v>40</v>
      </c>
      <c r="AF66" s="3">
        <v>42232</v>
      </c>
    </row>
    <row r="67" spans="1:32" x14ac:dyDescent="0.25">
      <c r="A67" s="2" t="s">
        <v>41</v>
      </c>
      <c r="B67" s="2">
        <v>1</v>
      </c>
      <c r="C67" s="2">
        <v>286</v>
      </c>
      <c r="D67" s="2">
        <v>2015</v>
      </c>
      <c r="E67" s="2" t="s">
        <v>42</v>
      </c>
      <c r="F67" s="2">
        <v>31</v>
      </c>
      <c r="G67" s="2">
        <v>30</v>
      </c>
      <c r="H67" s="2">
        <v>0</v>
      </c>
      <c r="I67" s="2">
        <v>2</v>
      </c>
      <c r="J67" s="2">
        <v>2</v>
      </c>
      <c r="K67" s="2">
        <v>0</v>
      </c>
      <c r="L67" s="2">
        <v>0</v>
      </c>
      <c r="M67" s="2" t="s">
        <v>34</v>
      </c>
      <c r="N67" s="2" t="s">
        <v>43</v>
      </c>
      <c r="O67" s="2" t="s">
        <v>64</v>
      </c>
      <c r="P67" s="2" t="s">
        <v>45</v>
      </c>
      <c r="Q67" s="2">
        <v>0</v>
      </c>
      <c r="R67" s="2">
        <v>1</v>
      </c>
      <c r="S67" s="2">
        <v>0</v>
      </c>
      <c r="T67" s="2" t="s">
        <v>46</v>
      </c>
      <c r="U67" s="2" t="s">
        <v>46</v>
      </c>
      <c r="V67" s="2">
        <v>0</v>
      </c>
      <c r="W67" s="2" t="s">
        <v>68</v>
      </c>
      <c r="X67" s="2">
        <v>1</v>
      </c>
      <c r="Y67" s="2"/>
      <c r="Z67" s="2">
        <v>0</v>
      </c>
      <c r="AA67" s="2" t="s">
        <v>73</v>
      </c>
      <c r="AB67" s="2">
        <v>62</v>
      </c>
      <c r="AC67" s="2">
        <v>0</v>
      </c>
      <c r="AD67" s="2">
        <v>0</v>
      </c>
      <c r="AE67" s="2" t="s">
        <v>47</v>
      </c>
      <c r="AF67" s="3">
        <v>42005</v>
      </c>
    </row>
    <row r="68" spans="1:32" x14ac:dyDescent="0.25">
      <c r="A68" s="2" t="s">
        <v>41</v>
      </c>
      <c r="B68" s="2">
        <v>0</v>
      </c>
      <c r="C68" s="2">
        <v>102</v>
      </c>
      <c r="D68" s="2">
        <v>2015</v>
      </c>
      <c r="E68" s="2" t="s">
        <v>59</v>
      </c>
      <c r="F68" s="2">
        <v>42</v>
      </c>
      <c r="G68" s="2">
        <v>16</v>
      </c>
      <c r="H68" s="2">
        <v>0</v>
      </c>
      <c r="I68" s="2">
        <v>2</v>
      </c>
      <c r="J68" s="2">
        <v>2</v>
      </c>
      <c r="K68" s="2">
        <v>0</v>
      </c>
      <c r="L68" s="2">
        <v>0</v>
      </c>
      <c r="M68" s="2" t="s">
        <v>60</v>
      </c>
      <c r="N68" s="2" t="s">
        <v>56</v>
      </c>
      <c r="O68" s="2" t="s">
        <v>49</v>
      </c>
      <c r="P68" s="2" t="s">
        <v>45</v>
      </c>
      <c r="Q68" s="2">
        <v>0</v>
      </c>
      <c r="R68" s="2">
        <v>0</v>
      </c>
      <c r="S68" s="2">
        <v>0</v>
      </c>
      <c r="T68" s="2" t="s">
        <v>46</v>
      </c>
      <c r="U68" s="2" t="s">
        <v>46</v>
      </c>
      <c r="V68" s="2">
        <v>0</v>
      </c>
      <c r="W68" s="2" t="s">
        <v>38</v>
      </c>
      <c r="X68" s="2">
        <v>6</v>
      </c>
      <c r="Y68" s="2"/>
      <c r="Z68" s="2">
        <v>0</v>
      </c>
      <c r="AA68" s="2" t="s">
        <v>51</v>
      </c>
      <c r="AB68" s="2">
        <v>109</v>
      </c>
      <c r="AC68" s="2">
        <v>0</v>
      </c>
      <c r="AD68" s="2">
        <v>0</v>
      </c>
      <c r="AE68" s="2" t="s">
        <v>40</v>
      </c>
      <c r="AF68" s="3">
        <v>42295</v>
      </c>
    </row>
    <row r="69" spans="1:32" x14ac:dyDescent="0.25">
      <c r="A69" s="2" t="s">
        <v>41</v>
      </c>
      <c r="B69" s="2">
        <v>1</v>
      </c>
      <c r="C69" s="2">
        <v>330</v>
      </c>
      <c r="D69" s="2">
        <v>2015</v>
      </c>
      <c r="E69" s="2" t="s">
        <v>62</v>
      </c>
      <c r="F69" s="2">
        <v>37</v>
      </c>
      <c r="G69" s="2">
        <v>12</v>
      </c>
      <c r="H69" s="2">
        <v>2</v>
      </c>
      <c r="I69" s="2">
        <v>1</v>
      </c>
      <c r="J69" s="2">
        <v>2</v>
      </c>
      <c r="K69" s="2">
        <v>0</v>
      </c>
      <c r="L69" s="2">
        <v>0</v>
      </c>
      <c r="M69" s="2" t="s">
        <v>34</v>
      </c>
      <c r="N69" s="2" t="s">
        <v>43</v>
      </c>
      <c r="O69" s="2" t="s">
        <v>64</v>
      </c>
      <c r="P69" s="2" t="s">
        <v>45</v>
      </c>
      <c r="Q69" s="2">
        <v>0</v>
      </c>
      <c r="R69" s="2">
        <v>1</v>
      </c>
      <c r="S69" s="2">
        <v>0</v>
      </c>
      <c r="T69" s="2" t="s">
        <v>46</v>
      </c>
      <c r="U69" s="2" t="s">
        <v>46</v>
      </c>
      <c r="V69" s="2">
        <v>0</v>
      </c>
      <c r="W69" s="2" t="s">
        <v>38</v>
      </c>
      <c r="X69" s="2">
        <v>1</v>
      </c>
      <c r="Y69" s="2"/>
      <c r="Z69" s="2">
        <v>0</v>
      </c>
      <c r="AA69" s="2" t="s">
        <v>51</v>
      </c>
      <c r="AB69" s="2">
        <v>62.8</v>
      </c>
      <c r="AC69" s="2">
        <v>0</v>
      </c>
      <c r="AD69" s="2">
        <v>0</v>
      </c>
      <c r="AE69" s="2" t="s">
        <v>47</v>
      </c>
      <c r="AF69" s="3">
        <v>42005</v>
      </c>
    </row>
    <row r="70" spans="1:32" x14ac:dyDescent="0.25">
      <c r="A70" s="2" t="s">
        <v>41</v>
      </c>
      <c r="B70" s="2">
        <v>1</v>
      </c>
      <c r="C70" s="2">
        <v>50</v>
      </c>
      <c r="D70" s="2">
        <v>2015</v>
      </c>
      <c r="E70" s="2" t="s">
        <v>59</v>
      </c>
      <c r="F70" s="2">
        <v>43</v>
      </c>
      <c r="G70" s="2">
        <v>24</v>
      </c>
      <c r="H70" s="2">
        <v>1</v>
      </c>
      <c r="I70" s="2">
        <v>1</v>
      </c>
      <c r="J70" s="2">
        <v>2</v>
      </c>
      <c r="K70" s="2">
        <v>0</v>
      </c>
      <c r="L70" s="2">
        <v>0</v>
      </c>
      <c r="M70" s="2" t="s">
        <v>34</v>
      </c>
      <c r="N70" s="2" t="s">
        <v>43</v>
      </c>
      <c r="O70" s="2" t="s">
        <v>64</v>
      </c>
      <c r="P70" s="2" t="s">
        <v>36</v>
      </c>
      <c r="Q70" s="2">
        <v>0</v>
      </c>
      <c r="R70" s="2">
        <v>0</v>
      </c>
      <c r="S70" s="2">
        <v>0</v>
      </c>
      <c r="T70" s="2" t="s">
        <v>46</v>
      </c>
      <c r="U70" s="2" t="s">
        <v>46</v>
      </c>
      <c r="V70" s="2">
        <v>0</v>
      </c>
      <c r="W70" s="2" t="s">
        <v>68</v>
      </c>
      <c r="X70" s="2"/>
      <c r="Y70" s="2"/>
      <c r="Z70" s="2">
        <v>0</v>
      </c>
      <c r="AA70" s="2" t="s">
        <v>39</v>
      </c>
      <c r="AB70" s="2">
        <v>75</v>
      </c>
      <c r="AC70" s="2">
        <v>0</v>
      </c>
      <c r="AD70" s="2">
        <v>0</v>
      </c>
      <c r="AE70" s="2" t="s">
        <v>47</v>
      </c>
      <c r="AF70" s="3">
        <v>42284</v>
      </c>
    </row>
    <row r="71" spans="1:32" x14ac:dyDescent="0.25">
      <c r="A71" s="2" t="s">
        <v>32</v>
      </c>
      <c r="B71" s="2">
        <v>1</v>
      </c>
      <c r="C71" s="2">
        <v>6</v>
      </c>
      <c r="D71" s="2">
        <v>2015</v>
      </c>
      <c r="E71" s="2" t="s">
        <v>33</v>
      </c>
      <c r="F71" s="2">
        <v>50</v>
      </c>
      <c r="G71" s="2">
        <v>6</v>
      </c>
      <c r="H71" s="2">
        <v>2</v>
      </c>
      <c r="I71" s="2">
        <v>0</v>
      </c>
      <c r="J71" s="2">
        <v>2</v>
      </c>
      <c r="K71" s="2">
        <v>0</v>
      </c>
      <c r="L71" s="2">
        <v>0</v>
      </c>
      <c r="M71" s="2" t="s">
        <v>34</v>
      </c>
      <c r="N71" s="2" t="s">
        <v>43</v>
      </c>
      <c r="O71" s="2" t="s">
        <v>44</v>
      </c>
      <c r="P71" s="2" t="s">
        <v>45</v>
      </c>
      <c r="Q71" s="2">
        <v>0</v>
      </c>
      <c r="R71" s="2">
        <v>1</v>
      </c>
      <c r="S71" s="2">
        <v>0</v>
      </c>
      <c r="T71" s="2" t="s">
        <v>57</v>
      </c>
      <c r="U71" s="2" t="s">
        <v>57</v>
      </c>
      <c r="V71" s="2">
        <v>0</v>
      </c>
      <c r="W71" s="2" t="s">
        <v>38</v>
      </c>
      <c r="X71" s="2">
        <v>240</v>
      </c>
      <c r="Y71" s="2"/>
      <c r="Z71" s="2">
        <v>0</v>
      </c>
      <c r="AA71" s="2" t="s">
        <v>39</v>
      </c>
      <c r="AB71" s="2">
        <v>54.4</v>
      </c>
      <c r="AC71" s="2">
        <v>0</v>
      </c>
      <c r="AD71" s="2">
        <v>0</v>
      </c>
      <c r="AE71" s="2" t="s">
        <v>47</v>
      </c>
      <c r="AF71" s="3">
        <v>42339</v>
      </c>
    </row>
    <row r="72" spans="1:32" x14ac:dyDescent="0.25">
      <c r="A72" s="2" t="s">
        <v>41</v>
      </c>
      <c r="B72" s="2">
        <v>0</v>
      </c>
      <c r="C72" s="2">
        <v>83</v>
      </c>
      <c r="D72" s="2">
        <v>2015</v>
      </c>
      <c r="E72" s="2" t="s">
        <v>62</v>
      </c>
      <c r="F72" s="2">
        <v>40</v>
      </c>
      <c r="G72" s="2">
        <v>30</v>
      </c>
      <c r="H72" s="2">
        <v>0</v>
      </c>
      <c r="I72" s="2">
        <v>1</v>
      </c>
      <c r="J72" s="2">
        <v>2</v>
      </c>
      <c r="K72" s="2">
        <v>0</v>
      </c>
      <c r="L72" s="2">
        <v>0</v>
      </c>
      <c r="M72" s="2" t="s">
        <v>60</v>
      </c>
      <c r="N72" s="2" t="s">
        <v>43</v>
      </c>
      <c r="O72" s="2" t="s">
        <v>49</v>
      </c>
      <c r="P72" s="2" t="s">
        <v>45</v>
      </c>
      <c r="Q72" s="2">
        <v>0</v>
      </c>
      <c r="R72" s="2">
        <v>0</v>
      </c>
      <c r="S72" s="2">
        <v>0</v>
      </c>
      <c r="T72" s="2" t="s">
        <v>46</v>
      </c>
      <c r="U72" s="2" t="s">
        <v>46</v>
      </c>
      <c r="V72" s="2">
        <v>0</v>
      </c>
      <c r="W72" s="2" t="s">
        <v>38</v>
      </c>
      <c r="X72" s="2">
        <v>26</v>
      </c>
      <c r="Y72" s="2"/>
      <c r="Z72" s="2">
        <v>77</v>
      </c>
      <c r="AA72" s="2" t="s">
        <v>51</v>
      </c>
      <c r="AB72" s="2">
        <v>112.2</v>
      </c>
      <c r="AC72" s="2">
        <v>0</v>
      </c>
      <c r="AD72" s="2">
        <v>0</v>
      </c>
      <c r="AE72" s="2" t="s">
        <v>40</v>
      </c>
      <c r="AF72" s="3">
        <v>42278</v>
      </c>
    </row>
    <row r="73" spans="1:32" x14ac:dyDescent="0.25">
      <c r="A73" s="2" t="s">
        <v>41</v>
      </c>
      <c r="B73" s="2">
        <v>1</v>
      </c>
      <c r="C73" s="2">
        <v>77</v>
      </c>
      <c r="D73" s="2">
        <v>2015</v>
      </c>
      <c r="E73" s="2" t="s">
        <v>67</v>
      </c>
      <c r="F73" s="2">
        <v>32</v>
      </c>
      <c r="G73" s="2">
        <v>3</v>
      </c>
      <c r="H73" s="2">
        <v>5</v>
      </c>
      <c r="I73" s="2">
        <v>12</v>
      </c>
      <c r="J73" s="2">
        <v>2</v>
      </c>
      <c r="K73" s="2">
        <v>0</v>
      </c>
      <c r="L73" s="2">
        <v>0</v>
      </c>
      <c r="M73" s="2" t="s">
        <v>34</v>
      </c>
      <c r="N73" s="2" t="s">
        <v>43</v>
      </c>
      <c r="O73" s="2" t="s">
        <v>44</v>
      </c>
      <c r="P73" s="2" t="s">
        <v>45</v>
      </c>
      <c r="Q73" s="2">
        <v>0</v>
      </c>
      <c r="R73" s="2">
        <v>0</v>
      </c>
      <c r="S73" s="2">
        <v>0</v>
      </c>
      <c r="T73" s="2" t="s">
        <v>46</v>
      </c>
      <c r="U73" s="2" t="s">
        <v>46</v>
      </c>
      <c r="V73" s="2">
        <v>0</v>
      </c>
      <c r="W73" s="2" t="s">
        <v>38</v>
      </c>
      <c r="X73" s="2">
        <v>9</v>
      </c>
      <c r="Y73" s="2"/>
      <c r="Z73" s="2">
        <v>0</v>
      </c>
      <c r="AA73" s="2" t="s">
        <v>39</v>
      </c>
      <c r="AB73" s="2">
        <v>76.5</v>
      </c>
      <c r="AC73" s="2">
        <v>0</v>
      </c>
      <c r="AD73" s="2">
        <v>0</v>
      </c>
      <c r="AE73" s="2" t="s">
        <v>47</v>
      </c>
      <c r="AF73" s="3">
        <v>42145</v>
      </c>
    </row>
    <row r="74" spans="1:32" x14ac:dyDescent="0.25">
      <c r="A74" s="2" t="s">
        <v>32</v>
      </c>
      <c r="B74" s="2">
        <v>0</v>
      </c>
      <c r="C74" s="2">
        <v>167</v>
      </c>
      <c r="D74" s="2">
        <v>2015</v>
      </c>
      <c r="E74" s="2" t="s">
        <v>62</v>
      </c>
      <c r="F74" s="2">
        <v>38</v>
      </c>
      <c r="G74" s="2">
        <v>17</v>
      </c>
      <c r="H74" s="2">
        <v>4</v>
      </c>
      <c r="I74" s="2">
        <v>10</v>
      </c>
      <c r="J74" s="2">
        <v>2</v>
      </c>
      <c r="K74" s="2">
        <v>0</v>
      </c>
      <c r="L74" s="2">
        <v>0</v>
      </c>
      <c r="M74" s="2" t="s">
        <v>60</v>
      </c>
      <c r="N74" s="2" t="s">
        <v>35</v>
      </c>
      <c r="O74" s="2" t="s">
        <v>49</v>
      </c>
      <c r="P74" s="2" t="s">
        <v>45</v>
      </c>
      <c r="Q74" s="2">
        <v>0</v>
      </c>
      <c r="R74" s="2">
        <v>0</v>
      </c>
      <c r="S74" s="2">
        <v>0</v>
      </c>
      <c r="T74" s="2" t="s">
        <v>57</v>
      </c>
      <c r="U74" s="2" t="s">
        <v>57</v>
      </c>
      <c r="V74" s="2">
        <v>0</v>
      </c>
      <c r="W74" s="2" t="s">
        <v>38</v>
      </c>
      <c r="X74" s="2">
        <v>243</v>
      </c>
      <c r="Y74" s="2"/>
      <c r="Z74" s="2">
        <v>0</v>
      </c>
      <c r="AA74" s="2" t="s">
        <v>73</v>
      </c>
      <c r="AB74" s="2">
        <v>68</v>
      </c>
      <c r="AC74" s="2">
        <v>0</v>
      </c>
      <c r="AD74" s="2">
        <v>3</v>
      </c>
      <c r="AE74" s="2" t="s">
        <v>40</v>
      </c>
      <c r="AF74" s="3">
        <v>42278</v>
      </c>
    </row>
    <row r="75" spans="1:32" x14ac:dyDescent="0.25">
      <c r="A75" s="2" t="s">
        <v>32</v>
      </c>
      <c r="B75" s="2">
        <v>1</v>
      </c>
      <c r="C75" s="2">
        <v>256</v>
      </c>
      <c r="D75" s="2">
        <v>2015</v>
      </c>
      <c r="E75" s="2" t="s">
        <v>67</v>
      </c>
      <c r="F75" s="2">
        <v>31</v>
      </c>
      <c r="G75" s="2">
        <v>1</v>
      </c>
      <c r="H75" s="2">
        <v>3</v>
      </c>
      <c r="I75" s="2">
        <v>6</v>
      </c>
      <c r="J75" s="2">
        <v>2</v>
      </c>
      <c r="K75" s="2">
        <v>2</v>
      </c>
      <c r="L75" s="2">
        <v>0</v>
      </c>
      <c r="M75" s="2" t="s">
        <v>34</v>
      </c>
      <c r="N75" s="2" t="s">
        <v>43</v>
      </c>
      <c r="O75" s="2" t="s">
        <v>44</v>
      </c>
      <c r="P75" s="2" t="s">
        <v>45</v>
      </c>
      <c r="Q75" s="2">
        <v>0</v>
      </c>
      <c r="R75" s="2">
        <v>1</v>
      </c>
      <c r="S75" s="2">
        <v>0</v>
      </c>
      <c r="T75" s="2" t="s">
        <v>84</v>
      </c>
      <c r="U75" s="2" t="s">
        <v>84</v>
      </c>
      <c r="V75" s="2">
        <v>1</v>
      </c>
      <c r="W75" s="2" t="s">
        <v>38</v>
      </c>
      <c r="X75" s="2">
        <v>240</v>
      </c>
      <c r="Y75" s="2"/>
      <c r="Z75" s="2">
        <v>0</v>
      </c>
      <c r="AA75" s="2" t="s">
        <v>51</v>
      </c>
      <c r="AB75" s="2">
        <v>199</v>
      </c>
      <c r="AC75" s="2">
        <v>0</v>
      </c>
      <c r="AD75" s="2">
        <v>1</v>
      </c>
      <c r="AE75" s="2" t="s">
        <v>47</v>
      </c>
      <c r="AF75" s="3">
        <v>42212</v>
      </c>
    </row>
    <row r="76" spans="1:32" x14ac:dyDescent="0.25">
      <c r="A76" s="2" t="s">
        <v>32</v>
      </c>
      <c r="B76" s="2">
        <v>0</v>
      </c>
      <c r="C76" s="2">
        <v>109</v>
      </c>
      <c r="D76" s="2">
        <v>2015</v>
      </c>
      <c r="E76" s="2" t="s">
        <v>42</v>
      </c>
      <c r="F76" s="2">
        <v>27</v>
      </c>
      <c r="G76" s="2">
        <v>4</v>
      </c>
      <c r="H76" s="2">
        <v>2</v>
      </c>
      <c r="I76" s="2">
        <v>6</v>
      </c>
      <c r="J76" s="2">
        <v>2</v>
      </c>
      <c r="K76" s="2">
        <v>0</v>
      </c>
      <c r="L76" s="2">
        <v>0</v>
      </c>
      <c r="M76" s="2" t="s">
        <v>34</v>
      </c>
      <c r="N76" s="2" t="s">
        <v>43</v>
      </c>
      <c r="O76" s="2" t="s">
        <v>44</v>
      </c>
      <c r="P76" s="2" t="s">
        <v>45</v>
      </c>
      <c r="Q76" s="2">
        <v>0</v>
      </c>
      <c r="R76" s="2">
        <v>0</v>
      </c>
      <c r="S76" s="2">
        <v>0</v>
      </c>
      <c r="T76" s="2" t="s">
        <v>46</v>
      </c>
      <c r="U76" s="2" t="s">
        <v>46</v>
      </c>
      <c r="V76" s="2">
        <v>0</v>
      </c>
      <c r="W76" s="2" t="s">
        <v>38</v>
      </c>
      <c r="X76" s="2">
        <v>240</v>
      </c>
      <c r="Y76" s="2"/>
      <c r="Z76" s="2">
        <v>0</v>
      </c>
      <c r="AA76" s="2" t="s">
        <v>39</v>
      </c>
      <c r="AB76" s="2">
        <v>123</v>
      </c>
      <c r="AC76" s="2">
        <v>0</v>
      </c>
      <c r="AD76" s="2">
        <v>1</v>
      </c>
      <c r="AE76" s="2" t="s">
        <v>40</v>
      </c>
      <c r="AF76" s="3">
        <v>42197</v>
      </c>
    </row>
    <row r="77" spans="1:32" x14ac:dyDescent="0.25">
      <c r="A77" s="2" t="s">
        <v>41</v>
      </c>
      <c r="B77" s="2">
        <v>0</v>
      </c>
      <c r="C77" s="2">
        <v>4</v>
      </c>
      <c r="D77" s="2">
        <v>2015</v>
      </c>
      <c r="E77" s="2" t="s">
        <v>67</v>
      </c>
      <c r="F77" s="2">
        <v>34</v>
      </c>
      <c r="G77" s="2">
        <v>17</v>
      </c>
      <c r="H77" s="2">
        <v>1</v>
      </c>
      <c r="I77" s="2">
        <v>3</v>
      </c>
      <c r="J77" s="2">
        <v>2</v>
      </c>
      <c r="K77" s="2">
        <v>0</v>
      </c>
      <c r="L77" s="2">
        <v>0</v>
      </c>
      <c r="M77" s="2" t="s">
        <v>34</v>
      </c>
      <c r="N77" s="2" t="s">
        <v>63</v>
      </c>
      <c r="O77" s="2" t="s">
        <v>44</v>
      </c>
      <c r="P77" s="2" t="s">
        <v>45</v>
      </c>
      <c r="Q77" s="2">
        <v>0</v>
      </c>
      <c r="R77" s="2">
        <v>0</v>
      </c>
      <c r="S77" s="2">
        <v>0</v>
      </c>
      <c r="T77" s="2" t="s">
        <v>46</v>
      </c>
      <c r="U77" s="2" t="s">
        <v>46</v>
      </c>
      <c r="V77" s="2">
        <v>0</v>
      </c>
      <c r="W77" s="2" t="s">
        <v>38</v>
      </c>
      <c r="X77" s="2">
        <v>9</v>
      </c>
      <c r="Y77" s="2"/>
      <c r="Z77" s="2">
        <v>0</v>
      </c>
      <c r="AA77" s="2" t="s">
        <v>73</v>
      </c>
      <c r="AB77" s="2">
        <v>122</v>
      </c>
      <c r="AC77" s="2">
        <v>0</v>
      </c>
      <c r="AD77" s="2">
        <v>3</v>
      </c>
      <c r="AE77" s="2" t="s">
        <v>40</v>
      </c>
      <c r="AF77" s="3">
        <v>42237</v>
      </c>
    </row>
    <row r="78" spans="1:32" x14ac:dyDescent="0.25">
      <c r="A78" s="2" t="s">
        <v>41</v>
      </c>
      <c r="B78" s="2">
        <v>0</v>
      </c>
      <c r="C78" s="2">
        <v>13</v>
      </c>
      <c r="D78" s="2">
        <v>2015</v>
      </c>
      <c r="E78" s="2" t="s">
        <v>59</v>
      </c>
      <c r="F78" s="2">
        <v>41</v>
      </c>
      <c r="G78" s="2">
        <v>6</v>
      </c>
      <c r="H78" s="2">
        <v>0</v>
      </c>
      <c r="I78" s="2">
        <v>3</v>
      </c>
      <c r="J78" s="2">
        <v>2</v>
      </c>
      <c r="K78" s="2">
        <v>0</v>
      </c>
      <c r="L78" s="2">
        <v>0</v>
      </c>
      <c r="M78" s="2" t="s">
        <v>34</v>
      </c>
      <c r="N78" s="2" t="s">
        <v>70</v>
      </c>
      <c r="O78" s="2" t="s">
        <v>49</v>
      </c>
      <c r="P78" s="2" t="s">
        <v>45</v>
      </c>
      <c r="Q78" s="2">
        <v>0</v>
      </c>
      <c r="R78" s="2">
        <v>0</v>
      </c>
      <c r="S78" s="2">
        <v>0</v>
      </c>
      <c r="T78" s="2" t="s">
        <v>57</v>
      </c>
      <c r="U78" s="2" t="s">
        <v>57</v>
      </c>
      <c r="V78" s="2">
        <v>0</v>
      </c>
      <c r="W78" s="2" t="s">
        <v>38</v>
      </c>
      <c r="X78" s="2">
        <v>28</v>
      </c>
      <c r="Y78" s="2"/>
      <c r="Z78" s="2">
        <v>0</v>
      </c>
      <c r="AA78" s="2" t="s">
        <v>39</v>
      </c>
      <c r="AB78" s="2">
        <v>75</v>
      </c>
      <c r="AC78" s="2">
        <v>0</v>
      </c>
      <c r="AD78" s="2">
        <v>1</v>
      </c>
      <c r="AE78" s="2" t="s">
        <v>40</v>
      </c>
      <c r="AF78" s="3">
        <v>42286</v>
      </c>
    </row>
    <row r="79" spans="1:32" x14ac:dyDescent="0.25">
      <c r="A79" s="2" t="s">
        <v>41</v>
      </c>
      <c r="B79" s="2">
        <v>1</v>
      </c>
      <c r="C79" s="2">
        <v>265</v>
      </c>
      <c r="D79" s="2">
        <v>2015</v>
      </c>
      <c r="E79" s="2" t="s">
        <v>42</v>
      </c>
      <c r="F79" s="2">
        <v>28</v>
      </c>
      <c r="G79" s="2">
        <v>9</v>
      </c>
      <c r="H79" s="2">
        <v>0</v>
      </c>
      <c r="I79" s="2">
        <v>2</v>
      </c>
      <c r="J79" s="2">
        <v>2</v>
      </c>
      <c r="K79" s="2">
        <v>0</v>
      </c>
      <c r="L79" s="2">
        <v>0</v>
      </c>
      <c r="M79" s="2" t="s">
        <v>34</v>
      </c>
      <c r="N79" s="2" t="s">
        <v>43</v>
      </c>
      <c r="O79" s="2" t="s">
        <v>64</v>
      </c>
      <c r="P79" s="2" t="s">
        <v>45</v>
      </c>
      <c r="Q79" s="2">
        <v>0</v>
      </c>
      <c r="R79" s="2">
        <v>1</v>
      </c>
      <c r="S79" s="2">
        <v>0</v>
      </c>
      <c r="T79" s="2" t="s">
        <v>46</v>
      </c>
      <c r="U79" s="2" t="s">
        <v>46</v>
      </c>
      <c r="V79" s="2">
        <v>0</v>
      </c>
      <c r="W79" s="2" t="s">
        <v>38</v>
      </c>
      <c r="X79" s="2">
        <v>1</v>
      </c>
      <c r="Y79" s="2"/>
      <c r="Z79" s="2">
        <v>0</v>
      </c>
      <c r="AA79" s="2" t="s">
        <v>73</v>
      </c>
      <c r="AB79" s="2">
        <v>62</v>
      </c>
      <c r="AC79" s="2">
        <v>0</v>
      </c>
      <c r="AD79" s="2">
        <v>0</v>
      </c>
      <c r="AE79" s="2" t="s">
        <v>47</v>
      </c>
      <c r="AF79" s="3">
        <v>42005</v>
      </c>
    </row>
    <row r="80" spans="1:32" x14ac:dyDescent="0.25">
      <c r="A80" s="2" t="s">
        <v>32</v>
      </c>
      <c r="B80" s="2">
        <v>1</v>
      </c>
      <c r="C80" s="2">
        <v>111</v>
      </c>
      <c r="D80" s="2">
        <v>2015</v>
      </c>
      <c r="E80" s="2" t="s">
        <v>59</v>
      </c>
      <c r="F80" s="2">
        <v>43</v>
      </c>
      <c r="G80" s="2">
        <v>23</v>
      </c>
      <c r="H80" s="2">
        <v>1</v>
      </c>
      <c r="I80" s="2">
        <v>2</v>
      </c>
      <c r="J80" s="2">
        <v>2</v>
      </c>
      <c r="K80" s="2">
        <v>0</v>
      </c>
      <c r="L80" s="2">
        <v>0</v>
      </c>
      <c r="M80" s="2" t="s">
        <v>34</v>
      </c>
      <c r="N80" s="2" t="s">
        <v>43</v>
      </c>
      <c r="O80" s="2" t="s">
        <v>44</v>
      </c>
      <c r="P80" s="2" t="s">
        <v>45</v>
      </c>
      <c r="Q80" s="2">
        <v>0</v>
      </c>
      <c r="R80" s="2">
        <v>0</v>
      </c>
      <c r="S80" s="2">
        <v>0</v>
      </c>
      <c r="T80" s="2" t="s">
        <v>46</v>
      </c>
      <c r="U80" s="2" t="s">
        <v>46</v>
      </c>
      <c r="V80" s="2">
        <v>0</v>
      </c>
      <c r="W80" s="2" t="s">
        <v>38</v>
      </c>
      <c r="X80" s="2">
        <v>240</v>
      </c>
      <c r="Y80" s="2"/>
      <c r="Z80" s="2">
        <v>0</v>
      </c>
      <c r="AA80" s="2" t="s">
        <v>39</v>
      </c>
      <c r="AB80" s="2">
        <v>45</v>
      </c>
      <c r="AC80" s="2">
        <v>0</v>
      </c>
      <c r="AD80" s="2">
        <v>1</v>
      </c>
      <c r="AE80" s="2" t="s">
        <v>47</v>
      </c>
      <c r="AF80" s="3">
        <v>42205</v>
      </c>
    </row>
    <row r="81" spans="1:32" x14ac:dyDescent="0.25">
      <c r="A81" s="2" t="s">
        <v>41</v>
      </c>
      <c r="B81" s="2">
        <v>1</v>
      </c>
      <c r="C81" s="2">
        <v>195</v>
      </c>
      <c r="D81" s="2">
        <v>2015</v>
      </c>
      <c r="E81" s="2" t="s">
        <v>62</v>
      </c>
      <c r="F81" s="2">
        <v>38</v>
      </c>
      <c r="G81" s="2">
        <v>17</v>
      </c>
      <c r="H81" s="2">
        <v>0</v>
      </c>
      <c r="I81" s="2">
        <v>2</v>
      </c>
      <c r="J81" s="2">
        <v>2</v>
      </c>
      <c r="K81" s="2">
        <v>0</v>
      </c>
      <c r="L81" s="2">
        <v>0</v>
      </c>
      <c r="M81" s="2" t="s">
        <v>34</v>
      </c>
      <c r="N81" s="2" t="s">
        <v>43</v>
      </c>
      <c r="O81" s="2" t="s">
        <v>49</v>
      </c>
      <c r="P81" s="2" t="s">
        <v>45</v>
      </c>
      <c r="Q81" s="2">
        <v>0</v>
      </c>
      <c r="R81" s="2">
        <v>1</v>
      </c>
      <c r="S81" s="2">
        <v>0</v>
      </c>
      <c r="T81" s="2" t="s">
        <v>46</v>
      </c>
      <c r="U81" s="2" t="s">
        <v>46</v>
      </c>
      <c r="V81" s="2">
        <v>0</v>
      </c>
      <c r="W81" s="2" t="s">
        <v>38</v>
      </c>
      <c r="X81" s="2">
        <v>20</v>
      </c>
      <c r="Y81" s="2"/>
      <c r="Z81" s="2">
        <v>0</v>
      </c>
      <c r="AA81" s="2" t="s">
        <v>39</v>
      </c>
      <c r="AB81" s="2">
        <v>48</v>
      </c>
      <c r="AC81" s="2">
        <v>0</v>
      </c>
      <c r="AD81" s="2">
        <v>0</v>
      </c>
      <c r="AE81" s="2" t="s">
        <v>47</v>
      </c>
      <c r="AF81" s="3">
        <v>42208</v>
      </c>
    </row>
    <row r="82" spans="1:32" x14ac:dyDescent="0.25">
      <c r="A82" s="2" t="s">
        <v>32</v>
      </c>
      <c r="B82" s="2">
        <v>0</v>
      </c>
      <c r="C82" s="2">
        <v>3</v>
      </c>
      <c r="D82" s="2">
        <v>2015</v>
      </c>
      <c r="E82" s="2" t="s">
        <v>59</v>
      </c>
      <c r="F82" s="2">
        <v>41</v>
      </c>
      <c r="G82" s="2">
        <v>9</v>
      </c>
      <c r="H82" s="2">
        <v>1</v>
      </c>
      <c r="I82" s="2">
        <v>2</v>
      </c>
      <c r="J82" s="2">
        <v>2</v>
      </c>
      <c r="K82" s="2">
        <v>0</v>
      </c>
      <c r="L82" s="2">
        <v>0</v>
      </c>
      <c r="M82" s="2" t="s">
        <v>34</v>
      </c>
      <c r="N82" s="2" t="s">
        <v>56</v>
      </c>
      <c r="O82" s="2" t="s">
        <v>44</v>
      </c>
      <c r="P82" s="2" t="s">
        <v>45</v>
      </c>
      <c r="Q82" s="2">
        <v>0</v>
      </c>
      <c r="R82" s="2">
        <v>0</v>
      </c>
      <c r="S82" s="2">
        <v>0</v>
      </c>
      <c r="T82" s="2" t="s">
        <v>72</v>
      </c>
      <c r="U82" s="2" t="s">
        <v>72</v>
      </c>
      <c r="V82" s="2">
        <v>0</v>
      </c>
      <c r="W82" s="2" t="s">
        <v>38</v>
      </c>
      <c r="X82" s="2">
        <v>240</v>
      </c>
      <c r="Y82" s="2"/>
      <c r="Z82" s="2">
        <v>0</v>
      </c>
      <c r="AA82" s="2" t="s">
        <v>39</v>
      </c>
      <c r="AB82" s="2">
        <v>83.33</v>
      </c>
      <c r="AC82" s="2">
        <v>0</v>
      </c>
      <c r="AD82" s="2">
        <v>2</v>
      </c>
      <c r="AE82" s="2" t="s">
        <v>40</v>
      </c>
      <c r="AF82" s="3">
        <v>42289</v>
      </c>
    </row>
    <row r="83" spans="1:32" x14ac:dyDescent="0.25">
      <c r="A83" s="2" t="s">
        <v>41</v>
      </c>
      <c r="B83" s="2">
        <v>1</v>
      </c>
      <c r="C83" s="2">
        <v>174</v>
      </c>
      <c r="D83" s="2">
        <v>2015</v>
      </c>
      <c r="E83" s="2" t="s">
        <v>59</v>
      </c>
      <c r="F83" s="2">
        <v>41</v>
      </c>
      <c r="G83" s="2">
        <v>10</v>
      </c>
      <c r="H83" s="2">
        <v>1</v>
      </c>
      <c r="I83" s="2">
        <v>1</v>
      </c>
      <c r="J83" s="2">
        <v>2</v>
      </c>
      <c r="K83" s="2">
        <v>0</v>
      </c>
      <c r="L83" s="2">
        <v>0</v>
      </c>
      <c r="M83" s="2" t="s">
        <v>34</v>
      </c>
      <c r="N83" s="2" t="s">
        <v>43</v>
      </c>
      <c r="O83" s="2" t="s">
        <v>49</v>
      </c>
      <c r="P83" s="2" t="s">
        <v>45</v>
      </c>
      <c r="Q83" s="2">
        <v>0</v>
      </c>
      <c r="R83" s="2">
        <v>0</v>
      </c>
      <c r="S83" s="2">
        <v>0</v>
      </c>
      <c r="T83" s="2" t="s">
        <v>46</v>
      </c>
      <c r="U83" s="2" t="s">
        <v>46</v>
      </c>
      <c r="V83" s="2">
        <v>0</v>
      </c>
      <c r="W83" s="2" t="s">
        <v>68</v>
      </c>
      <c r="X83" s="2">
        <v>3</v>
      </c>
      <c r="Y83" s="2"/>
      <c r="Z83" s="2">
        <v>0</v>
      </c>
      <c r="AA83" s="2" t="s">
        <v>39</v>
      </c>
      <c r="AB83" s="2">
        <v>70</v>
      </c>
      <c r="AC83" s="2">
        <v>0</v>
      </c>
      <c r="AD83" s="2">
        <v>0</v>
      </c>
      <c r="AE83" s="2" t="s">
        <v>47</v>
      </c>
      <c r="AF83" s="3">
        <v>42247</v>
      </c>
    </row>
    <row r="84" spans="1:32" x14ac:dyDescent="0.25">
      <c r="A84" s="2" t="s">
        <v>41</v>
      </c>
      <c r="B84" s="2">
        <v>1</v>
      </c>
      <c r="C84" s="2">
        <v>272</v>
      </c>
      <c r="D84" s="2">
        <v>2015</v>
      </c>
      <c r="E84" s="2" t="s">
        <v>42</v>
      </c>
      <c r="F84" s="2">
        <v>29</v>
      </c>
      <c r="G84" s="2">
        <v>16</v>
      </c>
      <c r="H84" s="2">
        <v>0</v>
      </c>
      <c r="I84" s="2">
        <v>2</v>
      </c>
      <c r="J84" s="2">
        <v>2</v>
      </c>
      <c r="K84" s="2">
        <v>0</v>
      </c>
      <c r="L84" s="2">
        <v>0</v>
      </c>
      <c r="M84" s="2" t="s">
        <v>34</v>
      </c>
      <c r="N84" s="2" t="s">
        <v>43</v>
      </c>
      <c r="O84" s="2" t="s">
        <v>64</v>
      </c>
      <c r="P84" s="2" t="s">
        <v>45</v>
      </c>
      <c r="Q84" s="2">
        <v>0</v>
      </c>
      <c r="R84" s="2">
        <v>1</v>
      </c>
      <c r="S84" s="2">
        <v>0</v>
      </c>
      <c r="T84" s="2" t="s">
        <v>46</v>
      </c>
      <c r="U84" s="2" t="s">
        <v>46</v>
      </c>
      <c r="V84" s="2">
        <v>0</v>
      </c>
      <c r="W84" s="2" t="s">
        <v>38</v>
      </c>
      <c r="X84" s="2">
        <v>1</v>
      </c>
      <c r="Y84" s="2"/>
      <c r="Z84" s="2">
        <v>0</v>
      </c>
      <c r="AA84" s="2" t="s">
        <v>73</v>
      </c>
      <c r="AB84" s="2">
        <v>62</v>
      </c>
      <c r="AC84" s="2">
        <v>0</v>
      </c>
      <c r="AD84" s="2">
        <v>0</v>
      </c>
      <c r="AE84" s="2" t="s">
        <v>47</v>
      </c>
      <c r="AF84" s="3">
        <v>42005</v>
      </c>
    </row>
    <row r="85" spans="1:32" x14ac:dyDescent="0.25">
      <c r="A85" s="2" t="s">
        <v>32</v>
      </c>
      <c r="B85" s="2">
        <v>0</v>
      </c>
      <c r="C85" s="2">
        <v>54</v>
      </c>
      <c r="D85" s="2">
        <v>2015</v>
      </c>
      <c r="E85" s="2" t="s">
        <v>62</v>
      </c>
      <c r="F85" s="2">
        <v>36</v>
      </c>
      <c r="G85" s="2">
        <v>5</v>
      </c>
      <c r="H85" s="2">
        <v>2</v>
      </c>
      <c r="I85" s="2">
        <v>5</v>
      </c>
      <c r="J85" s="2">
        <v>2</v>
      </c>
      <c r="K85" s="2">
        <v>0</v>
      </c>
      <c r="L85" s="2">
        <v>0</v>
      </c>
      <c r="M85" s="2" t="s">
        <v>34</v>
      </c>
      <c r="N85" s="2" t="s">
        <v>99</v>
      </c>
      <c r="O85" s="2" t="s">
        <v>36</v>
      </c>
      <c r="P85" s="2" t="s">
        <v>36</v>
      </c>
      <c r="Q85" s="2">
        <v>0</v>
      </c>
      <c r="R85" s="2">
        <v>0</v>
      </c>
      <c r="S85" s="2">
        <v>0</v>
      </c>
      <c r="T85" s="2" t="s">
        <v>46</v>
      </c>
      <c r="U85" s="2" t="s">
        <v>46</v>
      </c>
      <c r="V85" s="2">
        <v>0</v>
      </c>
      <c r="W85" s="2" t="s">
        <v>38</v>
      </c>
      <c r="X85" s="2">
        <v>250</v>
      </c>
      <c r="Y85" s="2"/>
      <c r="Z85" s="2">
        <v>0</v>
      </c>
      <c r="AA85" s="2" t="s">
        <v>39</v>
      </c>
      <c r="AB85" s="2">
        <v>98</v>
      </c>
      <c r="AC85" s="2">
        <v>0</v>
      </c>
      <c r="AD85" s="2">
        <v>2</v>
      </c>
      <c r="AE85" s="2" t="s">
        <v>40</v>
      </c>
      <c r="AF85" s="3">
        <v>42259</v>
      </c>
    </row>
    <row r="86" spans="1:32" x14ac:dyDescent="0.25">
      <c r="A86" s="2" t="s">
        <v>32</v>
      </c>
      <c r="B86" s="2">
        <v>1</v>
      </c>
      <c r="C86" s="2">
        <v>80</v>
      </c>
      <c r="D86" s="2">
        <v>2015</v>
      </c>
      <c r="E86" s="2" t="s">
        <v>67</v>
      </c>
      <c r="F86" s="2">
        <v>31</v>
      </c>
      <c r="G86" s="2">
        <v>1</v>
      </c>
      <c r="H86" s="2">
        <v>4</v>
      </c>
      <c r="I86" s="2">
        <v>6</v>
      </c>
      <c r="J86" s="2">
        <v>2</v>
      </c>
      <c r="K86" s="2">
        <v>2</v>
      </c>
      <c r="L86" s="2">
        <v>0</v>
      </c>
      <c r="M86" s="2" t="s">
        <v>34</v>
      </c>
      <c r="N86" s="2" t="s">
        <v>43</v>
      </c>
      <c r="O86" s="2" t="s">
        <v>44</v>
      </c>
      <c r="P86" s="2" t="s">
        <v>45</v>
      </c>
      <c r="Q86" s="2">
        <v>0</v>
      </c>
      <c r="R86" s="2">
        <v>0</v>
      </c>
      <c r="S86" s="2">
        <v>0</v>
      </c>
      <c r="T86" s="2" t="s">
        <v>104</v>
      </c>
      <c r="U86" s="2" t="s">
        <v>104</v>
      </c>
      <c r="V86" s="2">
        <v>0</v>
      </c>
      <c r="W86" s="2" t="s">
        <v>38</v>
      </c>
      <c r="X86" s="2">
        <v>242</v>
      </c>
      <c r="Y86" s="2"/>
      <c r="Z86" s="2">
        <v>0</v>
      </c>
      <c r="AA86" s="2" t="s">
        <v>39</v>
      </c>
      <c r="AB86" s="2">
        <v>169</v>
      </c>
      <c r="AC86" s="2">
        <v>0</v>
      </c>
      <c r="AD86" s="2">
        <v>1</v>
      </c>
      <c r="AE86" s="2" t="s">
        <v>47</v>
      </c>
      <c r="AF86" s="3">
        <v>42206</v>
      </c>
    </row>
    <row r="87" spans="1:32" x14ac:dyDescent="0.25">
      <c r="A87" s="2" t="s">
        <v>32</v>
      </c>
      <c r="B87" s="2">
        <v>1</v>
      </c>
      <c r="C87" s="2">
        <v>16</v>
      </c>
      <c r="D87" s="2">
        <v>2015</v>
      </c>
      <c r="E87" s="2" t="s">
        <v>42</v>
      </c>
      <c r="F87" s="2">
        <v>30</v>
      </c>
      <c r="G87" s="2">
        <v>25</v>
      </c>
      <c r="H87" s="2">
        <v>1</v>
      </c>
      <c r="I87" s="2">
        <v>1</v>
      </c>
      <c r="J87" s="2">
        <v>2</v>
      </c>
      <c r="K87" s="2">
        <v>0</v>
      </c>
      <c r="L87" s="2">
        <v>0</v>
      </c>
      <c r="M87" s="2" t="s">
        <v>34</v>
      </c>
      <c r="N87" s="2" t="s">
        <v>43</v>
      </c>
      <c r="O87" s="2" t="s">
        <v>36</v>
      </c>
      <c r="P87" s="2" t="s">
        <v>36</v>
      </c>
      <c r="Q87" s="2">
        <v>0</v>
      </c>
      <c r="R87" s="2">
        <v>0</v>
      </c>
      <c r="S87" s="2">
        <v>0</v>
      </c>
      <c r="T87" s="2" t="s">
        <v>46</v>
      </c>
      <c r="U87" s="2" t="s">
        <v>46</v>
      </c>
      <c r="V87" s="2">
        <v>0</v>
      </c>
      <c r="W87" s="2" t="s">
        <v>38</v>
      </c>
      <c r="X87" s="2"/>
      <c r="Y87" s="2"/>
      <c r="Z87" s="2">
        <v>0</v>
      </c>
      <c r="AA87" s="2" t="s">
        <v>39</v>
      </c>
      <c r="AB87" s="2">
        <v>134</v>
      </c>
      <c r="AC87" s="2">
        <v>0</v>
      </c>
      <c r="AD87" s="2">
        <v>0</v>
      </c>
      <c r="AE87" s="2" t="s">
        <v>47</v>
      </c>
      <c r="AF87" s="3">
        <v>42208</v>
      </c>
    </row>
    <row r="88" spans="1:32" x14ac:dyDescent="0.25">
      <c r="A88" s="2" t="s">
        <v>32</v>
      </c>
      <c r="B88" s="2">
        <v>1</v>
      </c>
      <c r="C88" s="2">
        <v>2</v>
      </c>
      <c r="D88" s="2">
        <v>2015</v>
      </c>
      <c r="E88" s="2" t="s">
        <v>59</v>
      </c>
      <c r="F88" s="2">
        <v>42</v>
      </c>
      <c r="G88" s="2">
        <v>14</v>
      </c>
      <c r="H88" s="2">
        <v>0</v>
      </c>
      <c r="I88" s="2">
        <v>1</v>
      </c>
      <c r="J88" s="2">
        <v>1</v>
      </c>
      <c r="K88" s="2">
        <v>0</v>
      </c>
      <c r="L88" s="2">
        <v>0</v>
      </c>
      <c r="M88" s="2" t="s">
        <v>34</v>
      </c>
      <c r="N88" s="2" t="s">
        <v>43</v>
      </c>
      <c r="O88" s="2" t="s">
        <v>76</v>
      </c>
      <c r="P88" s="2" t="s">
        <v>76</v>
      </c>
      <c r="Q88" s="2">
        <v>0</v>
      </c>
      <c r="R88" s="2">
        <v>1</v>
      </c>
      <c r="S88" s="2">
        <v>0</v>
      </c>
      <c r="T88" s="2" t="s">
        <v>46</v>
      </c>
      <c r="U88" s="2" t="s">
        <v>46</v>
      </c>
      <c r="V88" s="2">
        <v>0</v>
      </c>
      <c r="W88" s="2" t="s">
        <v>38</v>
      </c>
      <c r="X88" s="2"/>
      <c r="Y88" s="2"/>
      <c r="Z88" s="2">
        <v>0</v>
      </c>
      <c r="AA88" s="2" t="s">
        <v>39</v>
      </c>
      <c r="AB88" s="2">
        <v>47</v>
      </c>
      <c r="AC88" s="2">
        <v>0</v>
      </c>
      <c r="AD88" s="2">
        <v>0</v>
      </c>
      <c r="AE88" s="2" t="s">
        <v>47</v>
      </c>
      <c r="AF88" s="3">
        <v>42289</v>
      </c>
    </row>
    <row r="89" spans="1:32" x14ac:dyDescent="0.25">
      <c r="A89" s="2" t="s">
        <v>32</v>
      </c>
      <c r="B89" s="2">
        <v>1</v>
      </c>
      <c r="C89" s="2">
        <v>99</v>
      </c>
      <c r="D89" s="2">
        <v>2015</v>
      </c>
      <c r="E89" s="2" t="s">
        <v>59</v>
      </c>
      <c r="F89" s="2">
        <v>43</v>
      </c>
      <c r="G89" s="2">
        <v>24</v>
      </c>
      <c r="H89" s="2">
        <v>1</v>
      </c>
      <c r="I89" s="2">
        <v>1</v>
      </c>
      <c r="J89" s="2">
        <v>2</v>
      </c>
      <c r="K89" s="2">
        <v>0</v>
      </c>
      <c r="L89" s="2">
        <v>0</v>
      </c>
      <c r="M89" s="2" t="s">
        <v>34</v>
      </c>
      <c r="N89" s="2" t="s">
        <v>43</v>
      </c>
      <c r="O89" s="2" t="s">
        <v>44</v>
      </c>
      <c r="P89" s="2" t="s">
        <v>45</v>
      </c>
      <c r="Q89" s="2">
        <v>0</v>
      </c>
      <c r="R89" s="2">
        <v>0</v>
      </c>
      <c r="S89" s="2">
        <v>0</v>
      </c>
      <c r="T89" s="2" t="s">
        <v>72</v>
      </c>
      <c r="U89" s="2" t="s">
        <v>72</v>
      </c>
      <c r="V89" s="2">
        <v>0</v>
      </c>
      <c r="W89" s="2" t="s">
        <v>38</v>
      </c>
      <c r="X89" s="2">
        <v>240</v>
      </c>
      <c r="Y89" s="2"/>
      <c r="Z89" s="2">
        <v>0</v>
      </c>
      <c r="AA89" s="2" t="s">
        <v>39</v>
      </c>
      <c r="AB89" s="2">
        <v>65</v>
      </c>
      <c r="AC89" s="2">
        <v>0</v>
      </c>
      <c r="AD89" s="2">
        <v>2</v>
      </c>
      <c r="AE89" s="2" t="s">
        <v>47</v>
      </c>
      <c r="AF89" s="3">
        <v>42242</v>
      </c>
    </row>
    <row r="90" spans="1:32" x14ac:dyDescent="0.25">
      <c r="A90" s="2" t="s">
        <v>41</v>
      </c>
      <c r="B90" s="2">
        <v>1</v>
      </c>
      <c r="C90" s="2">
        <v>273</v>
      </c>
      <c r="D90" s="2">
        <v>2015</v>
      </c>
      <c r="E90" s="2" t="s">
        <v>42</v>
      </c>
      <c r="F90" s="2">
        <v>29</v>
      </c>
      <c r="G90" s="2">
        <v>17</v>
      </c>
      <c r="H90" s="2">
        <v>0</v>
      </c>
      <c r="I90" s="2">
        <v>2</v>
      </c>
      <c r="J90" s="2">
        <v>2</v>
      </c>
      <c r="K90" s="2">
        <v>0</v>
      </c>
      <c r="L90" s="2">
        <v>0</v>
      </c>
      <c r="M90" s="2" t="s">
        <v>60</v>
      </c>
      <c r="N90" s="2" t="s">
        <v>43</v>
      </c>
      <c r="O90" s="2" t="s">
        <v>49</v>
      </c>
      <c r="P90" s="2" t="s">
        <v>45</v>
      </c>
      <c r="Q90" s="2">
        <v>0</v>
      </c>
      <c r="R90" s="2">
        <v>1</v>
      </c>
      <c r="S90" s="2">
        <v>0</v>
      </c>
      <c r="T90" s="2" t="s">
        <v>46</v>
      </c>
      <c r="U90" s="2" t="s">
        <v>46</v>
      </c>
      <c r="V90" s="2">
        <v>0</v>
      </c>
      <c r="W90" s="2" t="s">
        <v>38</v>
      </c>
      <c r="X90" s="2">
        <v>6</v>
      </c>
      <c r="Y90" s="2"/>
      <c r="Z90" s="2">
        <v>0</v>
      </c>
      <c r="AA90" s="2" t="s">
        <v>51</v>
      </c>
      <c r="AB90" s="2">
        <v>101.5</v>
      </c>
      <c r="AC90" s="2">
        <v>0</v>
      </c>
      <c r="AD90" s="2">
        <v>0</v>
      </c>
      <c r="AE90" s="2" t="s">
        <v>47</v>
      </c>
      <c r="AF90" s="3">
        <v>42191</v>
      </c>
    </row>
    <row r="91" spans="1:32" x14ac:dyDescent="0.25">
      <c r="A91" s="2" t="s">
        <v>41</v>
      </c>
      <c r="B91" s="2">
        <v>0</v>
      </c>
      <c r="C91" s="2">
        <v>21</v>
      </c>
      <c r="D91" s="2">
        <v>2015</v>
      </c>
      <c r="E91" s="2" t="s">
        <v>62</v>
      </c>
      <c r="F91" s="2">
        <v>36</v>
      </c>
      <c r="G91" s="2">
        <v>3</v>
      </c>
      <c r="H91" s="2">
        <v>0</v>
      </c>
      <c r="I91" s="2">
        <v>2</v>
      </c>
      <c r="J91" s="2">
        <v>2</v>
      </c>
      <c r="K91" s="2">
        <v>0</v>
      </c>
      <c r="L91" s="2">
        <v>0</v>
      </c>
      <c r="M91" s="2" t="s">
        <v>34</v>
      </c>
      <c r="N91" s="2" t="s">
        <v>53</v>
      </c>
      <c r="O91" s="2" t="s">
        <v>44</v>
      </c>
      <c r="P91" s="2" t="s">
        <v>45</v>
      </c>
      <c r="Q91" s="2">
        <v>0</v>
      </c>
      <c r="R91" s="2">
        <v>0</v>
      </c>
      <c r="S91" s="2">
        <v>0</v>
      </c>
      <c r="T91" s="2" t="s">
        <v>46</v>
      </c>
      <c r="U91" s="2" t="s">
        <v>46</v>
      </c>
      <c r="V91" s="2">
        <v>0</v>
      </c>
      <c r="W91" s="2" t="s">
        <v>38</v>
      </c>
      <c r="X91" s="2">
        <v>9</v>
      </c>
      <c r="Y91" s="2"/>
      <c r="Z91" s="2">
        <v>0</v>
      </c>
      <c r="AA91" s="2" t="s">
        <v>73</v>
      </c>
      <c r="AB91" s="2">
        <v>105</v>
      </c>
      <c r="AC91" s="2">
        <v>0</v>
      </c>
      <c r="AD91" s="2">
        <v>0</v>
      </c>
      <c r="AE91" s="2" t="s">
        <v>40</v>
      </c>
      <c r="AF91" s="3">
        <v>42252</v>
      </c>
    </row>
    <row r="92" spans="1:32" x14ac:dyDescent="0.25">
      <c r="A92" s="2" t="s">
        <v>41</v>
      </c>
      <c r="B92" s="2">
        <v>1</v>
      </c>
      <c r="C92" s="2">
        <v>3</v>
      </c>
      <c r="D92" s="2">
        <v>2015</v>
      </c>
      <c r="E92" s="2" t="s">
        <v>67</v>
      </c>
      <c r="F92" s="2">
        <v>34</v>
      </c>
      <c r="G92" s="2">
        <v>17</v>
      </c>
      <c r="H92" s="2">
        <v>1</v>
      </c>
      <c r="I92" s="2">
        <v>3</v>
      </c>
      <c r="J92" s="2">
        <v>2</v>
      </c>
      <c r="K92" s="2">
        <v>0</v>
      </c>
      <c r="L92" s="2">
        <v>0</v>
      </c>
      <c r="M92" s="2" t="s">
        <v>34</v>
      </c>
      <c r="N92" s="2" t="s">
        <v>43</v>
      </c>
      <c r="O92" s="2" t="s">
        <v>76</v>
      </c>
      <c r="P92" s="2" t="s">
        <v>76</v>
      </c>
      <c r="Q92" s="2">
        <v>0</v>
      </c>
      <c r="R92" s="2">
        <v>0</v>
      </c>
      <c r="S92" s="2">
        <v>0</v>
      </c>
      <c r="T92" s="2" t="s">
        <v>46</v>
      </c>
      <c r="U92" s="2" t="s">
        <v>46</v>
      </c>
      <c r="V92" s="2">
        <v>0</v>
      </c>
      <c r="W92" s="2" t="s">
        <v>38</v>
      </c>
      <c r="X92" s="2"/>
      <c r="Y92" s="2">
        <v>38</v>
      </c>
      <c r="Z92" s="2">
        <v>0</v>
      </c>
      <c r="AA92" s="2" t="s">
        <v>39</v>
      </c>
      <c r="AB92" s="2">
        <v>130</v>
      </c>
      <c r="AC92" s="2">
        <v>0</v>
      </c>
      <c r="AD92" s="2">
        <v>0</v>
      </c>
      <c r="AE92" s="2" t="s">
        <v>47</v>
      </c>
      <c r="AF92" s="3">
        <v>42233</v>
      </c>
    </row>
    <row r="93" spans="1:32" x14ac:dyDescent="0.25">
      <c r="A93" s="2" t="s">
        <v>41</v>
      </c>
      <c r="B93" s="2">
        <v>1</v>
      </c>
      <c r="C93" s="2">
        <v>6</v>
      </c>
      <c r="D93" s="2">
        <v>2015</v>
      </c>
      <c r="E93" s="2" t="s">
        <v>62</v>
      </c>
      <c r="F93" s="2">
        <v>39</v>
      </c>
      <c r="G93" s="2">
        <v>20</v>
      </c>
      <c r="H93" s="2">
        <v>2</v>
      </c>
      <c r="I93" s="2">
        <v>0</v>
      </c>
      <c r="J93" s="2">
        <v>2</v>
      </c>
      <c r="K93" s="2">
        <v>0</v>
      </c>
      <c r="L93" s="2">
        <v>0</v>
      </c>
      <c r="M93" s="2" t="s">
        <v>34</v>
      </c>
      <c r="N93" s="2" t="s">
        <v>43</v>
      </c>
      <c r="O93" s="2" t="s">
        <v>76</v>
      </c>
      <c r="P93" s="2" t="s">
        <v>76</v>
      </c>
      <c r="Q93" s="2">
        <v>0</v>
      </c>
      <c r="R93" s="2">
        <v>1</v>
      </c>
      <c r="S93" s="2">
        <v>0</v>
      </c>
      <c r="T93" s="2" t="s">
        <v>46</v>
      </c>
      <c r="U93" s="2" t="s">
        <v>46</v>
      </c>
      <c r="V93" s="2">
        <v>0</v>
      </c>
      <c r="W93" s="2" t="s">
        <v>68</v>
      </c>
      <c r="X93" s="2">
        <v>78</v>
      </c>
      <c r="Y93" s="2"/>
      <c r="Z93" s="2">
        <v>0</v>
      </c>
      <c r="AA93" s="2" t="s">
        <v>39</v>
      </c>
      <c r="AB93" s="2">
        <v>100</v>
      </c>
      <c r="AC93" s="2">
        <v>0</v>
      </c>
      <c r="AD93" s="2">
        <v>0</v>
      </c>
      <c r="AE93" s="2" t="s">
        <v>47</v>
      </c>
      <c r="AF93" s="3">
        <v>42262</v>
      </c>
    </row>
    <row r="94" spans="1:32" x14ac:dyDescent="0.25">
      <c r="A94" s="2" t="s">
        <v>41</v>
      </c>
      <c r="B94" s="2">
        <v>0</v>
      </c>
      <c r="C94" s="2">
        <v>0</v>
      </c>
      <c r="D94" s="2">
        <v>2015</v>
      </c>
      <c r="E94" s="2" t="s">
        <v>59</v>
      </c>
      <c r="F94" s="2">
        <v>42</v>
      </c>
      <c r="G94" s="2">
        <v>12</v>
      </c>
      <c r="H94" s="2">
        <v>1</v>
      </c>
      <c r="I94" s="2">
        <v>2</v>
      </c>
      <c r="J94" s="2">
        <v>1</v>
      </c>
      <c r="K94" s="2">
        <v>0</v>
      </c>
      <c r="L94" s="2">
        <v>0</v>
      </c>
      <c r="M94" s="2" t="s">
        <v>34</v>
      </c>
      <c r="N94" s="2" t="s">
        <v>43</v>
      </c>
      <c r="O94" s="2" t="s">
        <v>76</v>
      </c>
      <c r="P94" s="2" t="s">
        <v>76</v>
      </c>
      <c r="Q94" s="2">
        <v>0</v>
      </c>
      <c r="R94" s="2">
        <v>0</v>
      </c>
      <c r="S94" s="2">
        <v>0</v>
      </c>
      <c r="T94" s="2" t="s">
        <v>46</v>
      </c>
      <c r="U94" s="2" t="s">
        <v>46</v>
      </c>
      <c r="V94" s="2">
        <v>0</v>
      </c>
      <c r="W94" s="2" t="s">
        <v>38</v>
      </c>
      <c r="X94" s="2"/>
      <c r="Y94" s="2">
        <v>40</v>
      </c>
      <c r="Z94" s="2">
        <v>0</v>
      </c>
      <c r="AA94" s="2" t="s">
        <v>39</v>
      </c>
      <c r="AB94" s="2">
        <v>65</v>
      </c>
      <c r="AC94" s="2">
        <v>0</v>
      </c>
      <c r="AD94" s="2">
        <v>0</v>
      </c>
      <c r="AE94" s="2" t="s">
        <v>40</v>
      </c>
      <c r="AF94" s="3">
        <v>42292</v>
      </c>
    </row>
    <row r="95" spans="1:32" x14ac:dyDescent="0.25">
      <c r="A95" s="2" t="s">
        <v>32</v>
      </c>
      <c r="B95" s="2">
        <v>0</v>
      </c>
      <c r="C95" s="2">
        <v>9</v>
      </c>
      <c r="D95" s="2">
        <v>2015</v>
      </c>
      <c r="E95" s="2" t="s">
        <v>59</v>
      </c>
      <c r="F95" s="2">
        <v>42</v>
      </c>
      <c r="G95" s="2">
        <v>14</v>
      </c>
      <c r="H95" s="2">
        <v>1</v>
      </c>
      <c r="I95" s="2">
        <v>4</v>
      </c>
      <c r="J95" s="2">
        <v>2</v>
      </c>
      <c r="K95" s="2">
        <v>0</v>
      </c>
      <c r="L95" s="2">
        <v>0</v>
      </c>
      <c r="M95" s="2" t="s">
        <v>34</v>
      </c>
      <c r="N95" s="2" t="s">
        <v>43</v>
      </c>
      <c r="O95" s="2" t="s">
        <v>44</v>
      </c>
      <c r="P95" s="2" t="s">
        <v>45</v>
      </c>
      <c r="Q95" s="2">
        <v>0</v>
      </c>
      <c r="R95" s="2">
        <v>0</v>
      </c>
      <c r="S95" s="2">
        <v>0</v>
      </c>
      <c r="T95" s="2" t="s">
        <v>46</v>
      </c>
      <c r="U95" s="2" t="s">
        <v>46</v>
      </c>
      <c r="V95" s="2">
        <v>0</v>
      </c>
      <c r="W95" s="2" t="s">
        <v>38</v>
      </c>
      <c r="X95" s="2">
        <v>241</v>
      </c>
      <c r="Y95" s="2"/>
      <c r="Z95" s="2">
        <v>0</v>
      </c>
      <c r="AA95" s="2" t="s">
        <v>39</v>
      </c>
      <c r="AB95" s="2">
        <v>48.2</v>
      </c>
      <c r="AC95" s="2">
        <v>0</v>
      </c>
      <c r="AD95" s="2">
        <v>1</v>
      </c>
      <c r="AE95" s="2" t="s">
        <v>40</v>
      </c>
      <c r="AF95" s="3">
        <v>42296</v>
      </c>
    </row>
    <row r="96" spans="1:32" x14ac:dyDescent="0.25">
      <c r="A96" s="2" t="s">
        <v>32</v>
      </c>
      <c r="B96" s="2">
        <v>0</v>
      </c>
      <c r="C96" s="2">
        <v>8</v>
      </c>
      <c r="D96" s="2">
        <v>2015</v>
      </c>
      <c r="E96" s="2" t="s">
        <v>42</v>
      </c>
      <c r="F96" s="2">
        <v>29</v>
      </c>
      <c r="G96" s="2">
        <v>14</v>
      </c>
      <c r="H96" s="2">
        <v>2</v>
      </c>
      <c r="I96" s="2">
        <v>5</v>
      </c>
      <c r="J96" s="2">
        <v>2</v>
      </c>
      <c r="K96" s="2">
        <v>0</v>
      </c>
      <c r="L96" s="2">
        <v>0</v>
      </c>
      <c r="M96" s="2" t="s">
        <v>60</v>
      </c>
      <c r="N96" s="2" t="s">
        <v>63</v>
      </c>
      <c r="O96" s="2" t="s">
        <v>44</v>
      </c>
      <c r="P96" s="2" t="s">
        <v>45</v>
      </c>
      <c r="Q96" s="2">
        <v>0</v>
      </c>
      <c r="R96" s="2">
        <v>0</v>
      </c>
      <c r="S96" s="2">
        <v>0</v>
      </c>
      <c r="T96" s="2" t="s">
        <v>46</v>
      </c>
      <c r="U96" s="2" t="s">
        <v>46</v>
      </c>
      <c r="V96" s="2">
        <v>1</v>
      </c>
      <c r="W96" s="2" t="s">
        <v>38</v>
      </c>
      <c r="X96" s="2">
        <v>240</v>
      </c>
      <c r="Y96" s="2"/>
      <c r="Z96" s="2">
        <v>0</v>
      </c>
      <c r="AA96" s="2" t="s">
        <v>39</v>
      </c>
      <c r="AB96" s="2">
        <v>168.57</v>
      </c>
      <c r="AC96" s="2">
        <v>0</v>
      </c>
      <c r="AD96" s="2">
        <v>1</v>
      </c>
      <c r="AE96" s="2" t="s">
        <v>40</v>
      </c>
      <c r="AF96" s="3">
        <v>42206</v>
      </c>
    </row>
    <row r="97" spans="1:32" x14ac:dyDescent="0.25">
      <c r="A97" s="2" t="s">
        <v>41</v>
      </c>
      <c r="B97" s="2">
        <v>1</v>
      </c>
      <c r="C97" s="2">
        <v>330</v>
      </c>
      <c r="D97" s="2">
        <v>2015</v>
      </c>
      <c r="E97" s="2" t="s">
        <v>62</v>
      </c>
      <c r="F97" s="2">
        <v>37</v>
      </c>
      <c r="G97" s="2">
        <v>12</v>
      </c>
      <c r="H97" s="2">
        <v>2</v>
      </c>
      <c r="I97" s="2">
        <v>2</v>
      </c>
      <c r="J97" s="2">
        <v>2</v>
      </c>
      <c r="K97" s="2">
        <v>0</v>
      </c>
      <c r="L97" s="2">
        <v>0</v>
      </c>
      <c r="M97" s="2" t="s">
        <v>34</v>
      </c>
      <c r="N97" s="2" t="s">
        <v>43</v>
      </c>
      <c r="O97" s="2" t="s">
        <v>64</v>
      </c>
      <c r="P97" s="2" t="s">
        <v>45</v>
      </c>
      <c r="Q97" s="2">
        <v>0</v>
      </c>
      <c r="R97" s="2">
        <v>1</v>
      </c>
      <c r="S97" s="2">
        <v>0</v>
      </c>
      <c r="T97" s="2" t="s">
        <v>46</v>
      </c>
      <c r="U97" s="2" t="s">
        <v>46</v>
      </c>
      <c r="V97" s="2">
        <v>0</v>
      </c>
      <c r="W97" s="2" t="s">
        <v>38</v>
      </c>
      <c r="X97" s="2">
        <v>1</v>
      </c>
      <c r="Y97" s="2"/>
      <c r="Z97" s="2">
        <v>0</v>
      </c>
      <c r="AA97" s="2" t="s">
        <v>51</v>
      </c>
      <c r="AB97" s="2">
        <v>62</v>
      </c>
      <c r="AC97" s="2">
        <v>0</v>
      </c>
      <c r="AD97" s="2">
        <v>0</v>
      </c>
      <c r="AE97" s="2" t="s">
        <v>47</v>
      </c>
      <c r="AF97" s="3">
        <v>42191</v>
      </c>
    </row>
    <row r="98" spans="1:32" x14ac:dyDescent="0.25">
      <c r="A98" s="2" t="s">
        <v>41</v>
      </c>
      <c r="B98" s="2">
        <v>0</v>
      </c>
      <c r="C98" s="2">
        <v>9</v>
      </c>
      <c r="D98" s="2">
        <v>2015</v>
      </c>
      <c r="E98" s="2" t="s">
        <v>67</v>
      </c>
      <c r="F98" s="2">
        <v>35</v>
      </c>
      <c r="G98" s="2">
        <v>23</v>
      </c>
      <c r="H98" s="2">
        <v>2</v>
      </c>
      <c r="I98" s="2">
        <v>0</v>
      </c>
      <c r="J98" s="2">
        <v>2</v>
      </c>
      <c r="K98" s="2">
        <v>0</v>
      </c>
      <c r="L98" s="2">
        <v>0</v>
      </c>
      <c r="M98" s="2" t="s">
        <v>34</v>
      </c>
      <c r="N98" s="2" t="s">
        <v>63</v>
      </c>
      <c r="O98" s="2" t="s">
        <v>36</v>
      </c>
      <c r="P98" s="2" t="s">
        <v>36</v>
      </c>
      <c r="Q98" s="2">
        <v>0</v>
      </c>
      <c r="R98" s="2">
        <v>0</v>
      </c>
      <c r="S98" s="2">
        <v>0</v>
      </c>
      <c r="T98" s="2" t="s">
        <v>46</v>
      </c>
      <c r="U98" s="2" t="s">
        <v>46</v>
      </c>
      <c r="V98" s="2">
        <v>0</v>
      </c>
      <c r="W98" s="2" t="s">
        <v>38</v>
      </c>
      <c r="X98" s="2">
        <v>14</v>
      </c>
      <c r="Y98" s="2"/>
      <c r="Z98" s="2">
        <v>0</v>
      </c>
      <c r="AA98" s="2" t="s">
        <v>39</v>
      </c>
      <c r="AB98" s="2">
        <v>75</v>
      </c>
      <c r="AC98" s="2">
        <v>0</v>
      </c>
      <c r="AD98" s="2">
        <v>0</v>
      </c>
      <c r="AE98" s="2" t="s">
        <v>40</v>
      </c>
      <c r="AF98" s="3">
        <v>42241</v>
      </c>
    </row>
    <row r="99" spans="1:32" x14ac:dyDescent="0.25">
      <c r="A99" s="2" t="s">
        <v>32</v>
      </c>
      <c r="B99" s="2">
        <v>1</v>
      </c>
      <c r="C99" s="2">
        <v>11</v>
      </c>
      <c r="D99" s="2">
        <v>2015</v>
      </c>
      <c r="E99" s="2" t="s">
        <v>33</v>
      </c>
      <c r="F99" s="2">
        <v>49</v>
      </c>
      <c r="G99" s="2">
        <v>5</v>
      </c>
      <c r="H99" s="2">
        <v>2</v>
      </c>
      <c r="I99" s="2">
        <v>1</v>
      </c>
      <c r="J99" s="2">
        <v>2</v>
      </c>
      <c r="K99" s="2">
        <v>0</v>
      </c>
      <c r="L99" s="2">
        <v>0</v>
      </c>
      <c r="M99" s="2" t="s">
        <v>90</v>
      </c>
      <c r="N99" s="2" t="s">
        <v>43</v>
      </c>
      <c r="O99" s="2" t="s">
        <v>49</v>
      </c>
      <c r="P99" s="2" t="s">
        <v>45</v>
      </c>
      <c r="Q99" s="2">
        <v>0</v>
      </c>
      <c r="R99" s="2">
        <v>1</v>
      </c>
      <c r="S99" s="2">
        <v>0</v>
      </c>
      <c r="T99" s="2" t="s">
        <v>46</v>
      </c>
      <c r="U99" s="2" t="s">
        <v>46</v>
      </c>
      <c r="V99" s="2">
        <v>0</v>
      </c>
      <c r="W99" s="2" t="s">
        <v>38</v>
      </c>
      <c r="X99" s="2"/>
      <c r="Y99" s="2"/>
      <c r="Z99" s="2">
        <v>0</v>
      </c>
      <c r="AA99" s="2" t="s">
        <v>51</v>
      </c>
      <c r="AB99" s="2">
        <v>64</v>
      </c>
      <c r="AC99" s="2">
        <v>0</v>
      </c>
      <c r="AD99" s="2">
        <v>0</v>
      </c>
      <c r="AE99" s="2" t="s">
        <v>47</v>
      </c>
      <c r="AF99" s="3">
        <v>42335</v>
      </c>
    </row>
    <row r="100" spans="1:32" x14ac:dyDescent="0.25">
      <c r="A100" s="2" t="s">
        <v>41</v>
      </c>
      <c r="B100" s="2">
        <v>1</v>
      </c>
      <c r="C100" s="2">
        <v>153</v>
      </c>
      <c r="D100" s="2">
        <v>2015</v>
      </c>
      <c r="E100" s="2" t="s">
        <v>67</v>
      </c>
      <c r="F100" s="2">
        <v>32</v>
      </c>
      <c r="G100" s="2">
        <v>3</v>
      </c>
      <c r="H100" s="2">
        <v>1</v>
      </c>
      <c r="I100" s="2">
        <v>2</v>
      </c>
      <c r="J100" s="2">
        <v>2</v>
      </c>
      <c r="K100" s="2">
        <v>0</v>
      </c>
      <c r="L100" s="2">
        <v>0</v>
      </c>
      <c r="M100" s="2" t="s">
        <v>34</v>
      </c>
      <c r="N100" s="2" t="s">
        <v>43</v>
      </c>
      <c r="O100" s="2" t="s">
        <v>64</v>
      </c>
      <c r="P100" s="2" t="s">
        <v>45</v>
      </c>
      <c r="Q100" s="2">
        <v>0</v>
      </c>
      <c r="R100" s="2">
        <v>1</v>
      </c>
      <c r="S100" s="2">
        <v>0</v>
      </c>
      <c r="T100" s="2" t="s">
        <v>46</v>
      </c>
      <c r="U100" s="2" t="s">
        <v>46</v>
      </c>
      <c r="V100" s="2">
        <v>0</v>
      </c>
      <c r="W100" s="2" t="s">
        <v>68</v>
      </c>
      <c r="X100" s="2">
        <v>1</v>
      </c>
      <c r="Y100" s="2"/>
      <c r="Z100" s="2">
        <v>0</v>
      </c>
      <c r="AA100" s="2" t="s">
        <v>39</v>
      </c>
      <c r="AB100" s="2">
        <v>60</v>
      </c>
      <c r="AC100" s="2">
        <v>0</v>
      </c>
      <c r="AD100" s="2">
        <v>0</v>
      </c>
      <c r="AE100" s="2" t="s">
        <v>47</v>
      </c>
      <c r="AF100" s="3">
        <v>42143</v>
      </c>
    </row>
    <row r="101" spans="1:32" x14ac:dyDescent="0.25">
      <c r="A101" s="2" t="s">
        <v>32</v>
      </c>
      <c r="B101" s="2">
        <v>0</v>
      </c>
      <c r="C101" s="2">
        <v>107</v>
      </c>
      <c r="D101" s="2">
        <v>2015</v>
      </c>
      <c r="E101" s="2" t="s">
        <v>42</v>
      </c>
      <c r="F101" s="2">
        <v>27</v>
      </c>
      <c r="G101" s="2">
        <v>2</v>
      </c>
      <c r="H101" s="2">
        <v>2</v>
      </c>
      <c r="I101" s="2">
        <v>5</v>
      </c>
      <c r="J101" s="2">
        <v>2</v>
      </c>
      <c r="K101" s="2">
        <v>0</v>
      </c>
      <c r="L101" s="2">
        <v>0</v>
      </c>
      <c r="M101" s="2" t="s">
        <v>34</v>
      </c>
      <c r="N101" s="2" t="s">
        <v>43</v>
      </c>
      <c r="O101" s="2" t="s">
        <v>44</v>
      </c>
      <c r="P101" s="2" t="s">
        <v>45</v>
      </c>
      <c r="Q101" s="2">
        <v>0</v>
      </c>
      <c r="R101" s="2">
        <v>0</v>
      </c>
      <c r="S101" s="2">
        <v>0</v>
      </c>
      <c r="T101" s="2" t="s">
        <v>46</v>
      </c>
      <c r="U101" s="2" t="s">
        <v>46</v>
      </c>
      <c r="V101" s="2">
        <v>0</v>
      </c>
      <c r="W101" s="2" t="s">
        <v>38</v>
      </c>
      <c r="X101" s="2">
        <v>240</v>
      </c>
      <c r="Y101" s="2"/>
      <c r="Z101" s="2">
        <v>0</v>
      </c>
      <c r="AA101" s="2" t="s">
        <v>39</v>
      </c>
      <c r="AB101" s="2">
        <v>110.7</v>
      </c>
      <c r="AC101" s="2">
        <v>0</v>
      </c>
      <c r="AD101" s="2">
        <v>2</v>
      </c>
      <c r="AE101" s="2" t="s">
        <v>40</v>
      </c>
      <c r="AF101" s="3">
        <v>42194</v>
      </c>
    </row>
    <row r="102" spans="1:32" x14ac:dyDescent="0.25">
      <c r="A102" s="2" t="s">
        <v>41</v>
      </c>
      <c r="B102" s="2">
        <v>0</v>
      </c>
      <c r="C102" s="2">
        <v>80</v>
      </c>
      <c r="D102" s="2">
        <v>2015</v>
      </c>
      <c r="E102" s="2" t="s">
        <v>59</v>
      </c>
      <c r="F102" s="2">
        <v>41</v>
      </c>
      <c r="G102" s="2">
        <v>9</v>
      </c>
      <c r="H102" s="2">
        <v>0</v>
      </c>
      <c r="I102" s="2">
        <v>2</v>
      </c>
      <c r="J102" s="2">
        <v>1</v>
      </c>
      <c r="K102" s="2">
        <v>0</v>
      </c>
      <c r="L102" s="2">
        <v>0</v>
      </c>
      <c r="M102" s="2" t="s">
        <v>60</v>
      </c>
      <c r="N102" s="2" t="s">
        <v>43</v>
      </c>
      <c r="O102" s="2" t="s">
        <v>49</v>
      </c>
      <c r="P102" s="2" t="s">
        <v>45</v>
      </c>
      <c r="Q102" s="2">
        <v>0</v>
      </c>
      <c r="R102" s="2">
        <v>0</v>
      </c>
      <c r="S102" s="2">
        <v>0</v>
      </c>
      <c r="T102" s="2" t="s">
        <v>57</v>
      </c>
      <c r="U102" s="2" t="s">
        <v>57</v>
      </c>
      <c r="V102" s="2">
        <v>0</v>
      </c>
      <c r="W102" s="2" t="s">
        <v>38</v>
      </c>
      <c r="X102" s="2">
        <v>12</v>
      </c>
      <c r="Y102" s="2"/>
      <c r="Z102" s="2">
        <v>50</v>
      </c>
      <c r="AA102" s="2" t="s">
        <v>51</v>
      </c>
      <c r="AB102" s="2">
        <v>108</v>
      </c>
      <c r="AC102" s="2">
        <v>0</v>
      </c>
      <c r="AD102" s="2">
        <v>0</v>
      </c>
      <c r="AE102" s="2" t="s">
        <v>40</v>
      </c>
      <c r="AF102" s="3">
        <v>42288</v>
      </c>
    </row>
    <row r="103" spans="1:32" x14ac:dyDescent="0.25">
      <c r="A103" s="2" t="s">
        <v>32</v>
      </c>
      <c r="B103" s="2">
        <v>0</v>
      </c>
      <c r="C103" s="2">
        <v>32</v>
      </c>
      <c r="D103" s="2">
        <v>2015</v>
      </c>
      <c r="E103" s="2" t="s">
        <v>67</v>
      </c>
      <c r="F103" s="2">
        <v>34</v>
      </c>
      <c r="G103" s="2">
        <v>21</v>
      </c>
      <c r="H103" s="2">
        <v>2</v>
      </c>
      <c r="I103" s="2">
        <v>4</v>
      </c>
      <c r="J103" s="2">
        <v>2</v>
      </c>
      <c r="K103" s="2">
        <v>0</v>
      </c>
      <c r="L103" s="2">
        <v>0</v>
      </c>
      <c r="M103" s="2" t="s">
        <v>34</v>
      </c>
      <c r="N103" s="2" t="s">
        <v>103</v>
      </c>
      <c r="O103" s="2" t="s">
        <v>44</v>
      </c>
      <c r="P103" s="2" t="s">
        <v>45</v>
      </c>
      <c r="Q103" s="2">
        <v>0</v>
      </c>
      <c r="R103" s="2">
        <v>0</v>
      </c>
      <c r="S103" s="2">
        <v>0</v>
      </c>
      <c r="T103" s="2" t="s">
        <v>46</v>
      </c>
      <c r="U103" s="2" t="s">
        <v>46</v>
      </c>
      <c r="V103" s="2">
        <v>0</v>
      </c>
      <c r="W103" s="2" t="s">
        <v>38</v>
      </c>
      <c r="X103" s="2">
        <v>240</v>
      </c>
      <c r="Y103" s="2"/>
      <c r="Z103" s="2">
        <v>0</v>
      </c>
      <c r="AA103" s="2" t="s">
        <v>39</v>
      </c>
      <c r="AB103" s="2">
        <v>178.33</v>
      </c>
      <c r="AC103" s="2">
        <v>0</v>
      </c>
      <c r="AD103" s="2">
        <v>2</v>
      </c>
      <c r="AE103" s="2" t="s">
        <v>40</v>
      </c>
      <c r="AF103" s="3">
        <v>42243</v>
      </c>
    </row>
    <row r="104" spans="1:32" x14ac:dyDescent="0.25">
      <c r="A104" s="2" t="s">
        <v>41</v>
      </c>
      <c r="B104" s="2">
        <v>0</v>
      </c>
      <c r="C104" s="2">
        <v>55</v>
      </c>
      <c r="D104" s="2">
        <v>2015</v>
      </c>
      <c r="E104" s="2" t="s">
        <v>62</v>
      </c>
      <c r="F104" s="2">
        <v>37</v>
      </c>
      <c r="G104" s="2">
        <v>6</v>
      </c>
      <c r="H104" s="2">
        <v>2</v>
      </c>
      <c r="I104" s="2">
        <v>0</v>
      </c>
      <c r="J104" s="2">
        <v>2</v>
      </c>
      <c r="K104" s="2">
        <v>0</v>
      </c>
      <c r="L104" s="2">
        <v>0</v>
      </c>
      <c r="M104" s="2" t="s">
        <v>34</v>
      </c>
      <c r="N104" s="2" t="s">
        <v>63</v>
      </c>
      <c r="O104" s="2" t="s">
        <v>64</v>
      </c>
      <c r="P104" s="2" t="s">
        <v>45</v>
      </c>
      <c r="Q104" s="2">
        <v>0</v>
      </c>
      <c r="R104" s="2">
        <v>0</v>
      </c>
      <c r="S104" s="2">
        <v>0</v>
      </c>
      <c r="T104" s="2" t="s">
        <v>46</v>
      </c>
      <c r="U104" s="2" t="s">
        <v>46</v>
      </c>
      <c r="V104" s="2">
        <v>0</v>
      </c>
      <c r="W104" s="2" t="s">
        <v>38</v>
      </c>
      <c r="X104" s="2">
        <v>1</v>
      </c>
      <c r="Y104" s="2"/>
      <c r="Z104" s="2">
        <v>0</v>
      </c>
      <c r="AA104" s="2" t="s">
        <v>51</v>
      </c>
      <c r="AB104" s="2">
        <v>75</v>
      </c>
      <c r="AC104" s="2">
        <v>0</v>
      </c>
      <c r="AD104" s="2">
        <v>0</v>
      </c>
      <c r="AE104" s="2" t="s">
        <v>40</v>
      </c>
      <c r="AF104" s="3">
        <v>42255</v>
      </c>
    </row>
    <row r="105" spans="1:32" x14ac:dyDescent="0.25">
      <c r="A105" s="2" t="s">
        <v>41</v>
      </c>
      <c r="B105" s="2">
        <v>0</v>
      </c>
      <c r="C105" s="2">
        <v>5</v>
      </c>
      <c r="D105" s="2">
        <v>2015</v>
      </c>
      <c r="E105" s="2" t="s">
        <v>33</v>
      </c>
      <c r="F105" s="2">
        <v>52</v>
      </c>
      <c r="G105" s="2">
        <v>22</v>
      </c>
      <c r="H105" s="2">
        <v>0</v>
      </c>
      <c r="I105" s="2">
        <v>5</v>
      </c>
      <c r="J105" s="2">
        <v>0</v>
      </c>
      <c r="K105" s="2">
        <v>2</v>
      </c>
      <c r="L105" s="2">
        <v>0</v>
      </c>
      <c r="M105" s="2" t="s">
        <v>34</v>
      </c>
      <c r="N105" s="2" t="s">
        <v>43</v>
      </c>
      <c r="O105" s="2" t="s">
        <v>116</v>
      </c>
      <c r="P105" s="2" t="s">
        <v>36</v>
      </c>
      <c r="Q105" s="2">
        <v>0</v>
      </c>
      <c r="R105" s="2">
        <v>0</v>
      </c>
      <c r="S105" s="2">
        <v>0</v>
      </c>
      <c r="T105" s="2" t="s">
        <v>86</v>
      </c>
      <c r="U105" s="2" t="s">
        <v>86</v>
      </c>
      <c r="V105" s="2">
        <v>1</v>
      </c>
      <c r="W105" s="2" t="s">
        <v>38</v>
      </c>
      <c r="X105" s="2"/>
      <c r="Y105" s="2"/>
      <c r="Z105" s="2">
        <v>0</v>
      </c>
      <c r="AA105" s="2" t="s">
        <v>39</v>
      </c>
      <c r="AB105" s="2">
        <v>0</v>
      </c>
      <c r="AC105" s="2">
        <v>0</v>
      </c>
      <c r="AD105" s="2">
        <v>0</v>
      </c>
      <c r="AE105" s="2" t="s">
        <v>40</v>
      </c>
      <c r="AF105" s="3">
        <v>42365</v>
      </c>
    </row>
    <row r="106" spans="1:32" x14ac:dyDescent="0.25">
      <c r="A106" s="2" t="s">
        <v>41</v>
      </c>
      <c r="B106" s="2">
        <v>1</v>
      </c>
      <c r="C106" s="2">
        <v>342</v>
      </c>
      <c r="D106" s="2">
        <v>2015</v>
      </c>
      <c r="E106" s="2" t="s">
        <v>62</v>
      </c>
      <c r="F106" s="2">
        <v>39</v>
      </c>
      <c r="G106" s="2">
        <v>24</v>
      </c>
      <c r="H106" s="2">
        <v>0</v>
      </c>
      <c r="I106" s="2">
        <v>2</v>
      </c>
      <c r="J106" s="2">
        <v>2</v>
      </c>
      <c r="K106" s="2">
        <v>0</v>
      </c>
      <c r="L106" s="2">
        <v>0</v>
      </c>
      <c r="M106" s="2" t="s">
        <v>34</v>
      </c>
      <c r="N106" s="2" t="s">
        <v>43</v>
      </c>
      <c r="O106" s="2" t="s">
        <v>64</v>
      </c>
      <c r="P106" s="2" t="s">
        <v>45</v>
      </c>
      <c r="Q106" s="2">
        <v>0</v>
      </c>
      <c r="R106" s="2">
        <v>1</v>
      </c>
      <c r="S106" s="2">
        <v>0</v>
      </c>
      <c r="T106" s="2" t="s">
        <v>46</v>
      </c>
      <c r="U106" s="2" t="s">
        <v>46</v>
      </c>
      <c r="V106" s="2">
        <v>0</v>
      </c>
      <c r="W106" s="2" t="s">
        <v>68</v>
      </c>
      <c r="X106" s="2">
        <v>1</v>
      </c>
      <c r="Y106" s="2"/>
      <c r="Z106" s="2">
        <v>0</v>
      </c>
      <c r="AA106" s="2" t="s">
        <v>73</v>
      </c>
      <c r="AB106" s="2">
        <v>62</v>
      </c>
      <c r="AC106" s="2">
        <v>0</v>
      </c>
      <c r="AD106" s="2">
        <v>0</v>
      </c>
      <c r="AE106" s="2" t="s">
        <v>47</v>
      </c>
      <c r="AF106" s="3">
        <v>42005</v>
      </c>
    </row>
    <row r="107" spans="1:32" x14ac:dyDescent="0.25">
      <c r="A107" s="2" t="s">
        <v>32</v>
      </c>
      <c r="B107" s="2">
        <v>0</v>
      </c>
      <c r="C107" s="2">
        <v>91</v>
      </c>
      <c r="D107" s="2">
        <v>2015</v>
      </c>
      <c r="E107" s="2" t="s">
        <v>42</v>
      </c>
      <c r="F107" s="2">
        <v>29</v>
      </c>
      <c r="G107" s="2">
        <v>17</v>
      </c>
      <c r="H107" s="2">
        <v>1</v>
      </c>
      <c r="I107" s="2">
        <v>2</v>
      </c>
      <c r="J107" s="2">
        <v>2</v>
      </c>
      <c r="K107" s="2">
        <v>1</v>
      </c>
      <c r="L107" s="2">
        <v>0</v>
      </c>
      <c r="M107" s="2" t="s">
        <v>34</v>
      </c>
      <c r="N107" s="2" t="s">
        <v>119</v>
      </c>
      <c r="O107" s="2" t="s">
        <v>44</v>
      </c>
      <c r="P107" s="2" t="s">
        <v>45</v>
      </c>
      <c r="Q107" s="2">
        <v>0</v>
      </c>
      <c r="R107" s="2">
        <v>0</v>
      </c>
      <c r="S107" s="2">
        <v>0</v>
      </c>
      <c r="T107" s="2" t="s">
        <v>46</v>
      </c>
      <c r="U107" s="2" t="s">
        <v>46</v>
      </c>
      <c r="V107" s="2">
        <v>4</v>
      </c>
      <c r="W107" s="2" t="s">
        <v>38</v>
      </c>
      <c r="X107" s="2">
        <v>240</v>
      </c>
      <c r="Y107" s="2"/>
      <c r="Z107" s="2">
        <v>0</v>
      </c>
      <c r="AA107" s="2" t="s">
        <v>39</v>
      </c>
      <c r="AB107" s="2">
        <v>118.5</v>
      </c>
      <c r="AC107" s="2">
        <v>0</v>
      </c>
      <c r="AD107" s="2">
        <v>3</v>
      </c>
      <c r="AE107" s="2" t="s">
        <v>40</v>
      </c>
      <c r="AF107" s="3">
        <v>42205</v>
      </c>
    </row>
    <row r="108" spans="1:32" x14ac:dyDescent="0.25">
      <c r="A108" s="2" t="s">
        <v>32</v>
      </c>
      <c r="B108" s="2">
        <v>0</v>
      </c>
      <c r="C108" s="2">
        <v>287</v>
      </c>
      <c r="D108" s="2">
        <v>2015</v>
      </c>
      <c r="E108" s="2" t="s">
        <v>59</v>
      </c>
      <c r="F108" s="2">
        <v>42</v>
      </c>
      <c r="G108" s="2">
        <v>15</v>
      </c>
      <c r="H108" s="2">
        <v>1</v>
      </c>
      <c r="I108" s="2">
        <v>3</v>
      </c>
      <c r="J108" s="2">
        <v>1</v>
      </c>
      <c r="K108" s="2">
        <v>0</v>
      </c>
      <c r="L108" s="2">
        <v>0</v>
      </c>
      <c r="M108" s="2" t="s">
        <v>34</v>
      </c>
      <c r="N108" s="2" t="s">
        <v>35</v>
      </c>
      <c r="O108" s="2" t="s">
        <v>64</v>
      </c>
      <c r="P108" s="2" t="s">
        <v>76</v>
      </c>
      <c r="Q108" s="2">
        <v>0</v>
      </c>
      <c r="R108" s="2">
        <v>0</v>
      </c>
      <c r="S108" s="2">
        <v>0</v>
      </c>
      <c r="T108" s="2" t="s">
        <v>46</v>
      </c>
      <c r="U108" s="2" t="s">
        <v>46</v>
      </c>
      <c r="V108" s="2">
        <v>1</v>
      </c>
      <c r="W108" s="2" t="s">
        <v>38</v>
      </c>
      <c r="X108" s="2"/>
      <c r="Y108" s="2">
        <v>223</v>
      </c>
      <c r="Z108" s="2">
        <v>0</v>
      </c>
      <c r="AA108" s="2" t="s">
        <v>51</v>
      </c>
      <c r="AB108" s="2">
        <v>37</v>
      </c>
      <c r="AC108" s="2">
        <v>0</v>
      </c>
      <c r="AD108" s="2">
        <v>0</v>
      </c>
      <c r="AE108" s="2" t="s">
        <v>40</v>
      </c>
      <c r="AF108" s="3">
        <v>42296</v>
      </c>
    </row>
    <row r="109" spans="1:32" x14ac:dyDescent="0.25">
      <c r="A109" s="2" t="s">
        <v>41</v>
      </c>
      <c r="B109" s="2">
        <v>0</v>
      </c>
      <c r="C109" s="2">
        <v>32</v>
      </c>
      <c r="D109" s="2">
        <v>2015</v>
      </c>
      <c r="E109" s="2" t="s">
        <v>61</v>
      </c>
      <c r="F109" s="2">
        <v>47</v>
      </c>
      <c r="G109" s="2">
        <v>20</v>
      </c>
      <c r="H109" s="2">
        <v>0</v>
      </c>
      <c r="I109" s="2">
        <v>2</v>
      </c>
      <c r="J109" s="2">
        <v>1</v>
      </c>
      <c r="K109" s="2">
        <v>0</v>
      </c>
      <c r="L109" s="2">
        <v>0</v>
      </c>
      <c r="M109" s="2" t="s">
        <v>34</v>
      </c>
      <c r="N109" s="2" t="s">
        <v>43</v>
      </c>
      <c r="O109" s="2" t="s">
        <v>49</v>
      </c>
      <c r="P109" s="2" t="s">
        <v>45</v>
      </c>
      <c r="Q109" s="2">
        <v>0</v>
      </c>
      <c r="R109" s="2">
        <v>0</v>
      </c>
      <c r="S109" s="2">
        <v>0</v>
      </c>
      <c r="T109" s="2" t="s">
        <v>46</v>
      </c>
      <c r="U109" s="2" t="s">
        <v>46</v>
      </c>
      <c r="V109" s="2">
        <v>2</v>
      </c>
      <c r="W109" s="2" t="s">
        <v>38</v>
      </c>
      <c r="X109" s="2">
        <v>119</v>
      </c>
      <c r="Y109" s="2"/>
      <c r="Z109" s="2">
        <v>0</v>
      </c>
      <c r="AA109" s="2" t="s">
        <v>51</v>
      </c>
      <c r="AB109" s="2">
        <v>73</v>
      </c>
      <c r="AC109" s="2">
        <v>0</v>
      </c>
      <c r="AD109" s="2">
        <v>0</v>
      </c>
      <c r="AE109" s="2" t="s">
        <v>40</v>
      </c>
      <c r="AF109" s="3">
        <v>42330</v>
      </c>
    </row>
    <row r="110" spans="1:32" x14ac:dyDescent="0.25">
      <c r="A110" s="2" t="s">
        <v>32</v>
      </c>
      <c r="B110" s="2">
        <v>1</v>
      </c>
      <c r="C110" s="2">
        <v>121</v>
      </c>
      <c r="D110" s="2">
        <v>2015</v>
      </c>
      <c r="E110" s="2" t="s">
        <v>33</v>
      </c>
      <c r="F110" s="2">
        <v>49</v>
      </c>
      <c r="G110" s="2">
        <v>4</v>
      </c>
      <c r="H110" s="2">
        <v>0</v>
      </c>
      <c r="I110" s="2">
        <v>1</v>
      </c>
      <c r="J110" s="2">
        <v>2</v>
      </c>
      <c r="K110" s="2">
        <v>0</v>
      </c>
      <c r="L110" s="2">
        <v>0</v>
      </c>
      <c r="M110" s="2" t="s">
        <v>34</v>
      </c>
      <c r="N110" s="2" t="s">
        <v>43</v>
      </c>
      <c r="O110" s="2" t="s">
        <v>44</v>
      </c>
      <c r="P110" s="2" t="s">
        <v>45</v>
      </c>
      <c r="Q110" s="2">
        <v>0</v>
      </c>
      <c r="R110" s="2">
        <v>0</v>
      </c>
      <c r="S110" s="2">
        <v>0</v>
      </c>
      <c r="T110" s="2" t="s">
        <v>72</v>
      </c>
      <c r="U110" s="2" t="s">
        <v>72</v>
      </c>
      <c r="V110" s="2">
        <v>0</v>
      </c>
      <c r="W110" s="2" t="s">
        <v>38</v>
      </c>
      <c r="X110" s="2">
        <v>240</v>
      </c>
      <c r="Y110" s="2"/>
      <c r="Z110" s="2">
        <v>0</v>
      </c>
      <c r="AA110" s="2" t="s">
        <v>39</v>
      </c>
      <c r="AB110" s="2">
        <v>50.4</v>
      </c>
      <c r="AC110" s="2">
        <v>0</v>
      </c>
      <c r="AD110" s="2">
        <v>2</v>
      </c>
      <c r="AE110" s="2" t="s">
        <v>47</v>
      </c>
      <c r="AF110" s="3">
        <v>42233</v>
      </c>
    </row>
    <row r="111" spans="1:32" x14ac:dyDescent="0.25">
      <c r="A111" s="2" t="s">
        <v>41</v>
      </c>
      <c r="B111" s="2">
        <v>0</v>
      </c>
      <c r="C111" s="2">
        <v>152</v>
      </c>
      <c r="D111" s="2">
        <v>2015</v>
      </c>
      <c r="E111" s="2" t="s">
        <v>59</v>
      </c>
      <c r="F111" s="2">
        <v>44</v>
      </c>
      <c r="G111" s="2">
        <v>29</v>
      </c>
      <c r="H111" s="2">
        <v>1</v>
      </c>
      <c r="I111" s="2">
        <v>3</v>
      </c>
      <c r="J111" s="2">
        <v>2</v>
      </c>
      <c r="K111" s="2">
        <v>0</v>
      </c>
      <c r="L111" s="2">
        <v>0</v>
      </c>
      <c r="M111" s="2" t="s">
        <v>34</v>
      </c>
      <c r="N111" s="2" t="s">
        <v>56</v>
      </c>
      <c r="O111" s="2" t="s">
        <v>49</v>
      </c>
      <c r="P111" s="2" t="s">
        <v>45</v>
      </c>
      <c r="Q111" s="2">
        <v>0</v>
      </c>
      <c r="R111" s="2">
        <v>0</v>
      </c>
      <c r="S111" s="2">
        <v>0</v>
      </c>
      <c r="T111" s="2" t="s">
        <v>46</v>
      </c>
      <c r="U111" s="2" t="s">
        <v>46</v>
      </c>
      <c r="V111" s="2">
        <v>0</v>
      </c>
      <c r="W111" s="2" t="s">
        <v>38</v>
      </c>
      <c r="X111" s="2">
        <v>16</v>
      </c>
      <c r="Y111" s="2"/>
      <c r="Z111" s="2">
        <v>0</v>
      </c>
      <c r="AA111" s="2" t="s">
        <v>39</v>
      </c>
      <c r="AB111" s="2">
        <v>56.52</v>
      </c>
      <c r="AC111" s="2">
        <v>0</v>
      </c>
      <c r="AD111" s="2">
        <v>0</v>
      </c>
      <c r="AE111" s="2" t="s">
        <v>40</v>
      </c>
      <c r="AF111" s="3">
        <v>42310</v>
      </c>
    </row>
    <row r="112" spans="1:32" x14ac:dyDescent="0.25">
      <c r="A112" s="2" t="s">
        <v>32</v>
      </c>
      <c r="B112" s="2">
        <v>0</v>
      </c>
      <c r="C112" s="2">
        <v>13</v>
      </c>
      <c r="D112" s="2">
        <v>2015</v>
      </c>
      <c r="E112" s="2" t="s">
        <v>67</v>
      </c>
      <c r="F112" s="2">
        <v>34</v>
      </c>
      <c r="G112" s="2">
        <v>18</v>
      </c>
      <c r="H112" s="2">
        <v>0</v>
      </c>
      <c r="I112" s="2">
        <v>1</v>
      </c>
      <c r="J112" s="2">
        <v>2</v>
      </c>
      <c r="K112" s="2">
        <v>0</v>
      </c>
      <c r="L112" s="2">
        <v>0</v>
      </c>
      <c r="M112" s="2" t="s">
        <v>34</v>
      </c>
      <c r="N112" s="2" t="s">
        <v>43</v>
      </c>
      <c r="O112" s="2" t="s">
        <v>36</v>
      </c>
      <c r="P112" s="2" t="s">
        <v>36</v>
      </c>
      <c r="Q112" s="2">
        <v>0</v>
      </c>
      <c r="R112" s="2">
        <v>0</v>
      </c>
      <c r="S112" s="2">
        <v>0</v>
      </c>
      <c r="T112" s="2" t="s">
        <v>46</v>
      </c>
      <c r="U112" s="2" t="s">
        <v>46</v>
      </c>
      <c r="V112" s="2">
        <v>0</v>
      </c>
      <c r="W112" s="2" t="s">
        <v>38</v>
      </c>
      <c r="X112" s="2">
        <v>250</v>
      </c>
      <c r="Y112" s="2"/>
      <c r="Z112" s="2">
        <v>0</v>
      </c>
      <c r="AA112" s="2" t="s">
        <v>39</v>
      </c>
      <c r="AB112" s="2">
        <v>172</v>
      </c>
      <c r="AC112" s="2">
        <v>0</v>
      </c>
      <c r="AD112" s="2">
        <v>0</v>
      </c>
      <c r="AE112" s="2" t="s">
        <v>40</v>
      </c>
      <c r="AF112" s="3">
        <v>42235</v>
      </c>
    </row>
    <row r="113" spans="1:32" x14ac:dyDescent="0.25">
      <c r="A113" s="2" t="s">
        <v>41</v>
      </c>
      <c r="B113" s="2">
        <v>0</v>
      </c>
      <c r="C113" s="2">
        <v>34</v>
      </c>
      <c r="D113" s="2">
        <v>2015</v>
      </c>
      <c r="E113" s="2" t="s">
        <v>62</v>
      </c>
      <c r="F113" s="2">
        <v>39</v>
      </c>
      <c r="G113" s="2">
        <v>23</v>
      </c>
      <c r="H113" s="2">
        <v>0</v>
      </c>
      <c r="I113" s="2">
        <v>3</v>
      </c>
      <c r="J113" s="2">
        <v>2</v>
      </c>
      <c r="K113" s="2">
        <v>0</v>
      </c>
      <c r="L113" s="2">
        <v>0</v>
      </c>
      <c r="M113" s="2" t="s">
        <v>60</v>
      </c>
      <c r="N113" s="2" t="s">
        <v>63</v>
      </c>
      <c r="O113" s="2" t="s">
        <v>49</v>
      </c>
      <c r="P113" s="2" t="s">
        <v>45</v>
      </c>
      <c r="Q113" s="2">
        <v>0</v>
      </c>
      <c r="R113" s="2">
        <v>0</v>
      </c>
      <c r="S113" s="2">
        <v>0</v>
      </c>
      <c r="T113" s="2" t="s">
        <v>46</v>
      </c>
      <c r="U113" s="2" t="s">
        <v>46</v>
      </c>
      <c r="V113" s="2">
        <v>0</v>
      </c>
      <c r="W113" s="2" t="s">
        <v>38</v>
      </c>
      <c r="X113" s="2">
        <v>52</v>
      </c>
      <c r="Y113" s="2"/>
      <c r="Z113" s="2">
        <v>33</v>
      </c>
      <c r="AA113" s="2" t="s">
        <v>51</v>
      </c>
      <c r="AB113" s="2">
        <v>224.67</v>
      </c>
      <c r="AC113" s="2">
        <v>0</v>
      </c>
      <c r="AD113" s="2">
        <v>0</v>
      </c>
      <c r="AE113" s="2" t="s">
        <v>40</v>
      </c>
      <c r="AF113" s="3">
        <v>42273</v>
      </c>
    </row>
    <row r="114" spans="1:32" x14ac:dyDescent="0.25">
      <c r="A114" s="2" t="s">
        <v>41</v>
      </c>
      <c r="B114" s="2">
        <v>1</v>
      </c>
      <c r="C114" s="2">
        <v>327</v>
      </c>
      <c r="D114" s="2">
        <v>2015</v>
      </c>
      <c r="E114" s="2" t="s">
        <v>62</v>
      </c>
      <c r="F114" s="2">
        <v>37</v>
      </c>
      <c r="G114" s="2">
        <v>9</v>
      </c>
      <c r="H114" s="2">
        <v>0</v>
      </c>
      <c r="I114" s="2">
        <v>2</v>
      </c>
      <c r="J114" s="2">
        <v>2</v>
      </c>
      <c r="K114" s="2">
        <v>0</v>
      </c>
      <c r="L114" s="2">
        <v>0</v>
      </c>
      <c r="M114" s="2" t="s">
        <v>34</v>
      </c>
      <c r="N114" s="2" t="s">
        <v>43</v>
      </c>
      <c r="O114" s="2" t="s">
        <v>64</v>
      </c>
      <c r="P114" s="2" t="s">
        <v>45</v>
      </c>
      <c r="Q114" s="2">
        <v>0</v>
      </c>
      <c r="R114" s="2">
        <v>1</v>
      </c>
      <c r="S114" s="2">
        <v>0</v>
      </c>
      <c r="T114" s="2" t="s">
        <v>46</v>
      </c>
      <c r="U114" s="2" t="s">
        <v>46</v>
      </c>
      <c r="V114" s="2">
        <v>0</v>
      </c>
      <c r="W114" s="2" t="s">
        <v>68</v>
      </c>
      <c r="X114" s="2">
        <v>1</v>
      </c>
      <c r="Y114" s="2"/>
      <c r="Z114" s="2">
        <v>0</v>
      </c>
      <c r="AA114" s="2" t="s">
        <v>51</v>
      </c>
      <c r="AB114" s="2">
        <v>62</v>
      </c>
      <c r="AC114" s="2">
        <v>0</v>
      </c>
      <c r="AD114" s="2">
        <v>0</v>
      </c>
      <c r="AE114" s="2" t="s">
        <v>47</v>
      </c>
      <c r="AF114" s="3">
        <v>42187</v>
      </c>
    </row>
    <row r="115" spans="1:32" x14ac:dyDescent="0.25">
      <c r="A115" s="2" t="s">
        <v>32</v>
      </c>
      <c r="B115" s="2">
        <v>0</v>
      </c>
      <c r="C115" s="2">
        <v>0</v>
      </c>
      <c r="D115" s="2">
        <v>2015</v>
      </c>
      <c r="E115" s="2" t="s">
        <v>59</v>
      </c>
      <c r="F115" s="2">
        <v>40</v>
      </c>
      <c r="G115" s="2">
        <v>3</v>
      </c>
      <c r="H115" s="2">
        <v>0</v>
      </c>
      <c r="I115" s="2">
        <v>1</v>
      </c>
      <c r="J115" s="2">
        <v>1</v>
      </c>
      <c r="K115" s="2">
        <v>0</v>
      </c>
      <c r="L115" s="2">
        <v>0</v>
      </c>
      <c r="M115" s="2" t="s">
        <v>34</v>
      </c>
      <c r="N115" s="2" t="s">
        <v>82</v>
      </c>
      <c r="O115" s="2" t="s">
        <v>36</v>
      </c>
      <c r="P115" s="2" t="s">
        <v>36</v>
      </c>
      <c r="Q115" s="2">
        <v>0</v>
      </c>
      <c r="R115" s="2">
        <v>0</v>
      </c>
      <c r="S115" s="2">
        <v>0</v>
      </c>
      <c r="T115" s="2" t="s">
        <v>46</v>
      </c>
      <c r="U115" s="2" t="s">
        <v>104</v>
      </c>
      <c r="V115" s="2">
        <v>0</v>
      </c>
      <c r="W115" s="2" t="s">
        <v>38</v>
      </c>
      <c r="X115" s="2"/>
      <c r="Y115" s="2"/>
      <c r="Z115" s="2">
        <v>0</v>
      </c>
      <c r="AA115" s="2" t="s">
        <v>39</v>
      </c>
      <c r="AB115" s="2">
        <v>74</v>
      </c>
      <c r="AC115" s="2">
        <v>1</v>
      </c>
      <c r="AD115" s="2">
        <v>0</v>
      </c>
      <c r="AE115" s="2" t="s">
        <v>40</v>
      </c>
      <c r="AF115" s="3">
        <v>42281</v>
      </c>
    </row>
    <row r="116" spans="1:32" x14ac:dyDescent="0.25">
      <c r="A116" s="2" t="s">
        <v>41</v>
      </c>
      <c r="B116" s="2">
        <v>0</v>
      </c>
      <c r="C116" s="2">
        <v>92</v>
      </c>
      <c r="D116" s="2">
        <v>2015</v>
      </c>
      <c r="E116" s="2" t="s">
        <v>61</v>
      </c>
      <c r="F116" s="2">
        <v>48</v>
      </c>
      <c r="G116" s="2">
        <v>26</v>
      </c>
      <c r="H116" s="2">
        <v>0</v>
      </c>
      <c r="I116" s="2">
        <v>3</v>
      </c>
      <c r="J116" s="2">
        <v>2</v>
      </c>
      <c r="K116" s="2">
        <v>0</v>
      </c>
      <c r="L116" s="2">
        <v>0</v>
      </c>
      <c r="M116" s="2" t="s">
        <v>34</v>
      </c>
      <c r="N116" s="2" t="s">
        <v>35</v>
      </c>
      <c r="O116" s="2" t="s">
        <v>49</v>
      </c>
      <c r="P116" s="2" t="s">
        <v>45</v>
      </c>
      <c r="Q116" s="2">
        <v>0</v>
      </c>
      <c r="R116" s="2">
        <v>0</v>
      </c>
      <c r="S116" s="2">
        <v>0</v>
      </c>
      <c r="T116" s="2" t="s">
        <v>46</v>
      </c>
      <c r="U116" s="2" t="s">
        <v>46</v>
      </c>
      <c r="V116" s="2">
        <v>0</v>
      </c>
      <c r="W116" s="2" t="s">
        <v>38</v>
      </c>
      <c r="X116" s="2">
        <v>6</v>
      </c>
      <c r="Y116" s="2"/>
      <c r="Z116" s="2">
        <v>0</v>
      </c>
      <c r="AA116" s="2" t="s">
        <v>39</v>
      </c>
      <c r="AB116" s="2">
        <v>49.07</v>
      </c>
      <c r="AC116" s="2">
        <v>0</v>
      </c>
      <c r="AD116" s="2">
        <v>1</v>
      </c>
      <c r="AE116" s="2" t="s">
        <v>40</v>
      </c>
      <c r="AF116" s="3">
        <v>42337</v>
      </c>
    </row>
    <row r="117" spans="1:32" x14ac:dyDescent="0.25">
      <c r="A117" s="2" t="s">
        <v>41</v>
      </c>
      <c r="B117" s="2">
        <v>1</v>
      </c>
      <c r="C117" s="2">
        <v>279</v>
      </c>
      <c r="D117" s="2">
        <v>2015</v>
      </c>
      <c r="E117" s="2" t="s">
        <v>42</v>
      </c>
      <c r="F117" s="2">
        <v>30</v>
      </c>
      <c r="G117" s="2">
        <v>23</v>
      </c>
      <c r="H117" s="2">
        <v>0</v>
      </c>
      <c r="I117" s="2">
        <v>2</v>
      </c>
      <c r="J117" s="2">
        <v>2</v>
      </c>
      <c r="K117" s="2">
        <v>0</v>
      </c>
      <c r="L117" s="2">
        <v>0</v>
      </c>
      <c r="M117" s="2" t="s">
        <v>34</v>
      </c>
      <c r="N117" s="2" t="s">
        <v>43</v>
      </c>
      <c r="O117" s="2" t="s">
        <v>64</v>
      </c>
      <c r="P117" s="2" t="s">
        <v>45</v>
      </c>
      <c r="Q117" s="2">
        <v>1</v>
      </c>
      <c r="R117" s="2">
        <v>1</v>
      </c>
      <c r="S117" s="2">
        <v>0</v>
      </c>
      <c r="T117" s="2" t="s">
        <v>46</v>
      </c>
      <c r="U117" s="2" t="s">
        <v>46</v>
      </c>
      <c r="V117" s="2">
        <v>0</v>
      </c>
      <c r="W117" s="2" t="s">
        <v>38</v>
      </c>
      <c r="X117" s="2">
        <v>1</v>
      </c>
      <c r="Y117" s="2"/>
      <c r="Z117" s="2">
        <v>0</v>
      </c>
      <c r="AA117" s="2" t="s">
        <v>51</v>
      </c>
      <c r="AB117" s="2">
        <v>62.8</v>
      </c>
      <c r="AC117" s="2">
        <v>0</v>
      </c>
      <c r="AD117" s="2">
        <v>0</v>
      </c>
      <c r="AE117" s="2" t="s">
        <v>47</v>
      </c>
      <c r="AF117" s="3">
        <v>41929</v>
      </c>
    </row>
    <row r="118" spans="1:32" x14ac:dyDescent="0.25">
      <c r="A118" s="2" t="s">
        <v>32</v>
      </c>
      <c r="B118" s="2">
        <v>0</v>
      </c>
      <c r="C118" s="2">
        <v>21</v>
      </c>
      <c r="D118" s="2">
        <v>2015</v>
      </c>
      <c r="E118" s="2" t="s">
        <v>61</v>
      </c>
      <c r="F118" s="2">
        <v>48</v>
      </c>
      <c r="G118" s="2">
        <v>24</v>
      </c>
      <c r="H118" s="2">
        <v>0</v>
      </c>
      <c r="I118" s="2">
        <v>1</v>
      </c>
      <c r="J118" s="2">
        <v>2</v>
      </c>
      <c r="K118" s="2">
        <v>0</v>
      </c>
      <c r="L118" s="2">
        <v>0</v>
      </c>
      <c r="M118" s="2" t="s">
        <v>34</v>
      </c>
      <c r="N118" s="2" t="s">
        <v>63</v>
      </c>
      <c r="O118" s="2" t="s">
        <v>49</v>
      </c>
      <c r="P118" s="2" t="s">
        <v>45</v>
      </c>
      <c r="Q118" s="2">
        <v>0</v>
      </c>
      <c r="R118" s="2">
        <v>0</v>
      </c>
      <c r="S118" s="2">
        <v>0</v>
      </c>
      <c r="T118" s="2" t="s">
        <v>46</v>
      </c>
      <c r="U118" s="2" t="s">
        <v>46</v>
      </c>
      <c r="V118" s="2">
        <v>0</v>
      </c>
      <c r="W118" s="2" t="s">
        <v>38</v>
      </c>
      <c r="X118" s="2">
        <v>314</v>
      </c>
      <c r="Y118" s="2"/>
      <c r="Z118" s="2">
        <v>0</v>
      </c>
      <c r="AA118" s="2" t="s">
        <v>39</v>
      </c>
      <c r="AB118" s="2">
        <v>38.4</v>
      </c>
      <c r="AC118" s="2">
        <v>1</v>
      </c>
      <c r="AD118" s="2">
        <v>2</v>
      </c>
      <c r="AE118" s="2" t="s">
        <v>40</v>
      </c>
      <c r="AF118" s="3">
        <v>42333</v>
      </c>
    </row>
    <row r="119" spans="1:32" x14ac:dyDescent="0.25">
      <c r="A119" s="2" t="s">
        <v>41</v>
      </c>
      <c r="B119" s="2">
        <v>0</v>
      </c>
      <c r="C119" s="2">
        <v>59</v>
      </c>
      <c r="D119" s="2">
        <v>2015</v>
      </c>
      <c r="E119" s="2" t="s">
        <v>59</v>
      </c>
      <c r="F119" s="2">
        <v>42</v>
      </c>
      <c r="G119" s="2">
        <v>15</v>
      </c>
      <c r="H119" s="2">
        <v>2</v>
      </c>
      <c r="I119" s="2">
        <v>3</v>
      </c>
      <c r="J119" s="2">
        <v>2</v>
      </c>
      <c r="K119" s="2">
        <v>0</v>
      </c>
      <c r="L119" s="2">
        <v>0</v>
      </c>
      <c r="M119" s="2" t="s">
        <v>34</v>
      </c>
      <c r="N119" s="2" t="s">
        <v>78</v>
      </c>
      <c r="O119" s="2" t="s">
        <v>49</v>
      </c>
      <c r="P119" s="2" t="s">
        <v>45</v>
      </c>
      <c r="Q119" s="2">
        <v>0</v>
      </c>
      <c r="R119" s="2">
        <v>0</v>
      </c>
      <c r="S119" s="2">
        <v>0</v>
      </c>
      <c r="T119" s="2" t="s">
        <v>46</v>
      </c>
      <c r="U119" s="2" t="s">
        <v>46</v>
      </c>
      <c r="V119" s="2">
        <v>0</v>
      </c>
      <c r="W119" s="2" t="s">
        <v>38</v>
      </c>
      <c r="X119" s="2">
        <v>83</v>
      </c>
      <c r="Y119" s="2"/>
      <c r="Z119" s="2">
        <v>0</v>
      </c>
      <c r="AA119" s="2" t="s">
        <v>73</v>
      </c>
      <c r="AB119" s="2">
        <v>76.5</v>
      </c>
      <c r="AC119" s="2">
        <v>0</v>
      </c>
      <c r="AD119" s="2">
        <v>1</v>
      </c>
      <c r="AE119" s="2" t="s">
        <v>40</v>
      </c>
      <c r="AF119" s="3">
        <v>42297</v>
      </c>
    </row>
    <row r="120" spans="1:32" x14ac:dyDescent="0.25">
      <c r="A120" s="2" t="s">
        <v>41</v>
      </c>
      <c r="B120" s="2">
        <v>0</v>
      </c>
      <c r="C120" s="2">
        <v>102</v>
      </c>
      <c r="D120" s="2">
        <v>2015</v>
      </c>
      <c r="E120" s="2" t="s">
        <v>67</v>
      </c>
      <c r="F120" s="2">
        <v>34</v>
      </c>
      <c r="G120" s="2">
        <v>21</v>
      </c>
      <c r="H120" s="2">
        <v>0</v>
      </c>
      <c r="I120" s="2">
        <v>2</v>
      </c>
      <c r="J120" s="2">
        <v>2</v>
      </c>
      <c r="K120" s="2">
        <v>0</v>
      </c>
      <c r="L120" s="2">
        <v>0</v>
      </c>
      <c r="M120" s="2" t="s">
        <v>34</v>
      </c>
      <c r="N120" s="2" t="s">
        <v>43</v>
      </c>
      <c r="O120" s="2" t="s">
        <v>44</v>
      </c>
      <c r="P120" s="2" t="s">
        <v>45</v>
      </c>
      <c r="Q120" s="2">
        <v>0</v>
      </c>
      <c r="R120" s="2">
        <v>0</v>
      </c>
      <c r="S120" s="2">
        <v>0</v>
      </c>
      <c r="T120" s="2" t="s">
        <v>46</v>
      </c>
      <c r="U120" s="2" t="s">
        <v>46</v>
      </c>
      <c r="V120" s="2">
        <v>0</v>
      </c>
      <c r="W120" s="2" t="s">
        <v>38</v>
      </c>
      <c r="X120" s="2">
        <v>9</v>
      </c>
      <c r="Y120" s="2"/>
      <c r="Z120" s="2">
        <v>0</v>
      </c>
      <c r="AA120" s="2" t="s">
        <v>39</v>
      </c>
      <c r="AB120" s="2">
        <v>76.5</v>
      </c>
      <c r="AC120" s="2">
        <v>0</v>
      </c>
      <c r="AD120" s="2">
        <v>1</v>
      </c>
      <c r="AE120" s="2" t="s">
        <v>40</v>
      </c>
      <c r="AF120" s="3">
        <v>42239</v>
      </c>
    </row>
    <row r="121" spans="1:32" x14ac:dyDescent="0.25">
      <c r="A121" s="2" t="s">
        <v>32</v>
      </c>
      <c r="B121" s="2">
        <v>0</v>
      </c>
      <c r="C121" s="2">
        <v>13</v>
      </c>
      <c r="D121" s="2">
        <v>2015</v>
      </c>
      <c r="E121" s="2" t="s">
        <v>33</v>
      </c>
      <c r="F121" s="2">
        <v>52</v>
      </c>
      <c r="G121" s="2">
        <v>23</v>
      </c>
      <c r="H121" s="2">
        <v>0</v>
      </c>
      <c r="I121" s="2">
        <v>4</v>
      </c>
      <c r="J121" s="2">
        <v>1</v>
      </c>
      <c r="K121" s="2">
        <v>0</v>
      </c>
      <c r="L121" s="2">
        <v>0</v>
      </c>
      <c r="M121" s="2" t="s">
        <v>34</v>
      </c>
      <c r="N121" s="2" t="s">
        <v>70</v>
      </c>
      <c r="O121" s="2" t="s">
        <v>44</v>
      </c>
      <c r="P121" s="2" t="s">
        <v>45</v>
      </c>
      <c r="Q121" s="2">
        <v>0</v>
      </c>
      <c r="R121" s="2">
        <v>0</v>
      </c>
      <c r="S121" s="2">
        <v>0</v>
      </c>
      <c r="T121" s="2" t="s">
        <v>72</v>
      </c>
      <c r="U121" s="2" t="s">
        <v>72</v>
      </c>
      <c r="V121" s="2">
        <v>1</v>
      </c>
      <c r="W121" s="2" t="s">
        <v>38</v>
      </c>
      <c r="X121" s="2">
        <v>240</v>
      </c>
      <c r="Y121" s="2"/>
      <c r="Z121" s="2">
        <v>0</v>
      </c>
      <c r="AA121" s="2" t="s">
        <v>39</v>
      </c>
      <c r="AB121" s="2">
        <v>73.75</v>
      </c>
      <c r="AC121" s="2">
        <v>0</v>
      </c>
      <c r="AD121" s="2">
        <v>1</v>
      </c>
      <c r="AE121" s="2" t="s">
        <v>40</v>
      </c>
      <c r="AF121" s="3">
        <v>42365</v>
      </c>
    </row>
    <row r="122" spans="1:32" x14ac:dyDescent="0.25">
      <c r="A122" s="2" t="s">
        <v>32</v>
      </c>
      <c r="B122" s="2">
        <v>0</v>
      </c>
      <c r="C122" s="2">
        <v>134</v>
      </c>
      <c r="D122" s="2">
        <v>2015</v>
      </c>
      <c r="E122" s="2" t="s">
        <v>67</v>
      </c>
      <c r="F122" s="2">
        <v>35</v>
      </c>
      <c r="G122" s="2">
        <v>29</v>
      </c>
      <c r="H122" s="2">
        <v>2</v>
      </c>
      <c r="I122" s="2">
        <v>3</v>
      </c>
      <c r="J122" s="2">
        <v>2</v>
      </c>
      <c r="K122" s="2">
        <v>0</v>
      </c>
      <c r="L122" s="2">
        <v>0</v>
      </c>
      <c r="M122" s="2" t="s">
        <v>34</v>
      </c>
      <c r="N122" s="2" t="s">
        <v>43</v>
      </c>
      <c r="O122" s="2" t="s">
        <v>44</v>
      </c>
      <c r="P122" s="2" t="s">
        <v>45</v>
      </c>
      <c r="Q122" s="2">
        <v>0</v>
      </c>
      <c r="R122" s="2">
        <v>0</v>
      </c>
      <c r="S122" s="2">
        <v>0</v>
      </c>
      <c r="T122" s="2" t="s">
        <v>72</v>
      </c>
      <c r="U122" s="2" t="s">
        <v>72</v>
      </c>
      <c r="V122" s="2">
        <v>0</v>
      </c>
      <c r="W122" s="2" t="s">
        <v>38</v>
      </c>
      <c r="X122" s="2">
        <v>240</v>
      </c>
      <c r="Y122" s="2"/>
      <c r="Z122" s="2">
        <v>0</v>
      </c>
      <c r="AA122" s="2" t="s">
        <v>39</v>
      </c>
      <c r="AB122" s="2">
        <v>140</v>
      </c>
      <c r="AC122" s="2">
        <v>0</v>
      </c>
      <c r="AD122" s="2">
        <v>2</v>
      </c>
      <c r="AE122" s="2" t="s">
        <v>40</v>
      </c>
      <c r="AF122" s="3">
        <v>42250</v>
      </c>
    </row>
    <row r="123" spans="1:32" x14ac:dyDescent="0.25">
      <c r="A123" s="2" t="s">
        <v>32</v>
      </c>
      <c r="B123" s="2">
        <v>1</v>
      </c>
      <c r="C123" s="2">
        <v>52</v>
      </c>
      <c r="D123" s="2">
        <v>2015</v>
      </c>
      <c r="E123" s="2" t="s">
        <v>67</v>
      </c>
      <c r="F123" s="2">
        <v>32</v>
      </c>
      <c r="G123" s="2">
        <v>3</v>
      </c>
      <c r="H123" s="2">
        <v>1</v>
      </c>
      <c r="I123" s="2">
        <v>4</v>
      </c>
      <c r="J123" s="2">
        <v>2</v>
      </c>
      <c r="K123" s="2">
        <v>0</v>
      </c>
      <c r="L123" s="2">
        <v>0</v>
      </c>
      <c r="M123" s="2" t="s">
        <v>34</v>
      </c>
      <c r="N123" s="2" t="s">
        <v>43</v>
      </c>
      <c r="O123" s="2" t="s">
        <v>44</v>
      </c>
      <c r="P123" s="2" t="s">
        <v>45</v>
      </c>
      <c r="Q123" s="2">
        <v>0</v>
      </c>
      <c r="R123" s="2">
        <v>0</v>
      </c>
      <c r="S123" s="2">
        <v>0</v>
      </c>
      <c r="T123" s="2" t="s">
        <v>57</v>
      </c>
      <c r="U123" s="2" t="s">
        <v>57</v>
      </c>
      <c r="V123" s="2">
        <v>0</v>
      </c>
      <c r="W123" s="2" t="s">
        <v>38</v>
      </c>
      <c r="X123" s="2">
        <v>240</v>
      </c>
      <c r="Y123" s="2"/>
      <c r="Z123" s="2">
        <v>0</v>
      </c>
      <c r="AA123" s="2" t="s">
        <v>39</v>
      </c>
      <c r="AB123" s="2">
        <v>173</v>
      </c>
      <c r="AC123" s="2">
        <v>0</v>
      </c>
      <c r="AD123" s="2">
        <v>0</v>
      </c>
      <c r="AE123" s="2" t="s">
        <v>47</v>
      </c>
      <c r="AF123" s="3">
        <v>42198</v>
      </c>
    </row>
    <row r="124" spans="1:32" x14ac:dyDescent="0.25">
      <c r="A124" s="2" t="s">
        <v>41</v>
      </c>
      <c r="B124" s="2">
        <v>0</v>
      </c>
      <c r="C124" s="2">
        <v>5</v>
      </c>
      <c r="D124" s="2">
        <v>2015</v>
      </c>
      <c r="E124" s="2" t="s">
        <v>62</v>
      </c>
      <c r="F124" s="2">
        <v>37</v>
      </c>
      <c r="G124" s="2">
        <v>9</v>
      </c>
      <c r="H124" s="2">
        <v>0</v>
      </c>
      <c r="I124" s="2">
        <v>2</v>
      </c>
      <c r="J124" s="2">
        <v>1</v>
      </c>
      <c r="K124" s="2">
        <v>0</v>
      </c>
      <c r="L124" s="2">
        <v>0</v>
      </c>
      <c r="M124" s="2" t="s">
        <v>34</v>
      </c>
      <c r="N124" s="2" t="s">
        <v>56</v>
      </c>
      <c r="O124" s="2" t="s">
        <v>44</v>
      </c>
      <c r="P124" s="2" t="s">
        <v>45</v>
      </c>
      <c r="Q124" s="2">
        <v>0</v>
      </c>
      <c r="R124" s="2">
        <v>0</v>
      </c>
      <c r="S124" s="2">
        <v>0</v>
      </c>
      <c r="T124" s="2" t="s">
        <v>46</v>
      </c>
      <c r="U124" s="2" t="s">
        <v>46</v>
      </c>
      <c r="V124" s="2">
        <v>0</v>
      </c>
      <c r="W124" s="2" t="s">
        <v>38</v>
      </c>
      <c r="X124" s="2">
        <v>9</v>
      </c>
      <c r="Y124" s="2"/>
      <c r="Z124" s="2">
        <v>0</v>
      </c>
      <c r="AA124" s="2" t="s">
        <v>73</v>
      </c>
      <c r="AB124" s="2">
        <v>114</v>
      </c>
      <c r="AC124" s="2">
        <v>0</v>
      </c>
      <c r="AD124" s="2">
        <v>2</v>
      </c>
      <c r="AE124" s="2" t="s">
        <v>40</v>
      </c>
      <c r="AF124" s="3">
        <v>42258</v>
      </c>
    </row>
    <row r="125" spans="1:32" x14ac:dyDescent="0.25">
      <c r="A125" s="2" t="s">
        <v>41</v>
      </c>
      <c r="B125" s="2">
        <v>0</v>
      </c>
      <c r="C125" s="2">
        <v>6</v>
      </c>
      <c r="D125" s="2">
        <v>2015</v>
      </c>
      <c r="E125" s="2" t="s">
        <v>59</v>
      </c>
      <c r="F125" s="2">
        <v>42</v>
      </c>
      <c r="G125" s="2">
        <v>11</v>
      </c>
      <c r="H125" s="2">
        <v>2</v>
      </c>
      <c r="I125" s="2">
        <v>1</v>
      </c>
      <c r="J125" s="2">
        <v>1</v>
      </c>
      <c r="K125" s="2">
        <v>0</v>
      </c>
      <c r="L125" s="2">
        <v>0</v>
      </c>
      <c r="M125" s="2" t="s">
        <v>34</v>
      </c>
      <c r="N125" s="2" t="s">
        <v>35</v>
      </c>
      <c r="O125" s="2" t="s">
        <v>44</v>
      </c>
      <c r="P125" s="2" t="s">
        <v>45</v>
      </c>
      <c r="Q125" s="2">
        <v>0</v>
      </c>
      <c r="R125" s="2">
        <v>0</v>
      </c>
      <c r="S125" s="2">
        <v>0</v>
      </c>
      <c r="T125" s="2" t="s">
        <v>46</v>
      </c>
      <c r="U125" s="2" t="s">
        <v>46</v>
      </c>
      <c r="V125" s="2">
        <v>0</v>
      </c>
      <c r="W125" s="2" t="s">
        <v>38</v>
      </c>
      <c r="X125" s="2">
        <v>7</v>
      </c>
      <c r="Y125" s="2"/>
      <c r="Z125" s="2">
        <v>0</v>
      </c>
      <c r="AA125" s="2" t="s">
        <v>39</v>
      </c>
      <c r="AB125" s="2">
        <v>97.02</v>
      </c>
      <c r="AC125" s="2">
        <v>0</v>
      </c>
      <c r="AD125" s="2">
        <v>2</v>
      </c>
      <c r="AE125" s="2" t="s">
        <v>40</v>
      </c>
      <c r="AF125" s="3">
        <v>42291</v>
      </c>
    </row>
    <row r="126" spans="1:32" x14ac:dyDescent="0.25">
      <c r="A126" s="2" t="s">
        <v>41</v>
      </c>
      <c r="B126" s="2">
        <v>0</v>
      </c>
      <c r="C126" s="2">
        <v>19</v>
      </c>
      <c r="D126" s="2">
        <v>2015</v>
      </c>
      <c r="E126" s="2" t="s">
        <v>59</v>
      </c>
      <c r="F126" s="2">
        <v>41</v>
      </c>
      <c r="G126" s="2">
        <v>6</v>
      </c>
      <c r="H126" s="2">
        <v>0</v>
      </c>
      <c r="I126" s="2">
        <v>3</v>
      </c>
      <c r="J126" s="2">
        <v>2</v>
      </c>
      <c r="K126" s="2">
        <v>0</v>
      </c>
      <c r="L126" s="2">
        <v>0</v>
      </c>
      <c r="M126" s="2" t="s">
        <v>34</v>
      </c>
      <c r="N126" s="2" t="s">
        <v>43</v>
      </c>
      <c r="O126" s="2" t="s">
        <v>49</v>
      </c>
      <c r="P126" s="2" t="s">
        <v>45</v>
      </c>
      <c r="Q126" s="2">
        <v>1</v>
      </c>
      <c r="R126" s="2">
        <v>0</v>
      </c>
      <c r="S126" s="2">
        <v>0</v>
      </c>
      <c r="T126" s="2" t="s">
        <v>46</v>
      </c>
      <c r="U126" s="2" t="s">
        <v>46</v>
      </c>
      <c r="V126" s="2">
        <v>0</v>
      </c>
      <c r="W126" s="2" t="s">
        <v>38</v>
      </c>
      <c r="X126" s="2">
        <v>82</v>
      </c>
      <c r="Y126" s="2"/>
      <c r="Z126" s="2">
        <v>0</v>
      </c>
      <c r="AA126" s="2" t="s">
        <v>51</v>
      </c>
      <c r="AB126" s="2">
        <v>90</v>
      </c>
      <c r="AC126" s="2">
        <v>0</v>
      </c>
      <c r="AD126" s="2">
        <v>0</v>
      </c>
      <c r="AE126" s="2" t="s">
        <v>40</v>
      </c>
      <c r="AF126" s="3">
        <v>42286</v>
      </c>
    </row>
    <row r="127" spans="1:32" x14ac:dyDescent="0.25">
      <c r="A127" s="2" t="s">
        <v>32</v>
      </c>
      <c r="B127" s="2">
        <v>0</v>
      </c>
      <c r="C127" s="2">
        <v>5</v>
      </c>
      <c r="D127" s="2">
        <v>2015</v>
      </c>
      <c r="E127" s="2" t="s">
        <v>61</v>
      </c>
      <c r="F127" s="2">
        <v>48</v>
      </c>
      <c r="G127" s="2">
        <v>22</v>
      </c>
      <c r="H127" s="2">
        <v>2</v>
      </c>
      <c r="I127" s="2">
        <v>0</v>
      </c>
      <c r="J127" s="2">
        <v>1</v>
      </c>
      <c r="K127" s="2">
        <v>0</v>
      </c>
      <c r="L127" s="2">
        <v>0</v>
      </c>
      <c r="M127" s="2" t="s">
        <v>34</v>
      </c>
      <c r="N127" s="2" t="s">
        <v>71</v>
      </c>
      <c r="O127" s="2" t="s">
        <v>44</v>
      </c>
      <c r="P127" s="2" t="s">
        <v>45</v>
      </c>
      <c r="Q127" s="2">
        <v>0</v>
      </c>
      <c r="R127" s="2">
        <v>0</v>
      </c>
      <c r="S127" s="2">
        <v>0</v>
      </c>
      <c r="T127" s="2" t="s">
        <v>46</v>
      </c>
      <c r="U127" s="2" t="s">
        <v>57</v>
      </c>
      <c r="V127" s="2">
        <v>0</v>
      </c>
      <c r="W127" s="2" t="s">
        <v>38</v>
      </c>
      <c r="X127" s="2">
        <v>240</v>
      </c>
      <c r="Y127" s="2"/>
      <c r="Z127" s="2">
        <v>0</v>
      </c>
      <c r="AA127" s="2" t="s">
        <v>39</v>
      </c>
      <c r="AB127" s="2">
        <v>40</v>
      </c>
      <c r="AC127" s="2">
        <v>0</v>
      </c>
      <c r="AD127" s="2">
        <v>1</v>
      </c>
      <c r="AE127" s="2" t="s">
        <v>40</v>
      </c>
      <c r="AF127" s="3">
        <v>42332</v>
      </c>
    </row>
    <row r="128" spans="1:32" x14ac:dyDescent="0.25">
      <c r="A128" s="2" t="s">
        <v>41</v>
      </c>
      <c r="B128" s="2">
        <v>1</v>
      </c>
      <c r="C128" s="2">
        <v>0</v>
      </c>
      <c r="D128" s="2">
        <v>2015</v>
      </c>
      <c r="E128" s="2" t="s">
        <v>62</v>
      </c>
      <c r="F128" s="2">
        <v>39</v>
      </c>
      <c r="G128" s="2">
        <v>26</v>
      </c>
      <c r="H128" s="2">
        <v>0</v>
      </c>
      <c r="I128" s="2">
        <v>1</v>
      </c>
      <c r="J128" s="2">
        <v>2</v>
      </c>
      <c r="K128" s="2">
        <v>0</v>
      </c>
      <c r="L128" s="2">
        <v>0</v>
      </c>
      <c r="M128" s="2" t="s">
        <v>34</v>
      </c>
      <c r="N128" s="2" t="s">
        <v>43</v>
      </c>
      <c r="O128" s="2" t="s">
        <v>36</v>
      </c>
      <c r="P128" s="2" t="s">
        <v>36</v>
      </c>
      <c r="Q128" s="2">
        <v>1</v>
      </c>
      <c r="R128" s="2">
        <v>0</v>
      </c>
      <c r="S128" s="2">
        <v>0</v>
      </c>
      <c r="T128" s="2" t="s">
        <v>46</v>
      </c>
      <c r="U128" s="2" t="s">
        <v>46</v>
      </c>
      <c r="V128" s="2">
        <v>0</v>
      </c>
      <c r="W128" s="2" t="s">
        <v>38</v>
      </c>
      <c r="X128" s="2"/>
      <c r="Y128" s="2"/>
      <c r="Z128" s="2">
        <v>0</v>
      </c>
      <c r="AA128" s="2" t="s">
        <v>39</v>
      </c>
      <c r="AB128" s="2">
        <v>170</v>
      </c>
      <c r="AC128" s="2">
        <v>0</v>
      </c>
      <c r="AD128" s="2">
        <v>0</v>
      </c>
      <c r="AE128" s="2" t="s">
        <v>89</v>
      </c>
      <c r="AF128" s="3">
        <v>42273</v>
      </c>
    </row>
    <row r="129" spans="1:32" x14ac:dyDescent="0.25">
      <c r="A129" s="2" t="s">
        <v>41</v>
      </c>
      <c r="B129" s="2">
        <v>0</v>
      </c>
      <c r="C129" s="2">
        <v>8</v>
      </c>
      <c r="D129" s="2">
        <v>2015</v>
      </c>
      <c r="E129" s="2" t="s">
        <v>62</v>
      </c>
      <c r="F129" s="2">
        <v>40</v>
      </c>
      <c r="G129" s="2">
        <v>29</v>
      </c>
      <c r="H129" s="2">
        <v>0</v>
      </c>
      <c r="I129" s="2">
        <v>3</v>
      </c>
      <c r="J129" s="2">
        <v>1</v>
      </c>
      <c r="K129" s="2">
        <v>0</v>
      </c>
      <c r="L129" s="2">
        <v>0</v>
      </c>
      <c r="M129" s="2" t="s">
        <v>34</v>
      </c>
      <c r="N129" s="2" t="s">
        <v>43</v>
      </c>
      <c r="O129" s="2" t="s">
        <v>76</v>
      </c>
      <c r="P129" s="2" t="s">
        <v>76</v>
      </c>
      <c r="Q129" s="2">
        <v>0</v>
      </c>
      <c r="R129" s="2">
        <v>0</v>
      </c>
      <c r="S129" s="2">
        <v>0</v>
      </c>
      <c r="T129" s="2" t="s">
        <v>46</v>
      </c>
      <c r="U129" s="2" t="s">
        <v>46</v>
      </c>
      <c r="V129" s="2">
        <v>0</v>
      </c>
      <c r="W129" s="2" t="s">
        <v>38</v>
      </c>
      <c r="X129" s="2"/>
      <c r="Y129" s="2">
        <v>40</v>
      </c>
      <c r="Z129" s="2">
        <v>0</v>
      </c>
      <c r="AA129" s="2" t="s">
        <v>39</v>
      </c>
      <c r="AB129" s="2">
        <v>65</v>
      </c>
      <c r="AC129" s="2">
        <v>0</v>
      </c>
      <c r="AD129" s="2">
        <v>0</v>
      </c>
      <c r="AE129" s="2" t="s">
        <v>40</v>
      </c>
      <c r="AF129" s="3">
        <v>42279</v>
      </c>
    </row>
    <row r="130" spans="1:32" x14ac:dyDescent="0.25">
      <c r="A130" s="2" t="s">
        <v>41</v>
      </c>
      <c r="B130" s="2">
        <v>0</v>
      </c>
      <c r="C130" s="2">
        <v>63</v>
      </c>
      <c r="D130" s="2">
        <v>2015</v>
      </c>
      <c r="E130" s="2" t="s">
        <v>62</v>
      </c>
      <c r="F130" s="2">
        <v>36</v>
      </c>
      <c r="G130" s="2">
        <v>4</v>
      </c>
      <c r="H130" s="2">
        <v>0</v>
      </c>
      <c r="I130" s="2">
        <v>2</v>
      </c>
      <c r="J130" s="2">
        <v>2</v>
      </c>
      <c r="K130" s="2">
        <v>0</v>
      </c>
      <c r="L130" s="2">
        <v>0</v>
      </c>
      <c r="M130" s="2" t="s">
        <v>60</v>
      </c>
      <c r="N130" s="2" t="s">
        <v>43</v>
      </c>
      <c r="O130" s="2" t="s">
        <v>49</v>
      </c>
      <c r="P130" s="2" t="s">
        <v>45</v>
      </c>
      <c r="Q130" s="2">
        <v>0</v>
      </c>
      <c r="R130" s="2">
        <v>0</v>
      </c>
      <c r="S130" s="2">
        <v>0</v>
      </c>
      <c r="T130" s="2" t="s">
        <v>46</v>
      </c>
      <c r="U130" s="2" t="s">
        <v>57</v>
      </c>
      <c r="V130" s="2">
        <v>0</v>
      </c>
      <c r="W130" s="2" t="s">
        <v>38</v>
      </c>
      <c r="X130" s="2">
        <v>21</v>
      </c>
      <c r="Y130" s="2"/>
      <c r="Z130" s="2">
        <v>0</v>
      </c>
      <c r="AA130" s="2" t="s">
        <v>51</v>
      </c>
      <c r="AB130" s="2">
        <v>116</v>
      </c>
      <c r="AC130" s="2">
        <v>0</v>
      </c>
      <c r="AD130" s="2">
        <v>0</v>
      </c>
      <c r="AE130" s="2" t="s">
        <v>40</v>
      </c>
      <c r="AF130" s="3">
        <v>42253</v>
      </c>
    </row>
    <row r="131" spans="1:32" x14ac:dyDescent="0.25">
      <c r="A131" s="2" t="s">
        <v>32</v>
      </c>
      <c r="B131" s="2">
        <v>0</v>
      </c>
      <c r="C131" s="2">
        <v>25</v>
      </c>
      <c r="D131" s="2">
        <v>2015</v>
      </c>
      <c r="E131" s="2" t="s">
        <v>61</v>
      </c>
      <c r="F131" s="2">
        <v>45</v>
      </c>
      <c r="G131" s="2">
        <v>3</v>
      </c>
      <c r="H131" s="2">
        <v>0</v>
      </c>
      <c r="I131" s="2">
        <v>4</v>
      </c>
      <c r="J131" s="2">
        <v>1</v>
      </c>
      <c r="K131" s="2">
        <v>0</v>
      </c>
      <c r="L131" s="2">
        <v>0</v>
      </c>
      <c r="M131" s="2" t="s">
        <v>34</v>
      </c>
      <c r="N131" s="2" t="s">
        <v>65</v>
      </c>
      <c r="O131" s="2" t="s">
        <v>49</v>
      </c>
      <c r="P131" s="2" t="s">
        <v>45</v>
      </c>
      <c r="Q131" s="2">
        <v>0</v>
      </c>
      <c r="R131" s="2">
        <v>0</v>
      </c>
      <c r="S131" s="2">
        <v>0</v>
      </c>
      <c r="T131" s="2" t="s">
        <v>57</v>
      </c>
      <c r="U131" s="2" t="s">
        <v>57</v>
      </c>
      <c r="V131" s="2">
        <v>0</v>
      </c>
      <c r="W131" s="2" t="s">
        <v>38</v>
      </c>
      <c r="X131" s="2">
        <v>314</v>
      </c>
      <c r="Y131" s="2"/>
      <c r="Z131" s="2">
        <v>0</v>
      </c>
      <c r="AA131" s="2" t="s">
        <v>39</v>
      </c>
      <c r="AB131" s="2">
        <v>47.6</v>
      </c>
      <c r="AC131" s="2">
        <v>0</v>
      </c>
      <c r="AD131" s="2">
        <v>0</v>
      </c>
      <c r="AE131" s="2" t="s">
        <v>40</v>
      </c>
      <c r="AF131" s="3">
        <v>42315</v>
      </c>
    </row>
    <row r="132" spans="1:32" x14ac:dyDescent="0.25">
      <c r="A132" s="2" t="s">
        <v>41</v>
      </c>
      <c r="B132" s="2">
        <v>0</v>
      </c>
      <c r="C132" s="2">
        <v>1</v>
      </c>
      <c r="D132" s="2">
        <v>2015</v>
      </c>
      <c r="E132" s="2" t="s">
        <v>62</v>
      </c>
      <c r="F132" s="2">
        <v>36</v>
      </c>
      <c r="G132" s="2">
        <v>1</v>
      </c>
      <c r="H132" s="2">
        <v>0</v>
      </c>
      <c r="I132" s="2">
        <v>3</v>
      </c>
      <c r="J132" s="2">
        <v>1</v>
      </c>
      <c r="K132" s="2">
        <v>0</v>
      </c>
      <c r="L132" s="2">
        <v>0</v>
      </c>
      <c r="M132" s="2" t="s">
        <v>34</v>
      </c>
      <c r="N132" s="2" t="s">
        <v>63</v>
      </c>
      <c r="O132" s="2" t="s">
        <v>64</v>
      </c>
      <c r="P132" s="2" t="s">
        <v>45</v>
      </c>
      <c r="Q132" s="2">
        <v>0</v>
      </c>
      <c r="R132" s="2">
        <v>0</v>
      </c>
      <c r="S132" s="2">
        <v>0</v>
      </c>
      <c r="T132" s="2" t="s">
        <v>46</v>
      </c>
      <c r="U132" s="2" t="s">
        <v>57</v>
      </c>
      <c r="V132" s="2">
        <v>0</v>
      </c>
      <c r="W132" s="2" t="s">
        <v>38</v>
      </c>
      <c r="X132" s="2">
        <v>1</v>
      </c>
      <c r="Y132" s="2"/>
      <c r="Z132" s="2">
        <v>0</v>
      </c>
      <c r="AA132" s="2" t="s">
        <v>39</v>
      </c>
      <c r="AB132" s="2">
        <v>0</v>
      </c>
      <c r="AC132" s="2">
        <v>0</v>
      </c>
      <c r="AD132" s="2">
        <v>0</v>
      </c>
      <c r="AE132" s="2" t="s">
        <v>40</v>
      </c>
      <c r="AF132" s="3">
        <v>42251</v>
      </c>
    </row>
    <row r="133" spans="1:32" x14ac:dyDescent="0.25">
      <c r="A133" s="2" t="s">
        <v>41</v>
      </c>
      <c r="B133" s="2">
        <v>0</v>
      </c>
      <c r="C133" s="2">
        <v>16</v>
      </c>
      <c r="D133" s="2">
        <v>2015</v>
      </c>
      <c r="E133" s="2" t="s">
        <v>62</v>
      </c>
      <c r="F133" s="2">
        <v>39</v>
      </c>
      <c r="G133" s="2">
        <v>25</v>
      </c>
      <c r="H133" s="2">
        <v>2</v>
      </c>
      <c r="I133" s="2">
        <v>3</v>
      </c>
      <c r="J133" s="2">
        <v>1</v>
      </c>
      <c r="K133" s="2">
        <v>0</v>
      </c>
      <c r="L133" s="2">
        <v>0</v>
      </c>
      <c r="M133" s="2" t="s">
        <v>34</v>
      </c>
      <c r="N133" s="2" t="s">
        <v>43</v>
      </c>
      <c r="O133" s="2" t="s">
        <v>64</v>
      </c>
      <c r="P133" s="2" t="s">
        <v>45</v>
      </c>
      <c r="Q133" s="2">
        <v>0</v>
      </c>
      <c r="R133" s="2">
        <v>0</v>
      </c>
      <c r="S133" s="2">
        <v>0</v>
      </c>
      <c r="T133" s="2" t="s">
        <v>46</v>
      </c>
      <c r="U133" s="2" t="s">
        <v>46</v>
      </c>
      <c r="V133" s="2">
        <v>0</v>
      </c>
      <c r="W133" s="2" t="s">
        <v>38</v>
      </c>
      <c r="X133" s="2">
        <v>1</v>
      </c>
      <c r="Y133" s="2"/>
      <c r="Z133" s="2">
        <v>0</v>
      </c>
      <c r="AA133" s="2" t="s">
        <v>51</v>
      </c>
      <c r="AB133" s="2">
        <v>170</v>
      </c>
      <c r="AC133" s="2">
        <v>0</v>
      </c>
      <c r="AD133" s="2">
        <v>0</v>
      </c>
      <c r="AE133" s="2" t="s">
        <v>40</v>
      </c>
      <c r="AF133" s="3">
        <v>42277</v>
      </c>
    </row>
    <row r="134" spans="1:32" x14ac:dyDescent="0.25">
      <c r="A134" s="2" t="s">
        <v>41</v>
      </c>
      <c r="B134" s="2">
        <v>0</v>
      </c>
      <c r="C134" s="2">
        <v>207</v>
      </c>
      <c r="D134" s="2">
        <v>2015</v>
      </c>
      <c r="E134" s="2" t="s">
        <v>67</v>
      </c>
      <c r="F134" s="2">
        <v>34</v>
      </c>
      <c r="G134" s="2">
        <v>21</v>
      </c>
      <c r="H134" s="2">
        <v>2</v>
      </c>
      <c r="I134" s="2">
        <v>3</v>
      </c>
      <c r="J134" s="2">
        <v>2</v>
      </c>
      <c r="K134" s="2">
        <v>0</v>
      </c>
      <c r="L134" s="2">
        <v>0</v>
      </c>
      <c r="M134" s="2" t="s">
        <v>34</v>
      </c>
      <c r="N134" s="2" t="s">
        <v>63</v>
      </c>
      <c r="O134" s="2" t="s">
        <v>44</v>
      </c>
      <c r="P134" s="2" t="s">
        <v>45</v>
      </c>
      <c r="Q134" s="2">
        <v>0</v>
      </c>
      <c r="R134" s="2">
        <v>0</v>
      </c>
      <c r="S134" s="2">
        <v>0</v>
      </c>
      <c r="T134" s="2" t="s">
        <v>46</v>
      </c>
      <c r="U134" s="2" t="s">
        <v>57</v>
      </c>
      <c r="V134" s="2">
        <v>0</v>
      </c>
      <c r="W134" s="2" t="s">
        <v>38</v>
      </c>
      <c r="X134" s="2">
        <v>9</v>
      </c>
      <c r="Y134" s="2"/>
      <c r="Z134" s="2">
        <v>0</v>
      </c>
      <c r="AA134" s="2" t="s">
        <v>51</v>
      </c>
      <c r="AB134" s="2">
        <v>76.5</v>
      </c>
      <c r="AC134" s="2">
        <v>0</v>
      </c>
      <c r="AD134" s="2">
        <v>3</v>
      </c>
      <c r="AE134" s="2" t="s">
        <v>40</v>
      </c>
      <c r="AF134" s="3">
        <v>42242</v>
      </c>
    </row>
    <row r="135" spans="1:32" x14ac:dyDescent="0.25">
      <c r="A135" s="2" t="s">
        <v>41</v>
      </c>
      <c r="B135" s="2">
        <v>0</v>
      </c>
      <c r="C135" s="2">
        <v>14</v>
      </c>
      <c r="D135" s="2">
        <v>2015</v>
      </c>
      <c r="E135" s="2" t="s">
        <v>62</v>
      </c>
      <c r="F135" s="2">
        <v>36</v>
      </c>
      <c r="G135" s="2">
        <v>1</v>
      </c>
      <c r="H135" s="2">
        <v>0</v>
      </c>
      <c r="I135" s="2">
        <v>1</v>
      </c>
      <c r="J135" s="2">
        <v>2</v>
      </c>
      <c r="K135" s="2">
        <v>0</v>
      </c>
      <c r="L135" s="2">
        <v>0</v>
      </c>
      <c r="M135" s="2" t="s">
        <v>34</v>
      </c>
      <c r="N135" s="2" t="s">
        <v>43</v>
      </c>
      <c r="O135" s="2" t="s">
        <v>44</v>
      </c>
      <c r="P135" s="2" t="s">
        <v>45</v>
      </c>
      <c r="Q135" s="2">
        <v>0</v>
      </c>
      <c r="R135" s="2">
        <v>0</v>
      </c>
      <c r="S135" s="2">
        <v>0</v>
      </c>
      <c r="T135" s="2" t="s">
        <v>46</v>
      </c>
      <c r="U135" s="2" t="s">
        <v>57</v>
      </c>
      <c r="V135" s="2">
        <v>0</v>
      </c>
      <c r="W135" s="2" t="s">
        <v>38</v>
      </c>
      <c r="X135" s="2">
        <v>9</v>
      </c>
      <c r="Y135" s="2"/>
      <c r="Z135" s="2">
        <v>0</v>
      </c>
      <c r="AA135" s="2" t="s">
        <v>73</v>
      </c>
      <c r="AB135" s="2">
        <v>105</v>
      </c>
      <c r="AC135" s="2">
        <v>0</v>
      </c>
      <c r="AD135" s="2">
        <v>2</v>
      </c>
      <c r="AE135" s="2" t="s">
        <v>40</v>
      </c>
      <c r="AF135" s="3">
        <v>42249</v>
      </c>
    </row>
    <row r="136" spans="1:32" x14ac:dyDescent="0.25">
      <c r="A136" s="2" t="s">
        <v>41</v>
      </c>
      <c r="B136" s="2">
        <v>0</v>
      </c>
      <c r="C136" s="2">
        <v>40</v>
      </c>
      <c r="D136" s="2">
        <v>2015</v>
      </c>
      <c r="E136" s="2" t="s">
        <v>33</v>
      </c>
      <c r="F136" s="2">
        <v>52</v>
      </c>
      <c r="G136" s="2">
        <v>26</v>
      </c>
      <c r="H136" s="2">
        <v>2</v>
      </c>
      <c r="I136" s="2">
        <v>3</v>
      </c>
      <c r="J136" s="2">
        <v>2</v>
      </c>
      <c r="K136" s="2">
        <v>0</v>
      </c>
      <c r="L136" s="2">
        <v>0</v>
      </c>
      <c r="M136" s="2" t="s">
        <v>34</v>
      </c>
      <c r="N136" s="2" t="s">
        <v>70</v>
      </c>
      <c r="O136" s="2" t="s">
        <v>44</v>
      </c>
      <c r="P136" s="2" t="s">
        <v>45</v>
      </c>
      <c r="Q136" s="2">
        <v>0</v>
      </c>
      <c r="R136" s="2">
        <v>0</v>
      </c>
      <c r="S136" s="2">
        <v>0</v>
      </c>
      <c r="T136" s="2" t="s">
        <v>46</v>
      </c>
      <c r="U136" s="2" t="s">
        <v>46</v>
      </c>
      <c r="V136" s="2">
        <v>0</v>
      </c>
      <c r="W136" s="2" t="s">
        <v>38</v>
      </c>
      <c r="X136" s="2">
        <v>11</v>
      </c>
      <c r="Y136" s="2"/>
      <c r="Z136" s="2">
        <v>0</v>
      </c>
      <c r="AA136" s="2" t="s">
        <v>39</v>
      </c>
      <c r="AB136" s="2">
        <v>64.150000000000006</v>
      </c>
      <c r="AC136" s="2">
        <v>0</v>
      </c>
      <c r="AD136" s="2">
        <v>0</v>
      </c>
      <c r="AE136" s="2" t="s">
        <v>40</v>
      </c>
      <c r="AF136" s="3">
        <v>42369</v>
      </c>
    </row>
    <row r="137" spans="1:32" x14ac:dyDescent="0.25">
      <c r="A137" s="2" t="s">
        <v>41</v>
      </c>
      <c r="B137" s="2">
        <v>0</v>
      </c>
      <c r="C137" s="2">
        <v>7</v>
      </c>
      <c r="D137" s="2">
        <v>2015</v>
      </c>
      <c r="E137" s="2" t="s">
        <v>62</v>
      </c>
      <c r="F137" s="2">
        <v>38</v>
      </c>
      <c r="G137" s="2">
        <v>16</v>
      </c>
      <c r="H137" s="2">
        <v>0</v>
      </c>
      <c r="I137" s="2">
        <v>2</v>
      </c>
      <c r="J137" s="2">
        <v>1</v>
      </c>
      <c r="K137" s="2">
        <v>0</v>
      </c>
      <c r="L137" s="2">
        <v>0</v>
      </c>
      <c r="M137" s="2" t="s">
        <v>34</v>
      </c>
      <c r="N137" s="2" t="s">
        <v>63</v>
      </c>
      <c r="O137" s="2" t="s">
        <v>49</v>
      </c>
      <c r="P137" s="2" t="s">
        <v>45</v>
      </c>
      <c r="Q137" s="2">
        <v>0</v>
      </c>
      <c r="R137" s="2">
        <v>0</v>
      </c>
      <c r="S137" s="2">
        <v>0</v>
      </c>
      <c r="T137" s="2" t="s">
        <v>46</v>
      </c>
      <c r="U137" s="2" t="s">
        <v>46</v>
      </c>
      <c r="V137" s="2">
        <v>0</v>
      </c>
      <c r="W137" s="2" t="s">
        <v>38</v>
      </c>
      <c r="X137" s="2">
        <v>13</v>
      </c>
      <c r="Y137" s="2"/>
      <c r="Z137" s="2">
        <v>0</v>
      </c>
      <c r="AA137" s="2" t="s">
        <v>73</v>
      </c>
      <c r="AB137" s="2">
        <v>113.6</v>
      </c>
      <c r="AC137" s="2">
        <v>0</v>
      </c>
      <c r="AD137" s="2">
        <v>0</v>
      </c>
      <c r="AE137" s="2" t="s">
        <v>40</v>
      </c>
      <c r="AF137" s="3">
        <v>42265</v>
      </c>
    </row>
    <row r="138" spans="1:32" x14ac:dyDescent="0.25">
      <c r="A138" s="2" t="s">
        <v>32</v>
      </c>
      <c r="B138" s="2">
        <v>0</v>
      </c>
      <c r="C138" s="2">
        <v>104</v>
      </c>
      <c r="D138" s="2">
        <v>2015</v>
      </c>
      <c r="E138" s="2" t="s">
        <v>62</v>
      </c>
      <c r="F138" s="2">
        <v>36</v>
      </c>
      <c r="G138" s="2">
        <v>2</v>
      </c>
      <c r="H138" s="2">
        <v>1</v>
      </c>
      <c r="I138" s="2">
        <v>4</v>
      </c>
      <c r="J138" s="2">
        <v>2</v>
      </c>
      <c r="K138" s="2">
        <v>0</v>
      </c>
      <c r="L138" s="2">
        <v>0</v>
      </c>
      <c r="M138" s="2" t="s">
        <v>34</v>
      </c>
      <c r="N138" s="2" t="s">
        <v>35</v>
      </c>
      <c r="O138" s="2" t="s">
        <v>44</v>
      </c>
      <c r="P138" s="2" t="s">
        <v>45</v>
      </c>
      <c r="Q138" s="2">
        <v>0</v>
      </c>
      <c r="R138" s="2">
        <v>0</v>
      </c>
      <c r="S138" s="2">
        <v>0</v>
      </c>
      <c r="T138" s="2" t="s">
        <v>46</v>
      </c>
      <c r="U138" s="2" t="s">
        <v>57</v>
      </c>
      <c r="V138" s="2">
        <v>0</v>
      </c>
      <c r="W138" s="2" t="s">
        <v>38</v>
      </c>
      <c r="X138" s="2">
        <v>241</v>
      </c>
      <c r="Y138" s="2"/>
      <c r="Z138" s="2">
        <v>0</v>
      </c>
      <c r="AA138" s="2" t="s">
        <v>39</v>
      </c>
      <c r="AB138" s="2">
        <v>71.69</v>
      </c>
      <c r="AC138" s="2">
        <v>0</v>
      </c>
      <c r="AD138" s="2">
        <v>0</v>
      </c>
      <c r="AE138" s="2" t="s">
        <v>40</v>
      </c>
      <c r="AF138" s="3">
        <v>42254</v>
      </c>
    </row>
    <row r="139" spans="1:32" x14ac:dyDescent="0.25">
      <c r="A139" s="2" t="s">
        <v>41</v>
      </c>
      <c r="B139" s="2">
        <v>0</v>
      </c>
      <c r="C139" s="2">
        <v>164</v>
      </c>
      <c r="D139" s="2">
        <v>2015</v>
      </c>
      <c r="E139" s="2" t="s">
        <v>59</v>
      </c>
      <c r="F139" s="2">
        <v>40</v>
      </c>
      <c r="G139" s="2">
        <v>2</v>
      </c>
      <c r="H139" s="2">
        <v>0</v>
      </c>
      <c r="I139" s="2">
        <v>2</v>
      </c>
      <c r="J139" s="2">
        <v>1</v>
      </c>
      <c r="K139" s="2">
        <v>0</v>
      </c>
      <c r="L139" s="2">
        <v>0</v>
      </c>
      <c r="M139" s="2" t="s">
        <v>34</v>
      </c>
      <c r="N139" s="2" t="s">
        <v>43</v>
      </c>
      <c r="O139" s="2" t="s">
        <v>49</v>
      </c>
      <c r="P139" s="2" t="s">
        <v>45</v>
      </c>
      <c r="Q139" s="2">
        <v>0</v>
      </c>
      <c r="R139" s="2">
        <v>0</v>
      </c>
      <c r="S139" s="2">
        <v>0</v>
      </c>
      <c r="T139" s="2" t="s">
        <v>46</v>
      </c>
      <c r="U139" s="2" t="s">
        <v>57</v>
      </c>
      <c r="V139" s="2">
        <v>0</v>
      </c>
      <c r="W139" s="2" t="s">
        <v>38</v>
      </c>
      <c r="X139" s="2">
        <v>19</v>
      </c>
      <c r="Y139" s="2"/>
      <c r="Z139" s="2">
        <v>0</v>
      </c>
      <c r="AA139" s="2" t="s">
        <v>51</v>
      </c>
      <c r="AB139" s="2">
        <v>100</v>
      </c>
      <c r="AC139" s="2">
        <v>0</v>
      </c>
      <c r="AD139" s="2">
        <v>0</v>
      </c>
      <c r="AE139" s="2" t="s">
        <v>40</v>
      </c>
      <c r="AF139" s="3">
        <v>42281</v>
      </c>
    </row>
    <row r="140" spans="1:32" x14ac:dyDescent="0.25">
      <c r="A140" s="2" t="s">
        <v>41</v>
      </c>
      <c r="B140" s="2">
        <v>0</v>
      </c>
      <c r="C140" s="2">
        <v>56</v>
      </c>
      <c r="D140" s="2">
        <v>2015</v>
      </c>
      <c r="E140" s="2" t="s">
        <v>62</v>
      </c>
      <c r="F140" s="2">
        <v>38</v>
      </c>
      <c r="G140" s="2">
        <v>17</v>
      </c>
      <c r="H140" s="2">
        <v>0</v>
      </c>
      <c r="I140" s="2">
        <v>2</v>
      </c>
      <c r="J140" s="2">
        <v>2</v>
      </c>
      <c r="K140" s="2">
        <v>0</v>
      </c>
      <c r="L140" s="2">
        <v>0</v>
      </c>
      <c r="M140" s="2" t="s">
        <v>60</v>
      </c>
      <c r="N140" s="2" t="s">
        <v>70</v>
      </c>
      <c r="O140" s="2" t="s">
        <v>49</v>
      </c>
      <c r="P140" s="2" t="s">
        <v>45</v>
      </c>
      <c r="Q140" s="2">
        <v>0</v>
      </c>
      <c r="R140" s="2">
        <v>0</v>
      </c>
      <c r="S140" s="2">
        <v>0</v>
      </c>
      <c r="T140" s="2" t="s">
        <v>46</v>
      </c>
      <c r="U140" s="2" t="s">
        <v>57</v>
      </c>
      <c r="V140" s="2">
        <v>0</v>
      </c>
      <c r="W140" s="2" t="s">
        <v>38</v>
      </c>
      <c r="X140" s="2">
        <v>20</v>
      </c>
      <c r="Y140" s="2"/>
      <c r="Z140" s="2">
        <v>0</v>
      </c>
      <c r="AA140" s="2" t="s">
        <v>51</v>
      </c>
      <c r="AB140" s="2">
        <v>82</v>
      </c>
      <c r="AC140" s="2">
        <v>0</v>
      </c>
      <c r="AD140" s="2">
        <v>0</v>
      </c>
      <c r="AE140" s="2" t="s">
        <v>40</v>
      </c>
      <c r="AF140" s="3">
        <v>42266</v>
      </c>
    </row>
    <row r="141" spans="1:32" x14ac:dyDescent="0.25">
      <c r="A141" s="2" t="s">
        <v>41</v>
      </c>
      <c r="B141" s="2">
        <v>0</v>
      </c>
      <c r="C141" s="2">
        <v>9</v>
      </c>
      <c r="D141" s="2">
        <v>2015</v>
      </c>
      <c r="E141" s="2" t="s">
        <v>67</v>
      </c>
      <c r="F141" s="2">
        <v>34</v>
      </c>
      <c r="G141" s="2">
        <v>19</v>
      </c>
      <c r="H141" s="2">
        <v>0</v>
      </c>
      <c r="I141" s="2">
        <v>3</v>
      </c>
      <c r="J141" s="2">
        <v>2</v>
      </c>
      <c r="K141" s="2">
        <v>0</v>
      </c>
      <c r="L141" s="2">
        <v>0</v>
      </c>
      <c r="M141" s="2" t="s">
        <v>34</v>
      </c>
      <c r="N141" s="2" t="s">
        <v>70</v>
      </c>
      <c r="O141" s="2" t="s">
        <v>44</v>
      </c>
      <c r="P141" s="2" t="s">
        <v>45</v>
      </c>
      <c r="Q141" s="2">
        <v>0</v>
      </c>
      <c r="R141" s="2">
        <v>0</v>
      </c>
      <c r="S141" s="2">
        <v>0</v>
      </c>
      <c r="T141" s="2" t="s">
        <v>46</v>
      </c>
      <c r="U141" s="2" t="s">
        <v>46</v>
      </c>
      <c r="V141" s="2">
        <v>0</v>
      </c>
      <c r="W141" s="2" t="s">
        <v>38</v>
      </c>
      <c r="X141" s="2">
        <v>9</v>
      </c>
      <c r="Y141" s="2"/>
      <c r="Z141" s="2">
        <v>0</v>
      </c>
      <c r="AA141" s="2" t="s">
        <v>39</v>
      </c>
      <c r="AB141" s="2">
        <v>81</v>
      </c>
      <c r="AC141" s="2">
        <v>0</v>
      </c>
      <c r="AD141" s="2">
        <v>1</v>
      </c>
      <c r="AE141" s="2" t="s">
        <v>40</v>
      </c>
      <c r="AF141" s="3">
        <v>42238</v>
      </c>
    </row>
    <row r="142" spans="1:32" x14ac:dyDescent="0.25">
      <c r="A142" s="2" t="s">
        <v>41</v>
      </c>
      <c r="B142" s="2">
        <v>1</v>
      </c>
      <c r="C142" s="2">
        <v>304</v>
      </c>
      <c r="D142" s="2">
        <v>2015</v>
      </c>
      <c r="E142" s="2" t="s">
        <v>67</v>
      </c>
      <c r="F142" s="2">
        <v>34</v>
      </c>
      <c r="G142" s="2">
        <v>17</v>
      </c>
      <c r="H142" s="2">
        <v>1</v>
      </c>
      <c r="I142" s="2">
        <v>1</v>
      </c>
      <c r="J142" s="2">
        <v>2</v>
      </c>
      <c r="K142" s="2">
        <v>0</v>
      </c>
      <c r="L142" s="2">
        <v>0</v>
      </c>
      <c r="M142" s="2" t="s">
        <v>34</v>
      </c>
      <c r="N142" s="2" t="s">
        <v>43</v>
      </c>
      <c r="O142" s="2" t="s">
        <v>64</v>
      </c>
      <c r="P142" s="2" t="s">
        <v>45</v>
      </c>
      <c r="Q142" s="2">
        <v>0</v>
      </c>
      <c r="R142" s="2">
        <v>1</v>
      </c>
      <c r="S142" s="2">
        <v>0</v>
      </c>
      <c r="T142" s="2" t="s">
        <v>46</v>
      </c>
      <c r="U142" s="2" t="s">
        <v>46</v>
      </c>
      <c r="V142" s="2">
        <v>0</v>
      </c>
      <c r="W142" s="2" t="s">
        <v>68</v>
      </c>
      <c r="X142" s="2">
        <v>1</v>
      </c>
      <c r="Y142" s="2"/>
      <c r="Z142" s="2">
        <v>0</v>
      </c>
      <c r="AA142" s="2" t="s">
        <v>73</v>
      </c>
      <c r="AB142" s="2">
        <v>62</v>
      </c>
      <c r="AC142" s="2">
        <v>0</v>
      </c>
      <c r="AD142" s="2">
        <v>0</v>
      </c>
      <c r="AE142" s="2" t="s">
        <v>47</v>
      </c>
      <c r="AF142" s="3">
        <v>42005</v>
      </c>
    </row>
    <row r="143" spans="1:32" x14ac:dyDescent="0.25">
      <c r="A143" s="2" t="s">
        <v>32</v>
      </c>
      <c r="B143" s="2">
        <v>0</v>
      </c>
      <c r="C143" s="2">
        <v>0</v>
      </c>
      <c r="D143" s="2">
        <v>2015</v>
      </c>
      <c r="E143" s="2" t="s">
        <v>61</v>
      </c>
      <c r="F143" s="2">
        <v>45</v>
      </c>
      <c r="G143" s="2">
        <v>3</v>
      </c>
      <c r="H143" s="2">
        <v>0</v>
      </c>
      <c r="I143" s="2">
        <v>1</v>
      </c>
      <c r="J143" s="2">
        <v>1</v>
      </c>
      <c r="K143" s="2">
        <v>0</v>
      </c>
      <c r="L143" s="2">
        <v>0</v>
      </c>
      <c r="M143" s="2" t="s">
        <v>34</v>
      </c>
      <c r="N143" s="2"/>
      <c r="O143" s="2" t="s">
        <v>36</v>
      </c>
      <c r="P143" s="2" t="s">
        <v>36</v>
      </c>
      <c r="Q143" s="2">
        <v>0</v>
      </c>
      <c r="R143" s="2">
        <v>0</v>
      </c>
      <c r="S143" s="2">
        <v>0</v>
      </c>
      <c r="T143" s="2" t="s">
        <v>46</v>
      </c>
      <c r="U143" s="2" t="s">
        <v>46</v>
      </c>
      <c r="V143" s="2">
        <v>0</v>
      </c>
      <c r="W143" s="2" t="s">
        <v>38</v>
      </c>
      <c r="X143" s="2"/>
      <c r="Y143" s="2"/>
      <c r="Z143" s="2">
        <v>0</v>
      </c>
      <c r="AA143" s="2" t="s">
        <v>39</v>
      </c>
      <c r="AB143" s="2">
        <v>40</v>
      </c>
      <c r="AC143" s="2">
        <v>0</v>
      </c>
      <c r="AD143" s="2">
        <v>0</v>
      </c>
      <c r="AE143" s="2" t="s">
        <v>40</v>
      </c>
      <c r="AF143" s="3">
        <v>42312</v>
      </c>
    </row>
    <row r="144" spans="1:32" x14ac:dyDescent="0.25">
      <c r="A144" s="2" t="s">
        <v>32</v>
      </c>
      <c r="B144" s="2">
        <v>1</v>
      </c>
      <c r="C144" s="2">
        <v>260</v>
      </c>
      <c r="D144" s="2">
        <v>2015</v>
      </c>
      <c r="E144" s="2" t="s">
        <v>62</v>
      </c>
      <c r="F144" s="2">
        <v>38</v>
      </c>
      <c r="G144" s="2">
        <v>19</v>
      </c>
      <c r="H144" s="2">
        <v>2</v>
      </c>
      <c r="I144" s="2">
        <v>5</v>
      </c>
      <c r="J144" s="2">
        <v>2</v>
      </c>
      <c r="K144" s="2">
        <v>0</v>
      </c>
      <c r="L144" s="2">
        <v>0</v>
      </c>
      <c r="M144" s="2" t="s">
        <v>34</v>
      </c>
      <c r="N144" s="2" t="s">
        <v>43</v>
      </c>
      <c r="O144" s="2" t="s">
        <v>49</v>
      </c>
      <c r="P144" s="2" t="s">
        <v>45</v>
      </c>
      <c r="Q144" s="2">
        <v>0</v>
      </c>
      <c r="R144" s="2">
        <v>1</v>
      </c>
      <c r="S144" s="2">
        <v>0</v>
      </c>
      <c r="T144" s="2" t="s">
        <v>46</v>
      </c>
      <c r="U144" s="2" t="s">
        <v>46</v>
      </c>
      <c r="V144" s="2">
        <v>0</v>
      </c>
      <c r="W144" s="2" t="s">
        <v>68</v>
      </c>
      <c r="X144" s="2">
        <v>96</v>
      </c>
      <c r="Y144" s="2"/>
      <c r="Z144" s="2">
        <v>0</v>
      </c>
      <c r="AA144" s="2" t="s">
        <v>39</v>
      </c>
      <c r="AB144" s="2">
        <v>54.99</v>
      </c>
      <c r="AC144" s="2">
        <v>0</v>
      </c>
      <c r="AD144" s="2">
        <v>0</v>
      </c>
      <c r="AE144" s="2" t="s">
        <v>47</v>
      </c>
      <c r="AF144" s="3">
        <v>42172</v>
      </c>
    </row>
    <row r="145" spans="1:32" x14ac:dyDescent="0.25">
      <c r="A145" s="2" t="s">
        <v>41</v>
      </c>
      <c r="B145" s="2">
        <v>0</v>
      </c>
      <c r="C145" s="2">
        <v>39</v>
      </c>
      <c r="D145" s="2">
        <v>2015</v>
      </c>
      <c r="E145" s="2" t="s">
        <v>67</v>
      </c>
      <c r="F145" s="2">
        <v>33</v>
      </c>
      <c r="G145" s="2">
        <v>14</v>
      </c>
      <c r="H145" s="2">
        <v>0</v>
      </c>
      <c r="I145" s="2">
        <v>2</v>
      </c>
      <c r="J145" s="2">
        <v>2</v>
      </c>
      <c r="K145" s="2">
        <v>0</v>
      </c>
      <c r="L145" s="2">
        <v>0</v>
      </c>
      <c r="M145" s="2" t="s">
        <v>60</v>
      </c>
      <c r="N145" s="2" t="s">
        <v>56</v>
      </c>
      <c r="O145" s="2" t="s">
        <v>49</v>
      </c>
      <c r="P145" s="2" t="s">
        <v>45</v>
      </c>
      <c r="Q145" s="2">
        <v>0</v>
      </c>
      <c r="R145" s="2">
        <v>0</v>
      </c>
      <c r="S145" s="2">
        <v>0</v>
      </c>
      <c r="T145" s="2" t="s">
        <v>46</v>
      </c>
      <c r="U145" s="2" t="s">
        <v>46</v>
      </c>
      <c r="V145" s="2">
        <v>0</v>
      </c>
      <c r="W145" s="2" t="s">
        <v>38</v>
      </c>
      <c r="X145" s="2">
        <v>6</v>
      </c>
      <c r="Y145" s="2"/>
      <c r="Z145" s="2">
        <v>0</v>
      </c>
      <c r="AA145" s="2" t="s">
        <v>51</v>
      </c>
      <c r="AB145" s="2">
        <v>109</v>
      </c>
      <c r="AC145" s="2">
        <v>0</v>
      </c>
      <c r="AD145" s="2">
        <v>0</v>
      </c>
      <c r="AE145" s="2" t="s">
        <v>40</v>
      </c>
      <c r="AF145" s="3">
        <v>42232</v>
      </c>
    </row>
    <row r="146" spans="1:32" x14ac:dyDescent="0.25">
      <c r="A146" s="2" t="s">
        <v>41</v>
      </c>
      <c r="B146" s="2">
        <v>1</v>
      </c>
      <c r="C146" s="2">
        <v>19</v>
      </c>
      <c r="D146" s="2">
        <v>2015</v>
      </c>
      <c r="E146" s="2" t="s">
        <v>62</v>
      </c>
      <c r="F146" s="2">
        <v>39</v>
      </c>
      <c r="G146" s="2">
        <v>21</v>
      </c>
      <c r="H146" s="2">
        <v>1</v>
      </c>
      <c r="I146" s="2">
        <v>1</v>
      </c>
      <c r="J146" s="2">
        <v>2</v>
      </c>
      <c r="K146" s="2">
        <v>0</v>
      </c>
      <c r="L146" s="2">
        <v>0</v>
      </c>
      <c r="M146" s="2" t="s">
        <v>34</v>
      </c>
      <c r="N146" s="2" t="s">
        <v>43</v>
      </c>
      <c r="O146" s="2" t="s">
        <v>49</v>
      </c>
      <c r="P146" s="2" t="s">
        <v>45</v>
      </c>
      <c r="Q146" s="2">
        <v>0</v>
      </c>
      <c r="R146" s="2">
        <v>0</v>
      </c>
      <c r="S146" s="2">
        <v>0</v>
      </c>
      <c r="T146" s="2" t="s">
        <v>46</v>
      </c>
      <c r="U146" s="2" t="s">
        <v>46</v>
      </c>
      <c r="V146" s="2">
        <v>0</v>
      </c>
      <c r="W146" s="2" t="s">
        <v>38</v>
      </c>
      <c r="X146" s="2">
        <v>20</v>
      </c>
      <c r="Y146" s="2"/>
      <c r="Z146" s="2">
        <v>0</v>
      </c>
      <c r="AA146" s="2" t="s">
        <v>51</v>
      </c>
      <c r="AB146" s="2">
        <v>48</v>
      </c>
      <c r="AC146" s="2">
        <v>0</v>
      </c>
      <c r="AD146" s="2">
        <v>0</v>
      </c>
      <c r="AE146" s="2" t="s">
        <v>47</v>
      </c>
      <c r="AF146" s="3">
        <v>42258</v>
      </c>
    </row>
    <row r="147" spans="1:32" x14ac:dyDescent="0.25">
      <c r="A147" s="2" t="s">
        <v>32</v>
      </c>
      <c r="B147" s="2">
        <v>0</v>
      </c>
      <c r="C147" s="2">
        <v>272</v>
      </c>
      <c r="D147" s="2">
        <v>2015</v>
      </c>
      <c r="E147" s="2" t="s">
        <v>62</v>
      </c>
      <c r="F147" s="2">
        <v>40</v>
      </c>
      <c r="G147" s="2">
        <v>30</v>
      </c>
      <c r="H147" s="2">
        <v>0</v>
      </c>
      <c r="I147" s="2">
        <v>3</v>
      </c>
      <c r="J147" s="2">
        <v>1</v>
      </c>
      <c r="K147" s="2">
        <v>0</v>
      </c>
      <c r="L147" s="2">
        <v>0</v>
      </c>
      <c r="M147" s="2" t="s">
        <v>60</v>
      </c>
      <c r="N147" s="2" t="s">
        <v>70</v>
      </c>
      <c r="O147" s="2" t="s">
        <v>49</v>
      </c>
      <c r="P147" s="2" t="s">
        <v>45</v>
      </c>
      <c r="Q147" s="2">
        <v>0</v>
      </c>
      <c r="R147" s="2">
        <v>0</v>
      </c>
      <c r="S147" s="2">
        <v>0</v>
      </c>
      <c r="T147" s="2" t="s">
        <v>46</v>
      </c>
      <c r="U147" s="2" t="s">
        <v>46</v>
      </c>
      <c r="V147" s="2">
        <v>2</v>
      </c>
      <c r="W147" s="2" t="s">
        <v>38</v>
      </c>
      <c r="X147" s="2">
        <v>256</v>
      </c>
      <c r="Y147" s="2"/>
      <c r="Z147" s="2">
        <v>0</v>
      </c>
      <c r="AA147" s="2" t="s">
        <v>51</v>
      </c>
      <c r="AB147" s="2">
        <v>0</v>
      </c>
      <c r="AC147" s="2">
        <v>0</v>
      </c>
      <c r="AD147" s="2">
        <v>0</v>
      </c>
      <c r="AE147" s="2" t="s">
        <v>40</v>
      </c>
      <c r="AF147" s="3">
        <v>42280</v>
      </c>
    </row>
    <row r="148" spans="1:32" x14ac:dyDescent="0.25">
      <c r="A148" s="2" t="s">
        <v>41</v>
      </c>
      <c r="B148" s="2">
        <v>1</v>
      </c>
      <c r="C148" s="2">
        <v>364</v>
      </c>
      <c r="D148" s="2">
        <v>2015</v>
      </c>
      <c r="E148" s="2" t="s">
        <v>59</v>
      </c>
      <c r="F148" s="2">
        <v>42</v>
      </c>
      <c r="G148" s="2">
        <v>16</v>
      </c>
      <c r="H148" s="2">
        <v>0</v>
      </c>
      <c r="I148" s="2">
        <v>2</v>
      </c>
      <c r="J148" s="2">
        <v>2</v>
      </c>
      <c r="K148" s="2">
        <v>0</v>
      </c>
      <c r="L148" s="2">
        <v>0</v>
      </c>
      <c r="M148" s="2" t="s">
        <v>60</v>
      </c>
      <c r="N148" s="2" t="s">
        <v>43</v>
      </c>
      <c r="O148" s="2" t="s">
        <v>49</v>
      </c>
      <c r="P148" s="2" t="s">
        <v>45</v>
      </c>
      <c r="Q148" s="2">
        <v>0</v>
      </c>
      <c r="R148" s="2">
        <v>1</v>
      </c>
      <c r="S148" s="2">
        <v>0</v>
      </c>
      <c r="T148" s="2" t="s">
        <v>46</v>
      </c>
      <c r="U148" s="2" t="s">
        <v>46</v>
      </c>
      <c r="V148" s="2">
        <v>0</v>
      </c>
      <c r="W148" s="2" t="s">
        <v>68</v>
      </c>
      <c r="X148" s="2">
        <v>6</v>
      </c>
      <c r="Y148" s="2"/>
      <c r="Z148" s="2">
        <v>0</v>
      </c>
      <c r="AA148" s="2" t="s">
        <v>51</v>
      </c>
      <c r="AB148" s="2">
        <v>101.5</v>
      </c>
      <c r="AC148" s="2">
        <v>0</v>
      </c>
      <c r="AD148" s="2">
        <v>0</v>
      </c>
      <c r="AE148" s="2" t="s">
        <v>47</v>
      </c>
      <c r="AF148" s="3">
        <v>42191</v>
      </c>
    </row>
    <row r="149" spans="1:32" x14ac:dyDescent="0.25">
      <c r="A149" s="2" t="s">
        <v>41</v>
      </c>
      <c r="B149" s="2">
        <v>0</v>
      </c>
      <c r="C149" s="2">
        <v>1</v>
      </c>
      <c r="D149" s="2">
        <v>2015</v>
      </c>
      <c r="E149" s="2" t="s">
        <v>59</v>
      </c>
      <c r="F149" s="2">
        <v>41</v>
      </c>
      <c r="G149" s="2">
        <v>9</v>
      </c>
      <c r="H149" s="2">
        <v>2</v>
      </c>
      <c r="I149" s="2">
        <v>2</v>
      </c>
      <c r="J149" s="2">
        <v>2</v>
      </c>
      <c r="K149" s="2">
        <v>0</v>
      </c>
      <c r="L149" s="2">
        <v>0</v>
      </c>
      <c r="M149" s="2" t="s">
        <v>34</v>
      </c>
      <c r="N149" s="2" t="s">
        <v>71</v>
      </c>
      <c r="O149" s="2" t="s">
        <v>44</v>
      </c>
      <c r="P149" s="2" t="s">
        <v>45</v>
      </c>
      <c r="Q149" s="2">
        <v>0</v>
      </c>
      <c r="R149" s="2">
        <v>0</v>
      </c>
      <c r="S149" s="2">
        <v>0</v>
      </c>
      <c r="T149" s="2" t="s">
        <v>46</v>
      </c>
      <c r="U149" s="2" t="s">
        <v>46</v>
      </c>
      <c r="V149" s="2">
        <v>0</v>
      </c>
      <c r="W149" s="2" t="s">
        <v>38</v>
      </c>
      <c r="X149" s="2">
        <v>9</v>
      </c>
      <c r="Y149" s="2"/>
      <c r="Z149" s="2">
        <v>0</v>
      </c>
      <c r="AA149" s="2" t="s">
        <v>39</v>
      </c>
      <c r="AB149" s="2">
        <v>145</v>
      </c>
      <c r="AC149" s="2">
        <v>0</v>
      </c>
      <c r="AD149" s="2">
        <v>2</v>
      </c>
      <c r="AE149" s="2" t="s">
        <v>40</v>
      </c>
      <c r="AF149" s="3">
        <v>42290</v>
      </c>
    </row>
    <row r="150" spans="1:32" x14ac:dyDescent="0.25">
      <c r="A150" s="2" t="s">
        <v>41</v>
      </c>
      <c r="B150" s="2">
        <v>0</v>
      </c>
      <c r="C150" s="2">
        <v>36</v>
      </c>
      <c r="D150" s="2">
        <v>2015</v>
      </c>
      <c r="E150" s="2" t="s">
        <v>59</v>
      </c>
      <c r="F150" s="2">
        <v>42</v>
      </c>
      <c r="G150" s="2">
        <v>13</v>
      </c>
      <c r="H150" s="2">
        <v>0</v>
      </c>
      <c r="I150" s="2">
        <v>3</v>
      </c>
      <c r="J150" s="2">
        <v>2</v>
      </c>
      <c r="K150" s="2">
        <v>0</v>
      </c>
      <c r="L150" s="2">
        <v>0</v>
      </c>
      <c r="M150" s="2" t="s">
        <v>60</v>
      </c>
      <c r="N150" s="2" t="s">
        <v>43</v>
      </c>
      <c r="O150" s="2" t="s">
        <v>49</v>
      </c>
      <c r="P150" s="2" t="s">
        <v>45</v>
      </c>
      <c r="Q150" s="2">
        <v>0</v>
      </c>
      <c r="R150" s="2">
        <v>0</v>
      </c>
      <c r="S150" s="2">
        <v>0</v>
      </c>
      <c r="T150" s="2" t="s">
        <v>46</v>
      </c>
      <c r="U150" s="2" t="s">
        <v>57</v>
      </c>
      <c r="V150" s="2">
        <v>0</v>
      </c>
      <c r="W150" s="2" t="s">
        <v>38</v>
      </c>
      <c r="X150" s="2">
        <v>26</v>
      </c>
      <c r="Y150" s="2"/>
      <c r="Z150" s="2">
        <v>0</v>
      </c>
      <c r="AA150" s="2" t="s">
        <v>51</v>
      </c>
      <c r="AB150" s="2">
        <v>112</v>
      </c>
      <c r="AC150" s="2">
        <v>0</v>
      </c>
      <c r="AD150" s="2">
        <v>0</v>
      </c>
      <c r="AE150" s="2" t="s">
        <v>40</v>
      </c>
      <c r="AF150" s="3">
        <v>42293</v>
      </c>
    </row>
    <row r="151" spans="1:32" x14ac:dyDescent="0.25">
      <c r="A151" s="2" t="s">
        <v>41</v>
      </c>
      <c r="B151" s="2">
        <v>0</v>
      </c>
      <c r="C151" s="2">
        <v>0</v>
      </c>
      <c r="D151" s="2">
        <v>2015</v>
      </c>
      <c r="E151" s="2" t="s">
        <v>61</v>
      </c>
      <c r="F151" s="2">
        <v>46</v>
      </c>
      <c r="G151" s="2">
        <v>14</v>
      </c>
      <c r="H151" s="2">
        <v>0</v>
      </c>
      <c r="I151" s="2">
        <v>1</v>
      </c>
      <c r="J151" s="2">
        <v>2</v>
      </c>
      <c r="K151" s="2">
        <v>0</v>
      </c>
      <c r="L151" s="2">
        <v>0</v>
      </c>
      <c r="M151" s="2" t="s">
        <v>55</v>
      </c>
      <c r="N151" s="2" t="s">
        <v>56</v>
      </c>
      <c r="O151" s="2" t="s">
        <v>44</v>
      </c>
      <c r="P151" s="2" t="s">
        <v>45</v>
      </c>
      <c r="Q151" s="2">
        <v>0</v>
      </c>
      <c r="R151" s="2">
        <v>0</v>
      </c>
      <c r="S151" s="2">
        <v>0</v>
      </c>
      <c r="T151" s="2" t="s">
        <v>46</v>
      </c>
      <c r="U151" s="2" t="s">
        <v>46</v>
      </c>
      <c r="V151" s="2">
        <v>3</v>
      </c>
      <c r="W151" s="2" t="s">
        <v>38</v>
      </c>
      <c r="X151" s="2">
        <v>9</v>
      </c>
      <c r="Y151" s="2"/>
      <c r="Z151" s="2">
        <v>0</v>
      </c>
      <c r="AA151" s="2" t="s">
        <v>73</v>
      </c>
      <c r="AB151" s="2">
        <v>85</v>
      </c>
      <c r="AC151" s="2">
        <v>0</v>
      </c>
      <c r="AD151" s="2">
        <v>2</v>
      </c>
      <c r="AE151" s="2" t="s">
        <v>40</v>
      </c>
      <c r="AF151" s="3">
        <v>42323</v>
      </c>
    </row>
    <row r="152" spans="1:32" x14ac:dyDescent="0.25">
      <c r="A152" s="2" t="s">
        <v>41</v>
      </c>
      <c r="B152" s="2">
        <v>0</v>
      </c>
      <c r="C152" s="2">
        <v>6</v>
      </c>
      <c r="D152" s="2">
        <v>2015</v>
      </c>
      <c r="E152" s="2" t="s">
        <v>33</v>
      </c>
      <c r="F152" s="2">
        <v>50</v>
      </c>
      <c r="G152" s="2">
        <v>10</v>
      </c>
      <c r="H152" s="2">
        <v>0</v>
      </c>
      <c r="I152" s="2">
        <v>2</v>
      </c>
      <c r="J152" s="2">
        <v>2</v>
      </c>
      <c r="K152" s="2">
        <v>0</v>
      </c>
      <c r="L152" s="2">
        <v>0</v>
      </c>
      <c r="M152" s="2" t="s">
        <v>60</v>
      </c>
      <c r="N152" s="2" t="s">
        <v>56</v>
      </c>
      <c r="O152" s="2" t="s">
        <v>49</v>
      </c>
      <c r="P152" s="2" t="s">
        <v>45</v>
      </c>
      <c r="Q152" s="2">
        <v>0</v>
      </c>
      <c r="R152" s="2">
        <v>0</v>
      </c>
      <c r="S152" s="2">
        <v>0</v>
      </c>
      <c r="T152" s="2" t="s">
        <v>46</v>
      </c>
      <c r="U152" s="2" t="s">
        <v>46</v>
      </c>
      <c r="V152" s="2">
        <v>0</v>
      </c>
      <c r="W152" s="2" t="s">
        <v>38</v>
      </c>
      <c r="X152" s="2">
        <v>6</v>
      </c>
      <c r="Y152" s="2"/>
      <c r="Z152" s="2">
        <v>0</v>
      </c>
      <c r="AA152" s="2" t="s">
        <v>51</v>
      </c>
      <c r="AB152" s="2">
        <v>0</v>
      </c>
      <c r="AC152" s="2">
        <v>0</v>
      </c>
      <c r="AD152" s="2">
        <v>1</v>
      </c>
      <c r="AE152" s="2" t="s">
        <v>40</v>
      </c>
      <c r="AF152" s="3">
        <v>42350</v>
      </c>
    </row>
    <row r="153" spans="1:32" x14ac:dyDescent="0.25">
      <c r="A153" s="2" t="s">
        <v>32</v>
      </c>
      <c r="B153" s="2">
        <v>0</v>
      </c>
      <c r="C153" s="2">
        <v>4</v>
      </c>
      <c r="D153" s="2">
        <v>2015</v>
      </c>
      <c r="E153" s="2" t="s">
        <v>42</v>
      </c>
      <c r="F153" s="2">
        <v>30</v>
      </c>
      <c r="G153" s="2">
        <v>19</v>
      </c>
      <c r="H153" s="2">
        <v>2</v>
      </c>
      <c r="I153" s="2">
        <v>0</v>
      </c>
      <c r="J153" s="2">
        <v>2</v>
      </c>
      <c r="K153" s="2">
        <v>0</v>
      </c>
      <c r="L153" s="2">
        <v>0</v>
      </c>
      <c r="M153" s="2" t="s">
        <v>34</v>
      </c>
      <c r="N153" s="2" t="s">
        <v>43</v>
      </c>
      <c r="O153" s="2" t="s">
        <v>44</v>
      </c>
      <c r="P153" s="2" t="s">
        <v>45</v>
      </c>
      <c r="Q153" s="2">
        <v>0</v>
      </c>
      <c r="R153" s="2">
        <v>0</v>
      </c>
      <c r="S153" s="2">
        <v>0</v>
      </c>
      <c r="T153" s="2" t="s">
        <v>72</v>
      </c>
      <c r="U153" s="2" t="s">
        <v>72</v>
      </c>
      <c r="V153" s="2">
        <v>0</v>
      </c>
      <c r="W153" s="2" t="s">
        <v>38</v>
      </c>
      <c r="X153" s="2">
        <v>240</v>
      </c>
      <c r="Y153" s="2"/>
      <c r="Z153" s="2">
        <v>0</v>
      </c>
      <c r="AA153" s="2" t="s">
        <v>39</v>
      </c>
      <c r="AB153" s="2">
        <v>154.5</v>
      </c>
      <c r="AC153" s="2">
        <v>1</v>
      </c>
      <c r="AD153" s="2">
        <v>2</v>
      </c>
      <c r="AE153" s="2" t="s">
        <v>40</v>
      </c>
      <c r="AF153" s="3">
        <v>42206</v>
      </c>
    </row>
    <row r="154" spans="1:32" x14ac:dyDescent="0.25">
      <c r="A154" s="2" t="s">
        <v>32</v>
      </c>
      <c r="B154" s="2">
        <v>1</v>
      </c>
      <c r="C154" s="2">
        <v>41</v>
      </c>
      <c r="D154" s="2">
        <v>2015</v>
      </c>
      <c r="E154" s="2" t="s">
        <v>61</v>
      </c>
      <c r="F154" s="2">
        <v>46</v>
      </c>
      <c r="G154" s="2">
        <v>12</v>
      </c>
      <c r="H154" s="2">
        <v>1</v>
      </c>
      <c r="I154" s="2">
        <v>3</v>
      </c>
      <c r="J154" s="2">
        <v>1</v>
      </c>
      <c r="K154" s="2">
        <v>0</v>
      </c>
      <c r="L154" s="2">
        <v>0</v>
      </c>
      <c r="M154" s="2" t="s">
        <v>34</v>
      </c>
      <c r="N154" s="2" t="s">
        <v>43</v>
      </c>
      <c r="O154" s="2" t="s">
        <v>76</v>
      </c>
      <c r="P154" s="2" t="s">
        <v>76</v>
      </c>
      <c r="Q154" s="2">
        <v>0</v>
      </c>
      <c r="R154" s="2">
        <v>0</v>
      </c>
      <c r="S154" s="2">
        <v>0</v>
      </c>
      <c r="T154" s="2" t="s">
        <v>46</v>
      </c>
      <c r="U154" s="2" t="s">
        <v>46</v>
      </c>
      <c r="V154" s="2">
        <v>1</v>
      </c>
      <c r="W154" s="2" t="s">
        <v>38</v>
      </c>
      <c r="X154" s="2">
        <v>185</v>
      </c>
      <c r="Y154" s="2">
        <v>281</v>
      </c>
      <c r="Z154" s="2">
        <v>0</v>
      </c>
      <c r="AA154" s="2" t="s">
        <v>51</v>
      </c>
      <c r="AB154" s="2">
        <v>36</v>
      </c>
      <c r="AC154" s="2">
        <v>0</v>
      </c>
      <c r="AD154" s="2">
        <v>0</v>
      </c>
      <c r="AE154" s="2" t="s">
        <v>47</v>
      </c>
      <c r="AF154" s="3">
        <v>42317</v>
      </c>
    </row>
    <row r="155" spans="1:32" x14ac:dyDescent="0.25">
      <c r="A155" s="2" t="s">
        <v>32</v>
      </c>
      <c r="B155" s="2">
        <v>0</v>
      </c>
      <c r="C155" s="2">
        <v>77</v>
      </c>
      <c r="D155" s="2">
        <v>2015</v>
      </c>
      <c r="E155" s="2" t="s">
        <v>59</v>
      </c>
      <c r="F155" s="2">
        <v>41</v>
      </c>
      <c r="G155" s="2">
        <v>9</v>
      </c>
      <c r="H155" s="2">
        <v>0</v>
      </c>
      <c r="I155" s="2">
        <v>2</v>
      </c>
      <c r="J155" s="2">
        <v>2</v>
      </c>
      <c r="K155" s="2">
        <v>0</v>
      </c>
      <c r="L155" s="2">
        <v>0</v>
      </c>
      <c r="M155" s="2" t="s">
        <v>34</v>
      </c>
      <c r="N155" s="2" t="s">
        <v>43</v>
      </c>
      <c r="O155" s="2" t="s">
        <v>36</v>
      </c>
      <c r="P155" s="2" t="s">
        <v>36</v>
      </c>
      <c r="Q155" s="2">
        <v>0</v>
      </c>
      <c r="R155" s="2">
        <v>0</v>
      </c>
      <c r="S155" s="2">
        <v>0</v>
      </c>
      <c r="T155" s="2" t="s">
        <v>46</v>
      </c>
      <c r="U155" s="2" t="s">
        <v>46</v>
      </c>
      <c r="V155" s="2">
        <v>0</v>
      </c>
      <c r="W155" s="2" t="s">
        <v>38</v>
      </c>
      <c r="X155" s="2">
        <v>250</v>
      </c>
      <c r="Y155" s="2"/>
      <c r="Z155" s="2">
        <v>0</v>
      </c>
      <c r="AA155" s="2" t="s">
        <v>73</v>
      </c>
      <c r="AB155" s="2">
        <v>56</v>
      </c>
      <c r="AC155" s="2">
        <v>1</v>
      </c>
      <c r="AD155" s="2">
        <v>1</v>
      </c>
      <c r="AE155" s="2" t="s">
        <v>40</v>
      </c>
      <c r="AF155" s="3">
        <v>42288</v>
      </c>
    </row>
    <row r="156" spans="1:32" x14ac:dyDescent="0.25">
      <c r="A156" s="2" t="s">
        <v>32</v>
      </c>
      <c r="B156" s="2">
        <v>0</v>
      </c>
      <c r="C156" s="2">
        <v>22</v>
      </c>
      <c r="D156" s="2">
        <v>2015</v>
      </c>
      <c r="E156" s="2" t="s">
        <v>59</v>
      </c>
      <c r="F156" s="2">
        <v>41</v>
      </c>
      <c r="G156" s="2">
        <v>9</v>
      </c>
      <c r="H156" s="2">
        <v>2</v>
      </c>
      <c r="I156" s="2">
        <v>2</v>
      </c>
      <c r="J156" s="2">
        <v>2</v>
      </c>
      <c r="K156" s="2">
        <v>0</v>
      </c>
      <c r="L156" s="2">
        <v>0</v>
      </c>
      <c r="M156" s="2" t="s">
        <v>34</v>
      </c>
      <c r="N156" s="2" t="s">
        <v>43</v>
      </c>
      <c r="O156" s="2" t="s">
        <v>44</v>
      </c>
      <c r="P156" s="2" t="s">
        <v>45</v>
      </c>
      <c r="Q156" s="2">
        <v>0</v>
      </c>
      <c r="R156" s="2">
        <v>0</v>
      </c>
      <c r="S156" s="2">
        <v>0</v>
      </c>
      <c r="T156" s="2" t="s">
        <v>57</v>
      </c>
      <c r="U156" s="2" t="s">
        <v>57</v>
      </c>
      <c r="V156" s="2">
        <v>0</v>
      </c>
      <c r="W156" s="2" t="s">
        <v>38</v>
      </c>
      <c r="X156" s="2">
        <v>240</v>
      </c>
      <c r="Y156" s="2"/>
      <c r="Z156" s="2">
        <v>0</v>
      </c>
      <c r="AA156" s="2" t="s">
        <v>39</v>
      </c>
      <c r="AB156" s="2">
        <v>83</v>
      </c>
      <c r="AC156" s="2">
        <v>1</v>
      </c>
      <c r="AD156" s="2">
        <v>2</v>
      </c>
      <c r="AE156" s="2" t="s">
        <v>40</v>
      </c>
      <c r="AF156" s="3">
        <v>42290</v>
      </c>
    </row>
    <row r="157" spans="1:32" x14ac:dyDescent="0.25">
      <c r="A157" s="2" t="s">
        <v>41</v>
      </c>
      <c r="B157" s="2">
        <v>0</v>
      </c>
      <c r="C157" s="2">
        <v>66</v>
      </c>
      <c r="D157" s="2">
        <v>2015</v>
      </c>
      <c r="E157" s="2" t="s">
        <v>61</v>
      </c>
      <c r="F157" s="2">
        <v>47</v>
      </c>
      <c r="G157" s="2">
        <v>19</v>
      </c>
      <c r="H157" s="2">
        <v>0</v>
      </c>
      <c r="I157" s="2">
        <v>1</v>
      </c>
      <c r="J157" s="2">
        <v>2</v>
      </c>
      <c r="K157" s="2">
        <v>0</v>
      </c>
      <c r="L157" s="2">
        <v>0</v>
      </c>
      <c r="M157" s="2" t="s">
        <v>34</v>
      </c>
      <c r="N157" s="2" t="s">
        <v>123</v>
      </c>
      <c r="O157" s="2" t="s">
        <v>44</v>
      </c>
      <c r="P157" s="2" t="s">
        <v>45</v>
      </c>
      <c r="Q157" s="2">
        <v>0</v>
      </c>
      <c r="R157" s="2">
        <v>0</v>
      </c>
      <c r="S157" s="2">
        <v>0</v>
      </c>
      <c r="T157" s="2" t="s">
        <v>57</v>
      </c>
      <c r="U157" s="2" t="s">
        <v>57</v>
      </c>
      <c r="V157" s="2">
        <v>0</v>
      </c>
      <c r="W157" s="2" t="s">
        <v>38</v>
      </c>
      <c r="X157" s="2">
        <v>9</v>
      </c>
      <c r="Y157" s="2"/>
      <c r="Z157" s="2">
        <v>0</v>
      </c>
      <c r="AA157" s="2" t="s">
        <v>73</v>
      </c>
      <c r="AB157" s="2">
        <v>81.900000000000006</v>
      </c>
      <c r="AC157" s="2">
        <v>0</v>
      </c>
      <c r="AD157" s="2">
        <v>2</v>
      </c>
      <c r="AE157" s="2" t="s">
        <v>40</v>
      </c>
      <c r="AF157" s="3">
        <v>42328</v>
      </c>
    </row>
    <row r="158" spans="1:32" x14ac:dyDescent="0.25">
      <c r="A158" s="2" t="s">
        <v>41</v>
      </c>
      <c r="B158" s="2">
        <v>1</v>
      </c>
      <c r="C158" s="2">
        <v>323</v>
      </c>
      <c r="D158" s="2">
        <v>2015</v>
      </c>
      <c r="E158" s="2" t="s">
        <v>62</v>
      </c>
      <c r="F158" s="2">
        <v>36</v>
      </c>
      <c r="G158" s="2">
        <v>5</v>
      </c>
      <c r="H158" s="2">
        <v>1</v>
      </c>
      <c r="I158" s="2">
        <v>1</v>
      </c>
      <c r="J158" s="2">
        <v>2</v>
      </c>
      <c r="K158" s="2">
        <v>0</v>
      </c>
      <c r="L158" s="2">
        <v>0</v>
      </c>
      <c r="M158" s="2" t="s">
        <v>34</v>
      </c>
      <c r="N158" s="2" t="s">
        <v>43</v>
      </c>
      <c r="O158" s="2" t="s">
        <v>64</v>
      </c>
      <c r="P158" s="2" t="s">
        <v>45</v>
      </c>
      <c r="Q158" s="2">
        <v>0</v>
      </c>
      <c r="R158" s="2">
        <v>1</v>
      </c>
      <c r="S158" s="2">
        <v>0</v>
      </c>
      <c r="T158" s="2" t="s">
        <v>46</v>
      </c>
      <c r="U158" s="2" t="s">
        <v>46</v>
      </c>
      <c r="V158" s="2">
        <v>0</v>
      </c>
      <c r="W158" s="2" t="s">
        <v>68</v>
      </c>
      <c r="X158" s="2">
        <v>1</v>
      </c>
      <c r="Y158" s="2"/>
      <c r="Z158" s="2">
        <v>0</v>
      </c>
      <c r="AA158" s="2" t="s">
        <v>51</v>
      </c>
      <c r="AB158" s="2">
        <v>62</v>
      </c>
      <c r="AC158" s="2">
        <v>0</v>
      </c>
      <c r="AD158" s="2">
        <v>0</v>
      </c>
      <c r="AE158" s="2" t="s">
        <v>47</v>
      </c>
      <c r="AF158" s="3">
        <v>42187</v>
      </c>
    </row>
    <row r="159" spans="1:32" x14ac:dyDescent="0.25">
      <c r="A159" s="2" t="s">
        <v>41</v>
      </c>
      <c r="B159" s="2">
        <v>1</v>
      </c>
      <c r="C159" s="2">
        <v>89</v>
      </c>
      <c r="D159" s="2">
        <v>2015</v>
      </c>
      <c r="E159" s="2" t="s">
        <v>59</v>
      </c>
      <c r="F159" s="2">
        <v>40</v>
      </c>
      <c r="G159" s="2">
        <v>3</v>
      </c>
      <c r="H159" s="2">
        <v>2</v>
      </c>
      <c r="I159" s="2">
        <v>2</v>
      </c>
      <c r="J159" s="2">
        <v>2</v>
      </c>
      <c r="K159" s="2">
        <v>0</v>
      </c>
      <c r="L159" s="2">
        <v>0</v>
      </c>
      <c r="M159" s="2" t="s">
        <v>34</v>
      </c>
      <c r="N159" s="2" t="s">
        <v>43</v>
      </c>
      <c r="O159" s="2" t="s">
        <v>64</v>
      </c>
      <c r="P159" s="2" t="s">
        <v>45</v>
      </c>
      <c r="Q159" s="2">
        <v>0</v>
      </c>
      <c r="R159" s="2">
        <v>0</v>
      </c>
      <c r="S159" s="2">
        <v>0</v>
      </c>
      <c r="T159" s="2" t="s">
        <v>46</v>
      </c>
      <c r="U159" s="2" t="s">
        <v>46</v>
      </c>
      <c r="V159" s="2">
        <v>0</v>
      </c>
      <c r="W159" s="2" t="s">
        <v>68</v>
      </c>
      <c r="X159" s="2">
        <v>1</v>
      </c>
      <c r="Y159" s="2"/>
      <c r="Z159" s="2">
        <v>0</v>
      </c>
      <c r="AA159" s="2" t="s">
        <v>39</v>
      </c>
      <c r="AB159" s="2">
        <v>62</v>
      </c>
      <c r="AC159" s="2">
        <v>0</v>
      </c>
      <c r="AD159" s="2">
        <v>0</v>
      </c>
      <c r="AE159" s="2" t="s">
        <v>47</v>
      </c>
      <c r="AF159" s="3">
        <v>42256</v>
      </c>
    </row>
    <row r="160" spans="1:32" x14ac:dyDescent="0.25">
      <c r="A160" s="2" t="s">
        <v>41</v>
      </c>
      <c r="B160" s="2">
        <v>0</v>
      </c>
      <c r="C160" s="2">
        <v>17</v>
      </c>
      <c r="D160" s="2">
        <v>2015</v>
      </c>
      <c r="E160" s="2" t="s">
        <v>67</v>
      </c>
      <c r="F160" s="2">
        <v>35</v>
      </c>
      <c r="G160" s="2">
        <v>29</v>
      </c>
      <c r="H160" s="2">
        <v>0</v>
      </c>
      <c r="I160" s="2">
        <v>1</v>
      </c>
      <c r="J160" s="2">
        <v>2</v>
      </c>
      <c r="K160" s="2">
        <v>0</v>
      </c>
      <c r="L160" s="2">
        <v>0</v>
      </c>
      <c r="M160" s="2" t="s">
        <v>34</v>
      </c>
      <c r="N160" s="2" t="s">
        <v>43</v>
      </c>
      <c r="O160" s="2" t="s">
        <v>44</v>
      </c>
      <c r="P160" s="2" t="s">
        <v>45</v>
      </c>
      <c r="Q160" s="2">
        <v>0</v>
      </c>
      <c r="R160" s="2">
        <v>0</v>
      </c>
      <c r="S160" s="2">
        <v>0</v>
      </c>
      <c r="T160" s="2" t="s">
        <v>46</v>
      </c>
      <c r="U160" s="2" t="s">
        <v>57</v>
      </c>
      <c r="V160" s="2">
        <v>0</v>
      </c>
      <c r="W160" s="2" t="s">
        <v>38</v>
      </c>
      <c r="X160" s="2">
        <v>9</v>
      </c>
      <c r="Y160" s="2"/>
      <c r="Z160" s="2">
        <v>0</v>
      </c>
      <c r="AA160" s="2" t="s">
        <v>51</v>
      </c>
      <c r="AB160" s="2">
        <v>90</v>
      </c>
      <c r="AC160" s="2">
        <v>0</v>
      </c>
      <c r="AD160" s="2">
        <v>1</v>
      </c>
      <c r="AE160" s="2" t="s">
        <v>40</v>
      </c>
      <c r="AF160" s="3">
        <v>42246</v>
      </c>
    </row>
    <row r="161" spans="1:32" x14ac:dyDescent="0.25">
      <c r="A161" s="2" t="s">
        <v>32</v>
      </c>
      <c r="B161" s="2">
        <v>0</v>
      </c>
      <c r="C161" s="2">
        <v>0</v>
      </c>
      <c r="D161" s="2">
        <v>2015</v>
      </c>
      <c r="E161" s="2" t="s">
        <v>59</v>
      </c>
      <c r="F161" s="2">
        <v>44</v>
      </c>
      <c r="G161" s="2">
        <v>27</v>
      </c>
      <c r="H161" s="2">
        <v>0</v>
      </c>
      <c r="I161" s="2">
        <v>1</v>
      </c>
      <c r="J161" s="2">
        <v>1</v>
      </c>
      <c r="K161" s="2">
        <v>0</v>
      </c>
      <c r="L161" s="2">
        <v>0</v>
      </c>
      <c r="M161" s="2" t="s">
        <v>34</v>
      </c>
      <c r="N161" s="2" t="s">
        <v>43</v>
      </c>
      <c r="O161" s="2" t="s">
        <v>36</v>
      </c>
      <c r="P161" s="2" t="s">
        <v>36</v>
      </c>
      <c r="Q161" s="2">
        <v>0</v>
      </c>
      <c r="R161" s="2">
        <v>0</v>
      </c>
      <c r="S161" s="2">
        <v>0</v>
      </c>
      <c r="T161" s="2" t="s">
        <v>57</v>
      </c>
      <c r="U161" s="2" t="s">
        <v>57</v>
      </c>
      <c r="V161" s="2">
        <v>0</v>
      </c>
      <c r="W161" s="2" t="s">
        <v>38</v>
      </c>
      <c r="X161" s="2"/>
      <c r="Y161" s="2"/>
      <c r="Z161" s="2">
        <v>0</v>
      </c>
      <c r="AA161" s="2" t="s">
        <v>39</v>
      </c>
      <c r="AB161" s="2">
        <v>45</v>
      </c>
      <c r="AC161" s="2">
        <v>0</v>
      </c>
      <c r="AD161" s="2">
        <v>0</v>
      </c>
      <c r="AE161" s="2" t="s">
        <v>40</v>
      </c>
      <c r="AF161" s="3">
        <v>42305</v>
      </c>
    </row>
    <row r="162" spans="1:32" x14ac:dyDescent="0.25">
      <c r="A162" s="2" t="s">
        <v>41</v>
      </c>
      <c r="B162" s="2">
        <v>1</v>
      </c>
      <c r="C162" s="2">
        <v>326</v>
      </c>
      <c r="D162" s="2">
        <v>2015</v>
      </c>
      <c r="E162" s="2" t="s">
        <v>62</v>
      </c>
      <c r="F162" s="2">
        <v>37</v>
      </c>
      <c r="G162" s="2">
        <v>8</v>
      </c>
      <c r="H162" s="2">
        <v>0</v>
      </c>
      <c r="I162" s="2">
        <v>1</v>
      </c>
      <c r="J162" s="2">
        <v>2</v>
      </c>
      <c r="K162" s="2">
        <v>0</v>
      </c>
      <c r="L162" s="2">
        <v>0</v>
      </c>
      <c r="M162" s="2" t="s">
        <v>34</v>
      </c>
      <c r="N162" s="2" t="s">
        <v>43</v>
      </c>
      <c r="O162" s="2" t="s">
        <v>64</v>
      </c>
      <c r="P162" s="2" t="s">
        <v>45</v>
      </c>
      <c r="Q162" s="2">
        <v>0</v>
      </c>
      <c r="R162" s="2">
        <v>1</v>
      </c>
      <c r="S162" s="2">
        <v>0</v>
      </c>
      <c r="T162" s="2" t="s">
        <v>46</v>
      </c>
      <c r="U162" s="2" t="s">
        <v>46</v>
      </c>
      <c r="V162" s="2">
        <v>0</v>
      </c>
      <c r="W162" s="2" t="s">
        <v>68</v>
      </c>
      <c r="X162" s="2">
        <v>1</v>
      </c>
      <c r="Y162" s="2"/>
      <c r="Z162" s="2">
        <v>0</v>
      </c>
      <c r="AA162" s="2" t="s">
        <v>39</v>
      </c>
      <c r="AB162" s="2">
        <v>60</v>
      </c>
      <c r="AC162" s="2">
        <v>0</v>
      </c>
      <c r="AD162" s="2">
        <v>0</v>
      </c>
      <c r="AE162" s="2" t="s">
        <v>47</v>
      </c>
      <c r="AF162" s="3">
        <v>42152</v>
      </c>
    </row>
    <row r="163" spans="1:32" x14ac:dyDescent="0.25">
      <c r="A163" s="2" t="s">
        <v>41</v>
      </c>
      <c r="B163" s="2">
        <v>0</v>
      </c>
      <c r="C163" s="2">
        <v>48</v>
      </c>
      <c r="D163" s="2">
        <v>2015</v>
      </c>
      <c r="E163" s="2" t="s">
        <v>59</v>
      </c>
      <c r="F163" s="2">
        <v>40</v>
      </c>
      <c r="G163" s="2">
        <v>2</v>
      </c>
      <c r="H163" s="2">
        <v>1</v>
      </c>
      <c r="I163" s="2">
        <v>2</v>
      </c>
      <c r="J163" s="2">
        <v>2</v>
      </c>
      <c r="K163" s="2">
        <v>0</v>
      </c>
      <c r="L163" s="2">
        <v>0</v>
      </c>
      <c r="M163" s="2" t="s">
        <v>34</v>
      </c>
      <c r="N163" s="2" t="s">
        <v>35</v>
      </c>
      <c r="O163" s="2" t="s">
        <v>44</v>
      </c>
      <c r="P163" s="2" t="s">
        <v>45</v>
      </c>
      <c r="Q163" s="2">
        <v>0</v>
      </c>
      <c r="R163" s="2">
        <v>0</v>
      </c>
      <c r="S163" s="2">
        <v>0</v>
      </c>
      <c r="T163" s="2" t="s">
        <v>46</v>
      </c>
      <c r="U163" s="2" t="s">
        <v>46</v>
      </c>
      <c r="V163" s="2">
        <v>0</v>
      </c>
      <c r="W163" s="2" t="s">
        <v>38</v>
      </c>
      <c r="X163" s="2">
        <v>7</v>
      </c>
      <c r="Y163" s="2"/>
      <c r="Z163" s="2">
        <v>0</v>
      </c>
      <c r="AA163" s="2" t="s">
        <v>39</v>
      </c>
      <c r="AB163" s="2">
        <v>73.510000000000005</v>
      </c>
      <c r="AC163" s="2">
        <v>0</v>
      </c>
      <c r="AD163" s="2">
        <v>0</v>
      </c>
      <c r="AE163" s="2" t="s">
        <v>40</v>
      </c>
      <c r="AF163" s="3">
        <v>42282</v>
      </c>
    </row>
    <row r="164" spans="1:32" x14ac:dyDescent="0.25">
      <c r="A164" s="2" t="s">
        <v>41</v>
      </c>
      <c r="B164" s="2">
        <v>1</v>
      </c>
      <c r="C164" s="2">
        <v>326</v>
      </c>
      <c r="D164" s="2">
        <v>2015</v>
      </c>
      <c r="E164" s="2" t="s">
        <v>62</v>
      </c>
      <c r="F164" s="2">
        <v>37</v>
      </c>
      <c r="G164" s="2">
        <v>8</v>
      </c>
      <c r="H164" s="2">
        <v>0</v>
      </c>
      <c r="I164" s="2">
        <v>1</v>
      </c>
      <c r="J164" s="2">
        <v>2</v>
      </c>
      <c r="K164" s="2">
        <v>0</v>
      </c>
      <c r="L164" s="2">
        <v>0</v>
      </c>
      <c r="M164" s="2" t="s">
        <v>34</v>
      </c>
      <c r="N164" s="2" t="s">
        <v>43</v>
      </c>
      <c r="O164" s="2" t="s">
        <v>64</v>
      </c>
      <c r="P164" s="2" t="s">
        <v>45</v>
      </c>
      <c r="Q164" s="2">
        <v>0</v>
      </c>
      <c r="R164" s="2">
        <v>1</v>
      </c>
      <c r="S164" s="2">
        <v>0</v>
      </c>
      <c r="T164" s="2" t="s">
        <v>46</v>
      </c>
      <c r="U164" s="2" t="s">
        <v>46</v>
      </c>
      <c r="V164" s="2">
        <v>0</v>
      </c>
      <c r="W164" s="2" t="s">
        <v>68</v>
      </c>
      <c r="X164" s="2">
        <v>1</v>
      </c>
      <c r="Y164" s="2"/>
      <c r="Z164" s="2">
        <v>0</v>
      </c>
      <c r="AA164" s="2" t="s">
        <v>39</v>
      </c>
      <c r="AB164" s="2">
        <v>60</v>
      </c>
      <c r="AC164" s="2">
        <v>0</v>
      </c>
      <c r="AD164" s="2">
        <v>0</v>
      </c>
      <c r="AE164" s="2" t="s">
        <v>47</v>
      </c>
      <c r="AF164" s="3">
        <v>42152</v>
      </c>
    </row>
    <row r="165" spans="1:32" x14ac:dyDescent="0.25">
      <c r="A165" s="2" t="s">
        <v>41</v>
      </c>
      <c r="B165" s="2">
        <v>0</v>
      </c>
      <c r="C165" s="2">
        <v>86</v>
      </c>
      <c r="D165" s="2">
        <v>2015</v>
      </c>
      <c r="E165" s="2" t="s">
        <v>62</v>
      </c>
      <c r="F165" s="2">
        <v>37</v>
      </c>
      <c r="G165" s="2">
        <v>9</v>
      </c>
      <c r="H165" s="2">
        <v>0</v>
      </c>
      <c r="I165" s="2">
        <v>2</v>
      </c>
      <c r="J165" s="2">
        <v>1</v>
      </c>
      <c r="K165" s="2">
        <v>0</v>
      </c>
      <c r="L165" s="2">
        <v>0</v>
      </c>
      <c r="M165" s="2" t="s">
        <v>34</v>
      </c>
      <c r="N165" s="2" t="s">
        <v>70</v>
      </c>
      <c r="O165" s="2" t="s">
        <v>76</v>
      </c>
      <c r="P165" s="2" t="s">
        <v>76</v>
      </c>
      <c r="Q165" s="2">
        <v>0</v>
      </c>
      <c r="R165" s="2">
        <v>0</v>
      </c>
      <c r="S165" s="2">
        <v>0</v>
      </c>
      <c r="T165" s="2" t="s">
        <v>46</v>
      </c>
      <c r="U165" s="2" t="s">
        <v>46</v>
      </c>
      <c r="V165" s="2">
        <v>0</v>
      </c>
      <c r="W165" s="2" t="s">
        <v>38</v>
      </c>
      <c r="X165" s="2"/>
      <c r="Y165" s="2">
        <v>68</v>
      </c>
      <c r="Z165" s="2">
        <v>0</v>
      </c>
      <c r="AA165" s="2" t="s">
        <v>51</v>
      </c>
      <c r="AB165" s="2">
        <v>90</v>
      </c>
      <c r="AC165" s="2">
        <v>0</v>
      </c>
      <c r="AD165" s="2">
        <v>0</v>
      </c>
      <c r="AE165" s="2" t="s">
        <v>40</v>
      </c>
      <c r="AF165" s="3">
        <v>42258</v>
      </c>
    </row>
    <row r="166" spans="1:32" x14ac:dyDescent="0.25">
      <c r="A166" s="2" t="s">
        <v>41</v>
      </c>
      <c r="B166" s="2">
        <v>1</v>
      </c>
      <c r="C166" s="2">
        <v>100</v>
      </c>
      <c r="D166" s="2">
        <v>2015</v>
      </c>
      <c r="E166" s="2" t="s">
        <v>59</v>
      </c>
      <c r="F166" s="2">
        <v>44</v>
      </c>
      <c r="G166" s="2">
        <v>31</v>
      </c>
      <c r="H166" s="2">
        <v>1</v>
      </c>
      <c r="I166" s="2">
        <v>1</v>
      </c>
      <c r="J166" s="2">
        <v>2</v>
      </c>
      <c r="K166" s="2">
        <v>0</v>
      </c>
      <c r="L166" s="2">
        <v>0</v>
      </c>
      <c r="M166" s="2" t="s">
        <v>34</v>
      </c>
      <c r="N166" s="2" t="s">
        <v>43</v>
      </c>
      <c r="O166" s="2" t="s">
        <v>64</v>
      </c>
      <c r="P166" s="2" t="s">
        <v>45</v>
      </c>
      <c r="Q166" s="2">
        <v>0</v>
      </c>
      <c r="R166" s="2">
        <v>0</v>
      </c>
      <c r="S166" s="2">
        <v>0</v>
      </c>
      <c r="T166" s="2" t="s">
        <v>46</v>
      </c>
      <c r="U166" s="2" t="s">
        <v>46</v>
      </c>
      <c r="V166" s="2">
        <v>0</v>
      </c>
      <c r="W166" s="2" t="s">
        <v>38</v>
      </c>
      <c r="X166" s="2">
        <v>1</v>
      </c>
      <c r="Y166" s="2"/>
      <c r="Z166" s="2">
        <v>0</v>
      </c>
      <c r="AA166" s="2" t="s">
        <v>51</v>
      </c>
      <c r="AB166" s="2">
        <v>62</v>
      </c>
      <c r="AC166" s="2">
        <v>0</v>
      </c>
      <c r="AD166" s="2">
        <v>0</v>
      </c>
      <c r="AE166" s="2" t="s">
        <v>47</v>
      </c>
      <c r="AF166" s="3">
        <v>42296</v>
      </c>
    </row>
    <row r="167" spans="1:32" x14ac:dyDescent="0.25">
      <c r="A167" s="2" t="s">
        <v>41</v>
      </c>
      <c r="B167" s="2">
        <v>0</v>
      </c>
      <c r="C167" s="2">
        <v>19</v>
      </c>
      <c r="D167" s="2">
        <v>2015</v>
      </c>
      <c r="E167" s="2" t="s">
        <v>62</v>
      </c>
      <c r="F167" s="2">
        <v>39</v>
      </c>
      <c r="G167" s="2">
        <v>20</v>
      </c>
      <c r="H167" s="2">
        <v>1</v>
      </c>
      <c r="I167" s="2">
        <v>0</v>
      </c>
      <c r="J167" s="2">
        <v>2</v>
      </c>
      <c r="K167" s="2">
        <v>0</v>
      </c>
      <c r="L167" s="2">
        <v>0</v>
      </c>
      <c r="M167" s="2" t="s">
        <v>34</v>
      </c>
      <c r="N167" s="2" t="s">
        <v>43</v>
      </c>
      <c r="O167" s="2" t="s">
        <v>36</v>
      </c>
      <c r="P167" s="2" t="s">
        <v>36</v>
      </c>
      <c r="Q167" s="2">
        <v>0</v>
      </c>
      <c r="R167" s="2">
        <v>0</v>
      </c>
      <c r="S167" s="2">
        <v>0</v>
      </c>
      <c r="T167" s="2" t="s">
        <v>46</v>
      </c>
      <c r="U167" s="2" t="s">
        <v>72</v>
      </c>
      <c r="V167" s="2">
        <v>1</v>
      </c>
      <c r="W167" s="2" t="s">
        <v>38</v>
      </c>
      <c r="X167" s="2">
        <v>14</v>
      </c>
      <c r="Y167" s="2">
        <v>84</v>
      </c>
      <c r="Z167" s="2">
        <v>0</v>
      </c>
      <c r="AA167" s="2" t="s">
        <v>39</v>
      </c>
      <c r="AB167" s="2">
        <v>124</v>
      </c>
      <c r="AC167" s="2">
        <v>0</v>
      </c>
      <c r="AD167" s="2">
        <v>0</v>
      </c>
      <c r="AE167" s="2" t="s">
        <v>40</v>
      </c>
      <c r="AF167" s="3">
        <v>42268</v>
      </c>
    </row>
    <row r="168" spans="1:32" x14ac:dyDescent="0.25">
      <c r="A168" s="2" t="s">
        <v>32</v>
      </c>
      <c r="B168" s="2">
        <v>0</v>
      </c>
      <c r="C168" s="2">
        <v>1</v>
      </c>
      <c r="D168" s="2">
        <v>2015</v>
      </c>
      <c r="E168" s="2" t="s">
        <v>33</v>
      </c>
      <c r="F168" s="2">
        <v>50</v>
      </c>
      <c r="G168" s="2">
        <v>12</v>
      </c>
      <c r="H168" s="2">
        <v>0</v>
      </c>
      <c r="I168" s="2">
        <v>1</v>
      </c>
      <c r="J168" s="2">
        <v>2</v>
      </c>
      <c r="K168" s="2">
        <v>0</v>
      </c>
      <c r="L168" s="2">
        <v>1</v>
      </c>
      <c r="M168" s="2" t="s">
        <v>60</v>
      </c>
      <c r="N168" s="2" t="s">
        <v>43</v>
      </c>
      <c r="O168" s="2" t="s">
        <v>36</v>
      </c>
      <c r="P168" s="2" t="s">
        <v>36</v>
      </c>
      <c r="Q168" s="2">
        <v>0</v>
      </c>
      <c r="R168" s="2">
        <v>0</v>
      </c>
      <c r="S168" s="2">
        <v>0</v>
      </c>
      <c r="T168" s="2" t="s">
        <v>46</v>
      </c>
      <c r="U168" s="2" t="s">
        <v>57</v>
      </c>
      <c r="V168" s="2">
        <v>0</v>
      </c>
      <c r="W168" s="2" t="s">
        <v>38</v>
      </c>
      <c r="X168" s="2"/>
      <c r="Y168" s="2"/>
      <c r="Z168" s="2">
        <v>0</v>
      </c>
      <c r="AA168" s="2" t="s">
        <v>39</v>
      </c>
      <c r="AB168" s="2">
        <v>79</v>
      </c>
      <c r="AC168" s="2">
        <v>1</v>
      </c>
      <c r="AD168" s="2">
        <v>1</v>
      </c>
      <c r="AE168" s="2" t="s">
        <v>40</v>
      </c>
      <c r="AF168" s="3">
        <v>42351</v>
      </c>
    </row>
    <row r="169" spans="1:32" x14ac:dyDescent="0.25">
      <c r="A169" s="2" t="s">
        <v>41</v>
      </c>
      <c r="B169" s="2">
        <v>0</v>
      </c>
      <c r="C169" s="2">
        <v>56</v>
      </c>
      <c r="D169" s="2">
        <v>2015</v>
      </c>
      <c r="E169" s="2" t="s">
        <v>61</v>
      </c>
      <c r="F169" s="2">
        <v>45</v>
      </c>
      <c r="G169" s="2">
        <v>6</v>
      </c>
      <c r="H169" s="2">
        <v>1</v>
      </c>
      <c r="I169" s="2">
        <v>2</v>
      </c>
      <c r="J169" s="2">
        <v>2</v>
      </c>
      <c r="K169" s="2">
        <v>0</v>
      </c>
      <c r="L169" s="2">
        <v>0</v>
      </c>
      <c r="M169" s="2" t="s">
        <v>34</v>
      </c>
      <c r="N169" s="2" t="s">
        <v>63</v>
      </c>
      <c r="O169" s="2" t="s">
        <v>49</v>
      </c>
      <c r="P169" s="2" t="s">
        <v>45</v>
      </c>
      <c r="Q169" s="2">
        <v>0</v>
      </c>
      <c r="R169" s="2">
        <v>0</v>
      </c>
      <c r="S169" s="2">
        <v>0</v>
      </c>
      <c r="T169" s="2" t="s">
        <v>57</v>
      </c>
      <c r="U169" s="2" t="s">
        <v>46</v>
      </c>
      <c r="V169" s="2">
        <v>0</v>
      </c>
      <c r="W169" s="2" t="s">
        <v>38</v>
      </c>
      <c r="X169" s="2">
        <v>28</v>
      </c>
      <c r="Y169" s="2"/>
      <c r="Z169" s="2">
        <v>0</v>
      </c>
      <c r="AA169" s="2" t="s">
        <v>39</v>
      </c>
      <c r="AB169" s="2">
        <v>60</v>
      </c>
      <c r="AC169" s="2">
        <v>0</v>
      </c>
      <c r="AD169" s="2">
        <v>1</v>
      </c>
      <c r="AE169" s="2" t="s">
        <v>40</v>
      </c>
      <c r="AF169" s="3">
        <v>42317</v>
      </c>
    </row>
    <row r="170" spans="1:32" x14ac:dyDescent="0.25">
      <c r="A170" s="2" t="s">
        <v>32</v>
      </c>
      <c r="B170" s="2">
        <v>0</v>
      </c>
      <c r="C170" s="2">
        <v>0</v>
      </c>
      <c r="D170" s="2">
        <v>2015</v>
      </c>
      <c r="E170" s="2" t="s">
        <v>33</v>
      </c>
      <c r="F170" s="2">
        <v>51</v>
      </c>
      <c r="G170" s="2">
        <v>18</v>
      </c>
      <c r="H170" s="2">
        <v>0</v>
      </c>
      <c r="I170" s="2">
        <v>1</v>
      </c>
      <c r="J170" s="2">
        <v>2</v>
      </c>
      <c r="K170" s="2">
        <v>0</v>
      </c>
      <c r="L170" s="2">
        <v>0</v>
      </c>
      <c r="M170" s="2" t="s">
        <v>34</v>
      </c>
      <c r="N170" s="2" t="s">
        <v>43</v>
      </c>
      <c r="O170" s="2" t="s">
        <v>49</v>
      </c>
      <c r="P170" s="2" t="s">
        <v>45</v>
      </c>
      <c r="Q170" s="2">
        <v>1</v>
      </c>
      <c r="R170" s="2">
        <v>0</v>
      </c>
      <c r="S170" s="2">
        <v>1</v>
      </c>
      <c r="T170" s="2" t="s">
        <v>46</v>
      </c>
      <c r="U170" s="2" t="s">
        <v>46</v>
      </c>
      <c r="V170" s="2">
        <v>0</v>
      </c>
      <c r="W170" s="2" t="s">
        <v>38</v>
      </c>
      <c r="X170" s="2">
        <v>127</v>
      </c>
      <c r="Y170" s="2"/>
      <c r="Z170" s="2">
        <v>0</v>
      </c>
      <c r="AA170" s="2" t="s">
        <v>39</v>
      </c>
      <c r="AB170" s="2">
        <v>30.5</v>
      </c>
      <c r="AC170" s="2">
        <v>0</v>
      </c>
      <c r="AD170" s="2">
        <v>1</v>
      </c>
      <c r="AE170" s="2" t="s">
        <v>40</v>
      </c>
      <c r="AF170" s="3">
        <v>42357</v>
      </c>
    </row>
    <row r="171" spans="1:32" x14ac:dyDescent="0.25">
      <c r="A171" s="2" t="s">
        <v>32</v>
      </c>
      <c r="B171" s="2">
        <v>1</v>
      </c>
      <c r="C171" s="2">
        <v>11</v>
      </c>
      <c r="D171" s="2">
        <v>2015</v>
      </c>
      <c r="E171" s="2" t="s">
        <v>33</v>
      </c>
      <c r="F171" s="2">
        <v>49</v>
      </c>
      <c r="G171" s="2">
        <v>5</v>
      </c>
      <c r="H171" s="2">
        <v>2</v>
      </c>
      <c r="I171" s="2">
        <v>1</v>
      </c>
      <c r="J171" s="2">
        <v>2</v>
      </c>
      <c r="K171" s="2">
        <v>0</v>
      </c>
      <c r="L171" s="2">
        <v>0</v>
      </c>
      <c r="M171" s="2" t="s">
        <v>60</v>
      </c>
      <c r="N171" s="2" t="s">
        <v>43</v>
      </c>
      <c r="O171" s="2" t="s">
        <v>49</v>
      </c>
      <c r="P171" s="2" t="s">
        <v>45</v>
      </c>
      <c r="Q171" s="2">
        <v>0</v>
      </c>
      <c r="R171" s="2">
        <v>1</v>
      </c>
      <c r="S171" s="2">
        <v>0</v>
      </c>
      <c r="T171" s="2" t="s">
        <v>46</v>
      </c>
      <c r="U171" s="2" t="s">
        <v>46</v>
      </c>
      <c r="V171" s="2">
        <v>0</v>
      </c>
      <c r="W171" s="2" t="s">
        <v>38</v>
      </c>
      <c r="X171" s="2"/>
      <c r="Y171" s="2"/>
      <c r="Z171" s="2">
        <v>0</v>
      </c>
      <c r="AA171" s="2" t="s">
        <v>51</v>
      </c>
      <c r="AB171" s="2">
        <v>68</v>
      </c>
      <c r="AC171" s="2">
        <v>0</v>
      </c>
      <c r="AD171" s="2">
        <v>0</v>
      </c>
      <c r="AE171" s="2" t="s">
        <v>47</v>
      </c>
      <c r="AF171" s="3">
        <v>42340</v>
      </c>
    </row>
    <row r="172" spans="1:32" x14ac:dyDescent="0.25">
      <c r="A172" s="2" t="s">
        <v>32</v>
      </c>
      <c r="B172" s="2">
        <v>0</v>
      </c>
      <c r="C172" s="2">
        <v>0</v>
      </c>
      <c r="D172" s="2">
        <v>2015</v>
      </c>
      <c r="E172" s="2" t="s">
        <v>62</v>
      </c>
      <c r="F172" s="2">
        <v>36</v>
      </c>
      <c r="G172" s="2">
        <v>2</v>
      </c>
      <c r="H172" s="2">
        <v>0</v>
      </c>
      <c r="I172" s="2">
        <v>1</v>
      </c>
      <c r="J172" s="2">
        <v>1</v>
      </c>
      <c r="K172" s="2">
        <v>0</v>
      </c>
      <c r="L172" s="2">
        <v>0</v>
      </c>
      <c r="M172" s="2" t="s">
        <v>34</v>
      </c>
      <c r="N172" s="2" t="s">
        <v>43</v>
      </c>
      <c r="O172" s="2" t="s">
        <v>76</v>
      </c>
      <c r="P172" s="2" t="s">
        <v>76</v>
      </c>
      <c r="Q172" s="2">
        <v>0</v>
      </c>
      <c r="R172" s="2">
        <v>0</v>
      </c>
      <c r="S172" s="2">
        <v>0</v>
      </c>
      <c r="T172" s="2" t="s">
        <v>46</v>
      </c>
      <c r="U172" s="2" t="s">
        <v>72</v>
      </c>
      <c r="V172" s="2">
        <v>0</v>
      </c>
      <c r="W172" s="2" t="s">
        <v>38</v>
      </c>
      <c r="X172" s="2">
        <v>88</v>
      </c>
      <c r="Y172" s="2"/>
      <c r="Z172" s="2">
        <v>0</v>
      </c>
      <c r="AA172" s="2" t="s">
        <v>39</v>
      </c>
      <c r="AB172" s="2">
        <v>134</v>
      </c>
      <c r="AC172" s="2">
        <v>0</v>
      </c>
      <c r="AD172" s="2">
        <v>0</v>
      </c>
      <c r="AE172" s="2" t="s">
        <v>40</v>
      </c>
      <c r="AF172" s="3">
        <v>42250</v>
      </c>
    </row>
    <row r="173" spans="1:32" x14ac:dyDescent="0.25">
      <c r="A173" s="2" t="s">
        <v>41</v>
      </c>
      <c r="B173" s="2">
        <v>0</v>
      </c>
      <c r="C173" s="2">
        <v>75</v>
      </c>
      <c r="D173" s="2">
        <v>2015</v>
      </c>
      <c r="E173" s="2" t="s">
        <v>62</v>
      </c>
      <c r="F173" s="2">
        <v>38</v>
      </c>
      <c r="G173" s="2">
        <v>19</v>
      </c>
      <c r="H173" s="2">
        <v>2</v>
      </c>
      <c r="I173" s="2">
        <v>2</v>
      </c>
      <c r="J173" s="2">
        <v>2</v>
      </c>
      <c r="K173" s="2">
        <v>0</v>
      </c>
      <c r="L173" s="2">
        <v>0</v>
      </c>
      <c r="M173" s="2" t="s">
        <v>34</v>
      </c>
      <c r="N173" s="2" t="s">
        <v>63</v>
      </c>
      <c r="O173" s="2" t="s">
        <v>64</v>
      </c>
      <c r="P173" s="2" t="s">
        <v>45</v>
      </c>
      <c r="Q173" s="2">
        <v>0</v>
      </c>
      <c r="R173" s="2">
        <v>0</v>
      </c>
      <c r="S173" s="2">
        <v>0</v>
      </c>
      <c r="T173" s="2" t="s">
        <v>46</v>
      </c>
      <c r="U173" s="2" t="s">
        <v>46</v>
      </c>
      <c r="V173" s="2">
        <v>0</v>
      </c>
      <c r="W173" s="2" t="s">
        <v>38</v>
      </c>
      <c r="X173" s="2">
        <v>1</v>
      </c>
      <c r="Y173" s="2"/>
      <c r="Z173" s="2">
        <v>0</v>
      </c>
      <c r="AA173" s="2" t="s">
        <v>51</v>
      </c>
      <c r="AB173" s="2">
        <v>62</v>
      </c>
      <c r="AC173" s="2">
        <v>0</v>
      </c>
      <c r="AD173" s="2">
        <v>0</v>
      </c>
      <c r="AE173" s="2" t="s">
        <v>40</v>
      </c>
      <c r="AF173" s="3">
        <v>42270</v>
      </c>
    </row>
    <row r="174" spans="1:32" x14ac:dyDescent="0.25">
      <c r="A174" s="2" t="s">
        <v>41</v>
      </c>
      <c r="B174" s="2">
        <v>1</v>
      </c>
      <c r="C174" s="2">
        <v>334</v>
      </c>
      <c r="D174" s="2">
        <v>2015</v>
      </c>
      <c r="E174" s="2" t="s">
        <v>62</v>
      </c>
      <c r="F174" s="2">
        <v>38</v>
      </c>
      <c r="G174" s="2">
        <v>16</v>
      </c>
      <c r="H174" s="2">
        <v>0</v>
      </c>
      <c r="I174" s="2">
        <v>2</v>
      </c>
      <c r="J174" s="2">
        <v>2</v>
      </c>
      <c r="K174" s="2">
        <v>0</v>
      </c>
      <c r="L174" s="2">
        <v>0</v>
      </c>
      <c r="M174" s="2" t="s">
        <v>34</v>
      </c>
      <c r="N174" s="2" t="s">
        <v>43</v>
      </c>
      <c r="O174" s="2" t="s">
        <v>64</v>
      </c>
      <c r="P174" s="2" t="s">
        <v>45</v>
      </c>
      <c r="Q174" s="2">
        <v>0</v>
      </c>
      <c r="R174" s="2">
        <v>1</v>
      </c>
      <c r="S174" s="2">
        <v>0</v>
      </c>
      <c r="T174" s="2" t="s">
        <v>46</v>
      </c>
      <c r="U174" s="2" t="s">
        <v>46</v>
      </c>
      <c r="V174" s="2">
        <v>0</v>
      </c>
      <c r="W174" s="2" t="s">
        <v>68</v>
      </c>
      <c r="X174" s="2">
        <v>1</v>
      </c>
      <c r="Y174" s="2"/>
      <c r="Z174" s="2">
        <v>0</v>
      </c>
      <c r="AA174" s="2" t="s">
        <v>51</v>
      </c>
      <c r="AB174" s="2">
        <v>62</v>
      </c>
      <c r="AC174" s="2">
        <v>0</v>
      </c>
      <c r="AD174" s="2">
        <v>0</v>
      </c>
      <c r="AE174" s="2" t="s">
        <v>47</v>
      </c>
      <c r="AF174" s="3">
        <v>42187</v>
      </c>
    </row>
    <row r="175" spans="1:32" x14ac:dyDescent="0.25">
      <c r="A175" s="2" t="s">
        <v>41</v>
      </c>
      <c r="B175" s="2">
        <v>0</v>
      </c>
      <c r="C175" s="2">
        <v>241</v>
      </c>
      <c r="D175" s="2">
        <v>2015</v>
      </c>
      <c r="E175" s="2" t="s">
        <v>59</v>
      </c>
      <c r="F175" s="2">
        <v>43</v>
      </c>
      <c r="G175" s="2">
        <v>19</v>
      </c>
      <c r="H175" s="2">
        <v>1</v>
      </c>
      <c r="I175" s="2">
        <v>2</v>
      </c>
      <c r="J175" s="2">
        <v>2</v>
      </c>
      <c r="K175" s="2">
        <v>0</v>
      </c>
      <c r="L175" s="2">
        <v>0</v>
      </c>
      <c r="M175" s="2" t="s">
        <v>34</v>
      </c>
      <c r="N175" s="2" t="s">
        <v>71</v>
      </c>
      <c r="O175" s="2" t="s">
        <v>64</v>
      </c>
      <c r="P175" s="2" t="s">
        <v>45</v>
      </c>
      <c r="Q175" s="2">
        <v>0</v>
      </c>
      <c r="R175" s="2">
        <v>0</v>
      </c>
      <c r="S175" s="2">
        <v>0</v>
      </c>
      <c r="T175" s="2" t="s">
        <v>46</v>
      </c>
      <c r="U175" s="2" t="s">
        <v>46</v>
      </c>
      <c r="V175" s="2">
        <v>0</v>
      </c>
      <c r="W175" s="2" t="s">
        <v>38</v>
      </c>
      <c r="X175" s="2">
        <v>1</v>
      </c>
      <c r="Y175" s="2"/>
      <c r="Z175" s="2">
        <v>0</v>
      </c>
      <c r="AA175" s="2" t="s">
        <v>51</v>
      </c>
      <c r="AB175" s="2">
        <v>60</v>
      </c>
      <c r="AC175" s="2">
        <v>0</v>
      </c>
      <c r="AD175" s="2">
        <v>0</v>
      </c>
      <c r="AE175" s="2" t="s">
        <v>40</v>
      </c>
      <c r="AF175" s="3">
        <v>42299</v>
      </c>
    </row>
    <row r="176" spans="1:32" x14ac:dyDescent="0.25">
      <c r="A176" s="2" t="s">
        <v>41</v>
      </c>
      <c r="B176" s="2">
        <v>1</v>
      </c>
      <c r="C176" s="2">
        <v>89</v>
      </c>
      <c r="D176" s="2">
        <v>2015</v>
      </c>
      <c r="E176" s="2" t="s">
        <v>42</v>
      </c>
      <c r="F176" s="2">
        <v>31</v>
      </c>
      <c r="G176" s="2">
        <v>27</v>
      </c>
      <c r="H176" s="2">
        <v>1</v>
      </c>
      <c r="I176" s="2">
        <v>1</v>
      </c>
      <c r="J176" s="2">
        <v>2</v>
      </c>
      <c r="K176" s="2">
        <v>0</v>
      </c>
      <c r="L176" s="2">
        <v>0</v>
      </c>
      <c r="M176" s="2" t="s">
        <v>34</v>
      </c>
      <c r="N176" s="2" t="s">
        <v>43</v>
      </c>
      <c r="O176" s="2" t="s">
        <v>44</v>
      </c>
      <c r="P176" s="2" t="s">
        <v>45</v>
      </c>
      <c r="Q176" s="2">
        <v>0</v>
      </c>
      <c r="R176" s="2">
        <v>0</v>
      </c>
      <c r="S176" s="2">
        <v>0</v>
      </c>
      <c r="T176" s="2" t="s">
        <v>46</v>
      </c>
      <c r="U176" s="2" t="s">
        <v>46</v>
      </c>
      <c r="V176" s="2">
        <v>0</v>
      </c>
      <c r="W176" s="2" t="s">
        <v>38</v>
      </c>
      <c r="X176" s="2">
        <v>8</v>
      </c>
      <c r="Y176" s="2"/>
      <c r="Z176" s="2">
        <v>0</v>
      </c>
      <c r="AA176" s="2" t="s">
        <v>39</v>
      </c>
      <c r="AB176" s="2">
        <v>76.5</v>
      </c>
      <c r="AC176" s="2">
        <v>0</v>
      </c>
      <c r="AD176" s="2">
        <v>0</v>
      </c>
      <c r="AE176" s="2" t="s">
        <v>47</v>
      </c>
      <c r="AF176" s="3">
        <v>42191</v>
      </c>
    </row>
    <row r="177" spans="1:32" x14ac:dyDescent="0.25">
      <c r="A177" s="2" t="s">
        <v>41</v>
      </c>
      <c r="B177" s="2">
        <v>0</v>
      </c>
      <c r="C177" s="2">
        <v>11</v>
      </c>
      <c r="D177" s="2">
        <v>2015</v>
      </c>
      <c r="E177" s="2" t="s">
        <v>67</v>
      </c>
      <c r="F177" s="2">
        <v>33</v>
      </c>
      <c r="G177" s="2">
        <v>15</v>
      </c>
      <c r="H177" s="2">
        <v>2</v>
      </c>
      <c r="I177" s="2">
        <v>1</v>
      </c>
      <c r="J177" s="2">
        <v>2</v>
      </c>
      <c r="K177" s="2">
        <v>0</v>
      </c>
      <c r="L177" s="2">
        <v>0</v>
      </c>
      <c r="M177" s="2" t="s">
        <v>60</v>
      </c>
      <c r="N177" s="2" t="s">
        <v>106</v>
      </c>
      <c r="O177" s="2" t="s">
        <v>49</v>
      </c>
      <c r="P177" s="2" t="s">
        <v>45</v>
      </c>
      <c r="Q177" s="2">
        <v>0</v>
      </c>
      <c r="R177" s="2">
        <v>0</v>
      </c>
      <c r="S177" s="2">
        <v>0</v>
      </c>
      <c r="T177" s="2" t="s">
        <v>46</v>
      </c>
      <c r="U177" s="2" t="s">
        <v>46</v>
      </c>
      <c r="V177" s="2">
        <v>0</v>
      </c>
      <c r="W177" s="2" t="s">
        <v>38</v>
      </c>
      <c r="X177" s="2">
        <v>17</v>
      </c>
      <c r="Y177" s="2"/>
      <c r="Z177" s="2">
        <v>0</v>
      </c>
      <c r="AA177" s="2" t="s">
        <v>51</v>
      </c>
      <c r="AB177" s="2">
        <v>94.5</v>
      </c>
      <c r="AC177" s="2">
        <v>0</v>
      </c>
      <c r="AD177" s="2">
        <v>0</v>
      </c>
      <c r="AE177" s="2" t="s">
        <v>40</v>
      </c>
      <c r="AF177" s="3">
        <v>42234</v>
      </c>
    </row>
    <row r="178" spans="1:32" x14ac:dyDescent="0.25">
      <c r="A178" s="2" t="s">
        <v>41</v>
      </c>
      <c r="B178" s="2">
        <v>0</v>
      </c>
      <c r="C178" s="2">
        <v>188</v>
      </c>
      <c r="D178" s="2">
        <v>2015</v>
      </c>
      <c r="E178" s="2" t="s">
        <v>67</v>
      </c>
      <c r="F178" s="2">
        <v>35</v>
      </c>
      <c r="G178" s="2">
        <v>23</v>
      </c>
      <c r="H178" s="2">
        <v>2</v>
      </c>
      <c r="I178" s="2">
        <v>3</v>
      </c>
      <c r="J178" s="2">
        <v>2</v>
      </c>
      <c r="K178" s="2">
        <v>0</v>
      </c>
      <c r="L178" s="2">
        <v>0</v>
      </c>
      <c r="M178" s="2" t="s">
        <v>34</v>
      </c>
      <c r="N178" s="2" t="s">
        <v>43</v>
      </c>
      <c r="O178" s="2" t="s">
        <v>44</v>
      </c>
      <c r="P178" s="2" t="s">
        <v>45</v>
      </c>
      <c r="Q178" s="2">
        <v>0</v>
      </c>
      <c r="R178" s="2">
        <v>0</v>
      </c>
      <c r="S178" s="2">
        <v>0</v>
      </c>
      <c r="T178" s="2" t="s">
        <v>57</v>
      </c>
      <c r="U178" s="2" t="s">
        <v>57</v>
      </c>
      <c r="V178" s="2">
        <v>0</v>
      </c>
      <c r="W178" s="2" t="s">
        <v>38</v>
      </c>
      <c r="X178" s="2">
        <v>8</v>
      </c>
      <c r="Y178" s="2"/>
      <c r="Z178" s="2">
        <v>0</v>
      </c>
      <c r="AA178" s="2" t="s">
        <v>39</v>
      </c>
      <c r="AB178" s="2">
        <v>89.25</v>
      </c>
      <c r="AC178" s="2">
        <v>0</v>
      </c>
      <c r="AD178" s="2">
        <v>1</v>
      </c>
      <c r="AE178" s="2" t="s">
        <v>40</v>
      </c>
      <c r="AF178" s="3">
        <v>42244</v>
      </c>
    </row>
    <row r="179" spans="1:32" x14ac:dyDescent="0.25">
      <c r="A179" s="2" t="s">
        <v>32</v>
      </c>
      <c r="B179" s="2">
        <v>0</v>
      </c>
      <c r="C179" s="2">
        <v>20</v>
      </c>
      <c r="D179" s="2">
        <v>2015</v>
      </c>
      <c r="E179" s="2" t="s">
        <v>42</v>
      </c>
      <c r="F179" s="2">
        <v>31</v>
      </c>
      <c r="G179" s="2">
        <v>30</v>
      </c>
      <c r="H179" s="2">
        <v>1</v>
      </c>
      <c r="I179" s="2">
        <v>3</v>
      </c>
      <c r="J179" s="2">
        <v>2</v>
      </c>
      <c r="K179" s="2">
        <v>1</v>
      </c>
      <c r="L179" s="2">
        <v>0</v>
      </c>
      <c r="M179" s="2" t="s">
        <v>34</v>
      </c>
      <c r="N179" s="2" t="s">
        <v>48</v>
      </c>
      <c r="O179" s="2" t="s">
        <v>44</v>
      </c>
      <c r="P179" s="2" t="s">
        <v>45</v>
      </c>
      <c r="Q179" s="2">
        <v>0</v>
      </c>
      <c r="R179" s="2">
        <v>0</v>
      </c>
      <c r="S179" s="2">
        <v>0</v>
      </c>
      <c r="T179" s="2" t="s">
        <v>46</v>
      </c>
      <c r="U179" s="2" t="s">
        <v>104</v>
      </c>
      <c r="V179" s="2">
        <v>0</v>
      </c>
      <c r="W179" s="2" t="s">
        <v>38</v>
      </c>
      <c r="X179" s="2">
        <v>240</v>
      </c>
      <c r="Y179" s="2"/>
      <c r="Z179" s="2">
        <v>0</v>
      </c>
      <c r="AA179" s="2" t="s">
        <v>39</v>
      </c>
      <c r="AB179" s="2">
        <v>193</v>
      </c>
      <c r="AC179" s="2">
        <v>0</v>
      </c>
      <c r="AD179" s="2">
        <v>1</v>
      </c>
      <c r="AE179" s="2" t="s">
        <v>40</v>
      </c>
      <c r="AF179" s="3">
        <v>42219</v>
      </c>
    </row>
    <row r="180" spans="1:32" x14ac:dyDescent="0.25">
      <c r="A180" s="2" t="s">
        <v>41</v>
      </c>
      <c r="B180" s="2">
        <v>1</v>
      </c>
      <c r="C180" s="2">
        <v>262</v>
      </c>
      <c r="D180" s="2">
        <v>2015</v>
      </c>
      <c r="E180" s="2" t="s">
        <v>42</v>
      </c>
      <c r="F180" s="2">
        <v>28</v>
      </c>
      <c r="G180" s="2">
        <v>6</v>
      </c>
      <c r="H180" s="2">
        <v>1</v>
      </c>
      <c r="I180" s="2">
        <v>1</v>
      </c>
      <c r="J180" s="2">
        <v>2</v>
      </c>
      <c r="K180" s="2">
        <v>0</v>
      </c>
      <c r="L180" s="2">
        <v>0</v>
      </c>
      <c r="M180" s="2" t="s">
        <v>34</v>
      </c>
      <c r="N180" s="2" t="s">
        <v>43</v>
      </c>
      <c r="O180" s="2" t="s">
        <v>64</v>
      </c>
      <c r="P180" s="2" t="s">
        <v>45</v>
      </c>
      <c r="Q180" s="2">
        <v>0</v>
      </c>
      <c r="R180" s="2">
        <v>1</v>
      </c>
      <c r="S180" s="2">
        <v>0</v>
      </c>
      <c r="T180" s="2" t="s">
        <v>46</v>
      </c>
      <c r="U180" s="2" t="s">
        <v>46</v>
      </c>
      <c r="V180" s="2">
        <v>0</v>
      </c>
      <c r="W180" s="2" t="s">
        <v>38</v>
      </c>
      <c r="X180" s="2">
        <v>1</v>
      </c>
      <c r="Y180" s="2"/>
      <c r="Z180" s="2">
        <v>0</v>
      </c>
      <c r="AA180" s="2" t="s">
        <v>73</v>
      </c>
      <c r="AB180" s="2">
        <v>62</v>
      </c>
      <c r="AC180" s="2">
        <v>0</v>
      </c>
      <c r="AD180" s="2">
        <v>0</v>
      </c>
      <c r="AE180" s="2" t="s">
        <v>47</v>
      </c>
      <c r="AF180" s="3">
        <v>42005</v>
      </c>
    </row>
    <row r="181" spans="1:32" x14ac:dyDescent="0.25">
      <c r="A181" s="2" t="s">
        <v>41</v>
      </c>
      <c r="B181" s="2">
        <v>0</v>
      </c>
      <c r="C181" s="2">
        <v>97</v>
      </c>
      <c r="D181" s="2">
        <v>2015</v>
      </c>
      <c r="E181" s="2" t="s">
        <v>59</v>
      </c>
      <c r="F181" s="2">
        <v>41</v>
      </c>
      <c r="G181" s="2">
        <v>7</v>
      </c>
      <c r="H181" s="2">
        <v>0</v>
      </c>
      <c r="I181" s="2">
        <v>2</v>
      </c>
      <c r="J181" s="2">
        <v>2</v>
      </c>
      <c r="K181" s="2">
        <v>0</v>
      </c>
      <c r="L181" s="2">
        <v>0</v>
      </c>
      <c r="M181" s="2" t="s">
        <v>34</v>
      </c>
      <c r="N181" s="2" t="s">
        <v>43</v>
      </c>
      <c r="O181" s="2" t="s">
        <v>64</v>
      </c>
      <c r="P181" s="2" t="s">
        <v>45</v>
      </c>
      <c r="Q181" s="2">
        <v>0</v>
      </c>
      <c r="R181" s="2">
        <v>0</v>
      </c>
      <c r="S181" s="2">
        <v>0</v>
      </c>
      <c r="T181" s="2" t="s">
        <v>46</v>
      </c>
      <c r="U181" s="2" t="s">
        <v>46</v>
      </c>
      <c r="V181" s="2">
        <v>0</v>
      </c>
      <c r="W181" s="2" t="s">
        <v>38</v>
      </c>
      <c r="X181" s="2">
        <v>1</v>
      </c>
      <c r="Y181" s="2"/>
      <c r="Z181" s="2">
        <v>0</v>
      </c>
      <c r="AA181" s="2" t="s">
        <v>51</v>
      </c>
      <c r="AB181" s="2">
        <v>62</v>
      </c>
      <c r="AC181" s="2">
        <v>0</v>
      </c>
      <c r="AD181" s="2">
        <v>0</v>
      </c>
      <c r="AE181" s="2" t="s">
        <v>40</v>
      </c>
      <c r="AF181" s="3">
        <v>42286</v>
      </c>
    </row>
    <row r="182" spans="1:32" x14ac:dyDescent="0.25">
      <c r="A182" s="2" t="s">
        <v>41</v>
      </c>
      <c r="B182" s="2">
        <v>1</v>
      </c>
      <c r="C182" s="2">
        <v>312</v>
      </c>
      <c r="D182" s="2">
        <v>2015</v>
      </c>
      <c r="E182" s="2" t="s">
        <v>67</v>
      </c>
      <c r="F182" s="2">
        <v>35</v>
      </c>
      <c r="G182" s="2">
        <v>25</v>
      </c>
      <c r="H182" s="2">
        <v>0</v>
      </c>
      <c r="I182" s="2">
        <v>4</v>
      </c>
      <c r="J182" s="2">
        <v>2</v>
      </c>
      <c r="K182" s="2">
        <v>0</v>
      </c>
      <c r="L182" s="2">
        <v>0</v>
      </c>
      <c r="M182" s="2" t="s">
        <v>34</v>
      </c>
      <c r="N182" s="2" t="s">
        <v>43</v>
      </c>
      <c r="O182" s="2" t="s">
        <v>64</v>
      </c>
      <c r="P182" s="2" t="s">
        <v>45</v>
      </c>
      <c r="Q182" s="2">
        <v>0</v>
      </c>
      <c r="R182" s="2">
        <v>1</v>
      </c>
      <c r="S182" s="2">
        <v>0</v>
      </c>
      <c r="T182" s="2" t="s">
        <v>46</v>
      </c>
      <c r="U182" s="2" t="s">
        <v>46</v>
      </c>
      <c r="V182" s="2">
        <v>0</v>
      </c>
      <c r="W182" s="2" t="s">
        <v>38</v>
      </c>
      <c r="X182" s="2">
        <v>1</v>
      </c>
      <c r="Y182" s="2"/>
      <c r="Z182" s="2">
        <v>0</v>
      </c>
      <c r="AA182" s="2" t="s">
        <v>51</v>
      </c>
      <c r="AB182" s="2">
        <v>62</v>
      </c>
      <c r="AC182" s="2">
        <v>0</v>
      </c>
      <c r="AD182" s="2">
        <v>0</v>
      </c>
      <c r="AE182" s="2" t="s">
        <v>47</v>
      </c>
      <c r="AF182" s="3">
        <v>42191</v>
      </c>
    </row>
    <row r="183" spans="1:32" x14ac:dyDescent="0.25">
      <c r="A183" s="2" t="s">
        <v>41</v>
      </c>
      <c r="B183" s="2">
        <v>0</v>
      </c>
      <c r="C183" s="2">
        <v>39</v>
      </c>
      <c r="D183" s="2">
        <v>2015</v>
      </c>
      <c r="E183" s="2" t="s">
        <v>67</v>
      </c>
      <c r="F183" s="2">
        <v>33</v>
      </c>
      <c r="G183" s="2">
        <v>14</v>
      </c>
      <c r="H183" s="2">
        <v>0</v>
      </c>
      <c r="I183" s="2">
        <v>2</v>
      </c>
      <c r="J183" s="2">
        <v>2</v>
      </c>
      <c r="K183" s="2">
        <v>0</v>
      </c>
      <c r="L183" s="2">
        <v>0</v>
      </c>
      <c r="M183" s="2" t="s">
        <v>60</v>
      </c>
      <c r="N183" s="2" t="s">
        <v>56</v>
      </c>
      <c r="O183" s="2" t="s">
        <v>49</v>
      </c>
      <c r="P183" s="2" t="s">
        <v>45</v>
      </c>
      <c r="Q183" s="2">
        <v>0</v>
      </c>
      <c r="R183" s="2">
        <v>0</v>
      </c>
      <c r="S183" s="2">
        <v>0</v>
      </c>
      <c r="T183" s="2" t="s">
        <v>46</v>
      </c>
      <c r="U183" s="2" t="s">
        <v>57</v>
      </c>
      <c r="V183" s="2">
        <v>0</v>
      </c>
      <c r="W183" s="2" t="s">
        <v>38</v>
      </c>
      <c r="X183" s="2">
        <v>6</v>
      </c>
      <c r="Y183" s="2"/>
      <c r="Z183" s="2">
        <v>0</v>
      </c>
      <c r="AA183" s="2" t="s">
        <v>51</v>
      </c>
      <c r="AB183" s="2">
        <v>109</v>
      </c>
      <c r="AC183" s="2">
        <v>0</v>
      </c>
      <c r="AD183" s="2">
        <v>0</v>
      </c>
      <c r="AE183" s="2" t="s">
        <v>40</v>
      </c>
      <c r="AF183" s="3">
        <v>42232</v>
      </c>
    </row>
    <row r="184" spans="1:32" x14ac:dyDescent="0.25">
      <c r="A184" s="2" t="s">
        <v>41</v>
      </c>
      <c r="B184" s="2">
        <v>1</v>
      </c>
      <c r="C184" s="2">
        <v>346</v>
      </c>
      <c r="D184" s="2">
        <v>2015</v>
      </c>
      <c r="E184" s="2" t="s">
        <v>62</v>
      </c>
      <c r="F184" s="2">
        <v>40</v>
      </c>
      <c r="G184" s="2">
        <v>28</v>
      </c>
      <c r="H184" s="2">
        <v>1</v>
      </c>
      <c r="I184" s="2">
        <v>1</v>
      </c>
      <c r="J184" s="2">
        <v>2</v>
      </c>
      <c r="K184" s="2">
        <v>0</v>
      </c>
      <c r="L184" s="2">
        <v>0</v>
      </c>
      <c r="M184" s="2" t="s">
        <v>34</v>
      </c>
      <c r="N184" s="2" t="s">
        <v>43</v>
      </c>
      <c r="O184" s="2" t="s">
        <v>64</v>
      </c>
      <c r="P184" s="2" t="s">
        <v>45</v>
      </c>
      <c r="Q184" s="2">
        <v>0</v>
      </c>
      <c r="R184" s="2">
        <v>1</v>
      </c>
      <c r="S184" s="2">
        <v>0</v>
      </c>
      <c r="T184" s="2" t="s">
        <v>46</v>
      </c>
      <c r="U184" s="2" t="s">
        <v>46</v>
      </c>
      <c r="V184" s="2">
        <v>0</v>
      </c>
      <c r="W184" s="2" t="s">
        <v>68</v>
      </c>
      <c r="X184" s="2">
        <v>1</v>
      </c>
      <c r="Y184" s="2"/>
      <c r="Z184" s="2">
        <v>0</v>
      </c>
      <c r="AA184" s="2" t="s">
        <v>73</v>
      </c>
      <c r="AB184" s="2">
        <v>62</v>
      </c>
      <c r="AC184" s="2">
        <v>0</v>
      </c>
      <c r="AD184" s="2">
        <v>0</v>
      </c>
      <c r="AE184" s="2" t="s">
        <v>47</v>
      </c>
      <c r="AF184" s="3">
        <v>42005</v>
      </c>
    </row>
    <row r="185" spans="1:32" x14ac:dyDescent="0.25">
      <c r="A185" s="2" t="s">
        <v>41</v>
      </c>
      <c r="B185" s="2">
        <v>0</v>
      </c>
      <c r="C185" s="2">
        <v>69</v>
      </c>
      <c r="D185" s="2">
        <v>2015</v>
      </c>
      <c r="E185" s="2" t="s">
        <v>59</v>
      </c>
      <c r="F185" s="2">
        <v>44</v>
      </c>
      <c r="G185" s="2">
        <v>25</v>
      </c>
      <c r="H185" s="2">
        <v>2</v>
      </c>
      <c r="I185" s="2">
        <v>1</v>
      </c>
      <c r="J185" s="2">
        <v>2</v>
      </c>
      <c r="K185" s="2">
        <v>0</v>
      </c>
      <c r="L185" s="2">
        <v>0</v>
      </c>
      <c r="M185" s="2" t="s">
        <v>34</v>
      </c>
      <c r="N185" s="2" t="s">
        <v>43</v>
      </c>
      <c r="O185" s="2" t="s">
        <v>64</v>
      </c>
      <c r="P185" s="2" t="s">
        <v>45</v>
      </c>
      <c r="Q185" s="2">
        <v>0</v>
      </c>
      <c r="R185" s="2">
        <v>0</v>
      </c>
      <c r="S185" s="2">
        <v>0</v>
      </c>
      <c r="T185" s="2" t="s">
        <v>46</v>
      </c>
      <c r="U185" s="2" t="s">
        <v>46</v>
      </c>
      <c r="V185" s="2">
        <v>0</v>
      </c>
      <c r="W185" s="2" t="s">
        <v>38</v>
      </c>
      <c r="X185" s="2">
        <v>37</v>
      </c>
      <c r="Y185" s="2"/>
      <c r="Z185" s="2">
        <v>58</v>
      </c>
      <c r="AA185" s="2" t="s">
        <v>51</v>
      </c>
      <c r="AB185" s="2">
        <v>85.67</v>
      </c>
      <c r="AC185" s="2">
        <v>0</v>
      </c>
      <c r="AD185" s="2">
        <v>0</v>
      </c>
      <c r="AE185" s="2" t="s">
        <v>40</v>
      </c>
      <c r="AF185" s="3">
        <v>42305</v>
      </c>
    </row>
    <row r="186" spans="1:32" x14ac:dyDescent="0.25">
      <c r="A186" s="2" t="s">
        <v>41</v>
      </c>
      <c r="B186" s="2">
        <v>1</v>
      </c>
      <c r="C186" s="2">
        <v>327</v>
      </c>
      <c r="D186" s="2">
        <v>2015</v>
      </c>
      <c r="E186" s="2" t="s">
        <v>62</v>
      </c>
      <c r="F186" s="2">
        <v>37</v>
      </c>
      <c r="G186" s="2">
        <v>9</v>
      </c>
      <c r="H186" s="2">
        <v>0</v>
      </c>
      <c r="I186" s="2">
        <v>2</v>
      </c>
      <c r="J186" s="2">
        <v>2</v>
      </c>
      <c r="K186" s="2">
        <v>0</v>
      </c>
      <c r="L186" s="2">
        <v>0</v>
      </c>
      <c r="M186" s="2" t="s">
        <v>34</v>
      </c>
      <c r="N186" s="2" t="s">
        <v>43</v>
      </c>
      <c r="O186" s="2" t="s">
        <v>64</v>
      </c>
      <c r="P186" s="2" t="s">
        <v>45</v>
      </c>
      <c r="Q186" s="2">
        <v>0</v>
      </c>
      <c r="R186" s="2">
        <v>1</v>
      </c>
      <c r="S186" s="2">
        <v>0</v>
      </c>
      <c r="T186" s="2" t="s">
        <v>46</v>
      </c>
      <c r="U186" s="2" t="s">
        <v>46</v>
      </c>
      <c r="V186" s="2">
        <v>0</v>
      </c>
      <c r="W186" s="2" t="s">
        <v>68</v>
      </c>
      <c r="X186" s="2">
        <v>1</v>
      </c>
      <c r="Y186" s="2"/>
      <c r="Z186" s="2">
        <v>0</v>
      </c>
      <c r="AA186" s="2" t="s">
        <v>51</v>
      </c>
      <c r="AB186" s="2">
        <v>62</v>
      </c>
      <c r="AC186" s="2">
        <v>0</v>
      </c>
      <c r="AD186" s="2">
        <v>0</v>
      </c>
      <c r="AE186" s="2" t="s">
        <v>47</v>
      </c>
      <c r="AF186" s="3">
        <v>42187</v>
      </c>
    </row>
    <row r="187" spans="1:32" x14ac:dyDescent="0.25">
      <c r="A187" s="2" t="s">
        <v>41</v>
      </c>
      <c r="B187" s="2">
        <v>0</v>
      </c>
      <c r="C187" s="2">
        <v>7</v>
      </c>
      <c r="D187" s="2">
        <v>2015</v>
      </c>
      <c r="E187" s="2" t="s">
        <v>62</v>
      </c>
      <c r="F187" s="2">
        <v>39</v>
      </c>
      <c r="G187" s="2">
        <v>21</v>
      </c>
      <c r="H187" s="2">
        <v>1</v>
      </c>
      <c r="I187" s="2">
        <v>2</v>
      </c>
      <c r="J187" s="2">
        <v>2</v>
      </c>
      <c r="K187" s="2">
        <v>0</v>
      </c>
      <c r="L187" s="2">
        <v>0</v>
      </c>
      <c r="M187" s="2" t="s">
        <v>34</v>
      </c>
      <c r="N187" s="2" t="s">
        <v>100</v>
      </c>
      <c r="O187" s="2" t="s">
        <v>44</v>
      </c>
      <c r="P187" s="2" t="s">
        <v>45</v>
      </c>
      <c r="Q187" s="2">
        <v>0</v>
      </c>
      <c r="R187" s="2">
        <v>0</v>
      </c>
      <c r="S187" s="2">
        <v>0</v>
      </c>
      <c r="T187" s="2" t="s">
        <v>57</v>
      </c>
      <c r="U187" s="2" t="s">
        <v>57</v>
      </c>
      <c r="V187" s="2">
        <v>0</v>
      </c>
      <c r="W187" s="2" t="s">
        <v>38</v>
      </c>
      <c r="X187" s="2">
        <v>9</v>
      </c>
      <c r="Y187" s="2"/>
      <c r="Z187" s="2">
        <v>0</v>
      </c>
      <c r="AA187" s="2" t="s">
        <v>73</v>
      </c>
      <c r="AB187" s="2">
        <v>136</v>
      </c>
      <c r="AC187" s="2">
        <v>0</v>
      </c>
      <c r="AD187" s="2">
        <v>2</v>
      </c>
      <c r="AE187" s="2" t="s">
        <v>40</v>
      </c>
      <c r="AF187" s="3">
        <v>42271</v>
      </c>
    </row>
    <row r="188" spans="1:32" x14ac:dyDescent="0.25">
      <c r="A188" s="2" t="s">
        <v>41</v>
      </c>
      <c r="B188" s="2">
        <v>1</v>
      </c>
      <c r="C188" s="2">
        <v>279</v>
      </c>
      <c r="D188" s="2">
        <v>2015</v>
      </c>
      <c r="E188" s="2" t="s">
        <v>42</v>
      </c>
      <c r="F188" s="2">
        <v>30</v>
      </c>
      <c r="G188" s="2">
        <v>23</v>
      </c>
      <c r="H188" s="2">
        <v>0</v>
      </c>
      <c r="I188" s="2">
        <v>2</v>
      </c>
      <c r="J188" s="2">
        <v>2</v>
      </c>
      <c r="K188" s="2">
        <v>0</v>
      </c>
      <c r="L188" s="2">
        <v>0</v>
      </c>
      <c r="M188" s="2" t="s">
        <v>34</v>
      </c>
      <c r="N188" s="2" t="s">
        <v>43</v>
      </c>
      <c r="O188" s="2" t="s">
        <v>64</v>
      </c>
      <c r="P188" s="2" t="s">
        <v>45</v>
      </c>
      <c r="Q188" s="2">
        <v>1</v>
      </c>
      <c r="R188" s="2">
        <v>1</v>
      </c>
      <c r="S188" s="2">
        <v>0</v>
      </c>
      <c r="T188" s="2" t="s">
        <v>46</v>
      </c>
      <c r="U188" s="2" t="s">
        <v>46</v>
      </c>
      <c r="V188" s="2">
        <v>0</v>
      </c>
      <c r="W188" s="2" t="s">
        <v>38</v>
      </c>
      <c r="X188" s="2">
        <v>1</v>
      </c>
      <c r="Y188" s="2"/>
      <c r="Z188" s="2">
        <v>0</v>
      </c>
      <c r="AA188" s="2" t="s">
        <v>51</v>
      </c>
      <c r="AB188" s="2">
        <v>62.8</v>
      </c>
      <c r="AC188" s="2">
        <v>0</v>
      </c>
      <c r="AD188" s="2">
        <v>0</v>
      </c>
      <c r="AE188" s="2" t="s">
        <v>47</v>
      </c>
      <c r="AF188" s="3">
        <v>41929</v>
      </c>
    </row>
    <row r="189" spans="1:32" x14ac:dyDescent="0.25">
      <c r="A189" s="2" t="s">
        <v>32</v>
      </c>
      <c r="B189" s="2">
        <v>0</v>
      </c>
      <c r="C189" s="2">
        <v>39</v>
      </c>
      <c r="D189" s="2">
        <v>2015</v>
      </c>
      <c r="E189" s="2" t="s">
        <v>61</v>
      </c>
      <c r="F189" s="2">
        <v>46</v>
      </c>
      <c r="G189" s="2">
        <v>11</v>
      </c>
      <c r="H189" s="2">
        <v>1</v>
      </c>
      <c r="I189" s="2">
        <v>4</v>
      </c>
      <c r="J189" s="2">
        <v>2</v>
      </c>
      <c r="K189" s="2">
        <v>0</v>
      </c>
      <c r="L189" s="2">
        <v>0</v>
      </c>
      <c r="M189" s="2" t="s">
        <v>34</v>
      </c>
      <c r="N189" s="2" t="s">
        <v>56</v>
      </c>
      <c r="O189" s="2" t="s">
        <v>44</v>
      </c>
      <c r="P189" s="2" t="s">
        <v>45</v>
      </c>
      <c r="Q189" s="2">
        <v>0</v>
      </c>
      <c r="R189" s="2">
        <v>0</v>
      </c>
      <c r="S189" s="2">
        <v>0</v>
      </c>
      <c r="T189" s="2" t="s">
        <v>57</v>
      </c>
      <c r="U189" s="2" t="s">
        <v>57</v>
      </c>
      <c r="V189" s="2">
        <v>0</v>
      </c>
      <c r="W189" s="2" t="s">
        <v>38</v>
      </c>
      <c r="X189" s="2">
        <v>240</v>
      </c>
      <c r="Y189" s="2"/>
      <c r="Z189" s="2">
        <v>0</v>
      </c>
      <c r="AA189" s="2" t="s">
        <v>39</v>
      </c>
      <c r="AB189" s="2">
        <v>66.64</v>
      </c>
      <c r="AC189" s="2">
        <v>0</v>
      </c>
      <c r="AD189" s="2">
        <v>0</v>
      </c>
      <c r="AE189" s="2" t="s">
        <v>40</v>
      </c>
      <c r="AF189" s="3">
        <v>42324</v>
      </c>
    </row>
    <row r="190" spans="1:32" x14ac:dyDescent="0.25">
      <c r="A190" s="2" t="s">
        <v>41</v>
      </c>
      <c r="B190" s="2">
        <v>1</v>
      </c>
      <c r="C190" s="2">
        <v>3</v>
      </c>
      <c r="D190" s="2">
        <v>2015</v>
      </c>
      <c r="E190" s="2" t="s">
        <v>62</v>
      </c>
      <c r="F190" s="2">
        <v>36</v>
      </c>
      <c r="G190" s="2">
        <v>5</v>
      </c>
      <c r="H190" s="2">
        <v>2</v>
      </c>
      <c r="I190" s="2">
        <v>2</v>
      </c>
      <c r="J190" s="2">
        <v>1</v>
      </c>
      <c r="K190" s="2">
        <v>0</v>
      </c>
      <c r="L190" s="2">
        <v>0</v>
      </c>
      <c r="M190" s="2" t="s">
        <v>34</v>
      </c>
      <c r="N190" s="2" t="s">
        <v>43</v>
      </c>
      <c r="O190" s="2" t="s">
        <v>64</v>
      </c>
      <c r="P190" s="2" t="s">
        <v>45</v>
      </c>
      <c r="Q190" s="2">
        <v>0</v>
      </c>
      <c r="R190" s="2">
        <v>0</v>
      </c>
      <c r="S190" s="2">
        <v>0</v>
      </c>
      <c r="T190" s="2" t="s">
        <v>46</v>
      </c>
      <c r="U190" s="2" t="s">
        <v>46</v>
      </c>
      <c r="V190" s="2">
        <v>0</v>
      </c>
      <c r="W190" s="2" t="s">
        <v>38</v>
      </c>
      <c r="X190" s="2">
        <v>1</v>
      </c>
      <c r="Y190" s="2"/>
      <c r="Z190" s="2">
        <v>0</v>
      </c>
      <c r="AA190" s="2" t="s">
        <v>51</v>
      </c>
      <c r="AB190" s="2">
        <v>0</v>
      </c>
      <c r="AC190" s="2">
        <v>0</v>
      </c>
      <c r="AD190" s="2">
        <v>0</v>
      </c>
      <c r="AE190" s="2" t="s">
        <v>47</v>
      </c>
      <c r="AF190" s="3">
        <v>42250</v>
      </c>
    </row>
    <row r="191" spans="1:32" x14ac:dyDescent="0.25">
      <c r="A191" s="2" t="s">
        <v>32</v>
      </c>
      <c r="B191" s="2">
        <v>1</v>
      </c>
      <c r="C191" s="2">
        <v>155</v>
      </c>
      <c r="D191" s="2">
        <v>2015</v>
      </c>
      <c r="E191" s="2" t="s">
        <v>59</v>
      </c>
      <c r="F191" s="2">
        <v>44</v>
      </c>
      <c r="G191" s="2">
        <v>31</v>
      </c>
      <c r="H191" s="2">
        <v>0</v>
      </c>
      <c r="I191" s="2">
        <v>1</v>
      </c>
      <c r="J191" s="2">
        <v>2</v>
      </c>
      <c r="K191" s="2">
        <v>0</v>
      </c>
      <c r="L191" s="2">
        <v>0</v>
      </c>
      <c r="M191" s="2" t="s">
        <v>34</v>
      </c>
      <c r="N191" s="2" t="s">
        <v>43</v>
      </c>
      <c r="O191" s="2" t="s">
        <v>64</v>
      </c>
      <c r="P191" s="2" t="s">
        <v>36</v>
      </c>
      <c r="Q191" s="2">
        <v>0</v>
      </c>
      <c r="R191" s="2">
        <v>0</v>
      </c>
      <c r="S191" s="2">
        <v>0</v>
      </c>
      <c r="T191" s="2" t="s">
        <v>46</v>
      </c>
      <c r="U191" s="2" t="s">
        <v>46</v>
      </c>
      <c r="V191" s="2">
        <v>0</v>
      </c>
      <c r="W191" s="2" t="s">
        <v>68</v>
      </c>
      <c r="X191" s="2"/>
      <c r="Y191" s="2"/>
      <c r="Z191" s="2">
        <v>0</v>
      </c>
      <c r="AA191" s="2" t="s">
        <v>39</v>
      </c>
      <c r="AB191" s="2">
        <v>36</v>
      </c>
      <c r="AC191" s="2">
        <v>0</v>
      </c>
      <c r="AD191" s="2">
        <v>0</v>
      </c>
      <c r="AE191" s="2" t="s">
        <v>47</v>
      </c>
      <c r="AF191" s="3">
        <v>42303</v>
      </c>
    </row>
    <row r="192" spans="1:32" x14ac:dyDescent="0.25">
      <c r="A192" s="2" t="s">
        <v>32</v>
      </c>
      <c r="B192" s="2">
        <v>0</v>
      </c>
      <c r="C192" s="2">
        <v>277</v>
      </c>
      <c r="D192" s="2">
        <v>2015</v>
      </c>
      <c r="E192" s="2" t="s">
        <v>59</v>
      </c>
      <c r="F192" s="2">
        <v>41</v>
      </c>
      <c r="G192" s="2">
        <v>6</v>
      </c>
      <c r="H192" s="2">
        <v>2</v>
      </c>
      <c r="I192" s="2">
        <v>5</v>
      </c>
      <c r="J192" s="2">
        <v>2</v>
      </c>
      <c r="K192" s="2">
        <v>0</v>
      </c>
      <c r="L192" s="2">
        <v>0</v>
      </c>
      <c r="M192" s="2" t="s">
        <v>60</v>
      </c>
      <c r="N192" s="2" t="s">
        <v>35</v>
      </c>
      <c r="O192" s="2" t="s">
        <v>64</v>
      </c>
      <c r="P192" s="2" t="s">
        <v>36</v>
      </c>
      <c r="Q192" s="2">
        <v>0</v>
      </c>
      <c r="R192" s="2">
        <v>0</v>
      </c>
      <c r="S192" s="2">
        <v>0</v>
      </c>
      <c r="T192" s="2" t="s">
        <v>57</v>
      </c>
      <c r="U192" s="2" t="s">
        <v>72</v>
      </c>
      <c r="V192" s="2">
        <v>0</v>
      </c>
      <c r="W192" s="2" t="s">
        <v>38</v>
      </c>
      <c r="X192" s="2">
        <v>273</v>
      </c>
      <c r="Y192" s="2"/>
      <c r="Z192" s="2">
        <v>0</v>
      </c>
      <c r="AA192" s="2" t="s">
        <v>51</v>
      </c>
      <c r="AB192" s="2">
        <v>68.739999999999995</v>
      </c>
      <c r="AC192" s="2">
        <v>0</v>
      </c>
      <c r="AD192" s="2">
        <v>0</v>
      </c>
      <c r="AE192" s="2" t="s">
        <v>40</v>
      </c>
      <c r="AF192" s="3">
        <v>42290</v>
      </c>
    </row>
    <row r="193" spans="1:32" x14ac:dyDescent="0.25">
      <c r="A193" s="2" t="s">
        <v>41</v>
      </c>
      <c r="B193" s="2">
        <v>1</v>
      </c>
      <c r="C193" s="2">
        <v>6</v>
      </c>
      <c r="D193" s="2">
        <v>2015</v>
      </c>
      <c r="E193" s="2" t="s">
        <v>62</v>
      </c>
      <c r="F193" s="2">
        <v>37</v>
      </c>
      <c r="G193" s="2">
        <v>11</v>
      </c>
      <c r="H193" s="2">
        <v>1</v>
      </c>
      <c r="I193" s="2">
        <v>2</v>
      </c>
      <c r="J193" s="2">
        <v>2</v>
      </c>
      <c r="K193" s="2">
        <v>0</v>
      </c>
      <c r="L193" s="2">
        <v>0</v>
      </c>
      <c r="M193" s="2" t="s">
        <v>34</v>
      </c>
      <c r="N193" s="2" t="s">
        <v>43</v>
      </c>
      <c r="O193" s="2" t="s">
        <v>44</v>
      </c>
      <c r="P193" s="2" t="s">
        <v>45</v>
      </c>
      <c r="Q193" s="2">
        <v>0</v>
      </c>
      <c r="R193" s="2">
        <v>0</v>
      </c>
      <c r="S193" s="2">
        <v>0</v>
      </c>
      <c r="T193" s="2" t="s">
        <v>46</v>
      </c>
      <c r="U193" s="2" t="s">
        <v>46</v>
      </c>
      <c r="V193" s="2">
        <v>0</v>
      </c>
      <c r="W193" s="2" t="s">
        <v>38</v>
      </c>
      <c r="X193" s="2">
        <v>9</v>
      </c>
      <c r="Y193" s="2"/>
      <c r="Z193" s="2">
        <v>0</v>
      </c>
      <c r="AA193" s="2" t="s">
        <v>39</v>
      </c>
      <c r="AB193" s="2">
        <v>127</v>
      </c>
      <c r="AC193" s="2">
        <v>0</v>
      </c>
      <c r="AD193" s="2">
        <v>0</v>
      </c>
      <c r="AE193" s="2" t="s">
        <v>47</v>
      </c>
      <c r="AF193" s="3">
        <v>42254</v>
      </c>
    </row>
    <row r="194" spans="1:32" x14ac:dyDescent="0.25">
      <c r="A194" s="2" t="s">
        <v>32</v>
      </c>
      <c r="B194" s="2">
        <v>1</v>
      </c>
      <c r="C194" s="2">
        <v>77</v>
      </c>
      <c r="D194" s="2">
        <v>2015</v>
      </c>
      <c r="E194" s="2" t="s">
        <v>62</v>
      </c>
      <c r="F194" s="2">
        <v>40</v>
      </c>
      <c r="G194" s="2">
        <v>28</v>
      </c>
      <c r="H194" s="2">
        <v>1</v>
      </c>
      <c r="I194" s="2">
        <v>3</v>
      </c>
      <c r="J194" s="2">
        <v>2</v>
      </c>
      <c r="K194" s="2">
        <v>0</v>
      </c>
      <c r="L194" s="2">
        <v>0</v>
      </c>
      <c r="M194" s="2" t="s">
        <v>34</v>
      </c>
      <c r="N194" s="2" t="s">
        <v>43</v>
      </c>
      <c r="O194" s="2" t="s">
        <v>49</v>
      </c>
      <c r="P194" s="2" t="s">
        <v>45</v>
      </c>
      <c r="Q194" s="2">
        <v>0</v>
      </c>
      <c r="R194" s="2">
        <v>0</v>
      </c>
      <c r="S194" s="2">
        <v>0</v>
      </c>
      <c r="T194" s="2" t="s">
        <v>72</v>
      </c>
      <c r="U194" s="2" t="s">
        <v>72</v>
      </c>
      <c r="V194" s="2">
        <v>0</v>
      </c>
      <c r="W194" s="2" t="s">
        <v>38</v>
      </c>
      <c r="X194" s="2">
        <v>175</v>
      </c>
      <c r="Y194" s="2"/>
      <c r="Z194" s="2">
        <v>0</v>
      </c>
      <c r="AA194" s="2" t="s">
        <v>39</v>
      </c>
      <c r="AB194" s="2">
        <v>74.599999999999994</v>
      </c>
      <c r="AC194" s="2">
        <v>0</v>
      </c>
      <c r="AD194" s="2">
        <v>1</v>
      </c>
      <c r="AE194" s="2" t="s">
        <v>47</v>
      </c>
      <c r="AF194" s="3">
        <v>42210</v>
      </c>
    </row>
    <row r="195" spans="1:32" x14ac:dyDescent="0.25">
      <c r="A195" s="2" t="s">
        <v>32</v>
      </c>
      <c r="B195" s="2">
        <v>0</v>
      </c>
      <c r="C195" s="2">
        <v>315</v>
      </c>
      <c r="D195" s="2">
        <v>2015</v>
      </c>
      <c r="E195" s="2" t="s">
        <v>62</v>
      </c>
      <c r="F195" s="2">
        <v>40</v>
      </c>
      <c r="G195" s="2">
        <v>29</v>
      </c>
      <c r="H195" s="2">
        <v>2</v>
      </c>
      <c r="I195" s="2">
        <v>7</v>
      </c>
      <c r="J195" s="2">
        <v>2</v>
      </c>
      <c r="K195" s="2">
        <v>0</v>
      </c>
      <c r="L195" s="2">
        <v>0</v>
      </c>
      <c r="M195" s="2" t="s">
        <v>60</v>
      </c>
      <c r="N195" s="2" t="s">
        <v>35</v>
      </c>
      <c r="O195" s="2" t="s">
        <v>49</v>
      </c>
      <c r="P195" s="2" t="s">
        <v>45</v>
      </c>
      <c r="Q195" s="2">
        <v>0</v>
      </c>
      <c r="R195" s="2">
        <v>0</v>
      </c>
      <c r="S195" s="2">
        <v>0</v>
      </c>
      <c r="T195" s="2" t="s">
        <v>57</v>
      </c>
      <c r="U195" s="2" t="s">
        <v>57</v>
      </c>
      <c r="V195" s="2">
        <v>0</v>
      </c>
      <c r="W195" s="2" t="s">
        <v>38</v>
      </c>
      <c r="X195" s="2">
        <v>40</v>
      </c>
      <c r="Y195" s="2"/>
      <c r="Z195" s="2">
        <v>0</v>
      </c>
      <c r="AA195" s="2" t="s">
        <v>73</v>
      </c>
      <c r="AB195" s="2">
        <v>71.260000000000005</v>
      </c>
      <c r="AC195" s="2">
        <v>0</v>
      </c>
      <c r="AD195" s="2">
        <v>0</v>
      </c>
      <c r="AE195" s="2" t="s">
        <v>40</v>
      </c>
      <c r="AF195" s="3">
        <v>42285</v>
      </c>
    </row>
    <row r="196" spans="1:32" x14ac:dyDescent="0.25">
      <c r="A196" s="2" t="s">
        <v>41</v>
      </c>
      <c r="B196" s="2">
        <v>0</v>
      </c>
      <c r="C196" s="2">
        <v>8</v>
      </c>
      <c r="D196" s="2">
        <v>2015</v>
      </c>
      <c r="E196" s="2" t="s">
        <v>59</v>
      </c>
      <c r="F196" s="2">
        <v>44</v>
      </c>
      <c r="G196" s="2">
        <v>29</v>
      </c>
      <c r="H196" s="2">
        <v>1</v>
      </c>
      <c r="I196" s="2">
        <v>3</v>
      </c>
      <c r="J196" s="2">
        <v>2</v>
      </c>
      <c r="K196" s="2">
        <v>0</v>
      </c>
      <c r="L196" s="2">
        <v>0</v>
      </c>
      <c r="M196" s="2" t="s">
        <v>55</v>
      </c>
      <c r="N196" s="2" t="s">
        <v>35</v>
      </c>
      <c r="O196" s="2" t="s">
        <v>44</v>
      </c>
      <c r="P196" s="2" t="s">
        <v>45</v>
      </c>
      <c r="Q196" s="2">
        <v>0</v>
      </c>
      <c r="R196" s="2">
        <v>0</v>
      </c>
      <c r="S196" s="2">
        <v>0</v>
      </c>
      <c r="T196" s="2" t="s">
        <v>46</v>
      </c>
      <c r="U196" s="2" t="s">
        <v>46</v>
      </c>
      <c r="V196" s="2">
        <v>0</v>
      </c>
      <c r="W196" s="2" t="s">
        <v>38</v>
      </c>
      <c r="X196" s="2">
        <v>9</v>
      </c>
      <c r="Y196" s="2"/>
      <c r="Z196" s="2">
        <v>0</v>
      </c>
      <c r="AA196" s="2" t="s">
        <v>73</v>
      </c>
      <c r="AB196" s="2">
        <v>94.24</v>
      </c>
      <c r="AC196" s="2">
        <v>0</v>
      </c>
      <c r="AD196" s="2">
        <v>0</v>
      </c>
      <c r="AE196" s="2" t="s">
        <v>40</v>
      </c>
      <c r="AF196" s="3">
        <v>42310</v>
      </c>
    </row>
    <row r="197" spans="1:32" x14ac:dyDescent="0.25">
      <c r="A197" s="2" t="s">
        <v>41</v>
      </c>
      <c r="B197" s="2">
        <v>0</v>
      </c>
      <c r="C197" s="2">
        <v>5</v>
      </c>
      <c r="D197" s="2">
        <v>2015</v>
      </c>
      <c r="E197" s="2" t="s">
        <v>33</v>
      </c>
      <c r="F197" s="2">
        <v>50</v>
      </c>
      <c r="G197" s="2">
        <v>9</v>
      </c>
      <c r="H197" s="2">
        <v>0</v>
      </c>
      <c r="I197" s="2">
        <v>3</v>
      </c>
      <c r="J197" s="2">
        <v>2</v>
      </c>
      <c r="K197" s="2">
        <v>0</v>
      </c>
      <c r="L197" s="2">
        <v>0</v>
      </c>
      <c r="M197" s="2" t="s">
        <v>34</v>
      </c>
      <c r="N197" s="2" t="s">
        <v>70</v>
      </c>
      <c r="O197" s="2" t="s">
        <v>49</v>
      </c>
      <c r="P197" s="2" t="s">
        <v>45</v>
      </c>
      <c r="Q197" s="2">
        <v>0</v>
      </c>
      <c r="R197" s="2">
        <v>0</v>
      </c>
      <c r="S197" s="2">
        <v>0</v>
      </c>
      <c r="T197" s="2" t="s">
        <v>46</v>
      </c>
      <c r="U197" s="2" t="s">
        <v>57</v>
      </c>
      <c r="V197" s="2">
        <v>0</v>
      </c>
      <c r="W197" s="2" t="s">
        <v>38</v>
      </c>
      <c r="X197" s="2">
        <v>28</v>
      </c>
      <c r="Y197" s="2"/>
      <c r="Z197" s="2">
        <v>0</v>
      </c>
      <c r="AA197" s="2" t="s">
        <v>51</v>
      </c>
      <c r="AB197" s="2">
        <v>58</v>
      </c>
      <c r="AC197" s="2">
        <v>0</v>
      </c>
      <c r="AD197" s="2">
        <v>1</v>
      </c>
      <c r="AE197" s="2" t="s">
        <v>40</v>
      </c>
      <c r="AF197" s="3">
        <v>42350</v>
      </c>
    </row>
    <row r="198" spans="1:32" x14ac:dyDescent="0.25">
      <c r="A198" s="2" t="s">
        <v>32</v>
      </c>
      <c r="B198" s="2">
        <v>0</v>
      </c>
      <c r="C198" s="2">
        <v>0</v>
      </c>
      <c r="D198" s="2">
        <v>2015</v>
      </c>
      <c r="E198" s="2" t="s">
        <v>62</v>
      </c>
      <c r="F198" s="2">
        <v>40</v>
      </c>
      <c r="G198" s="2">
        <v>30</v>
      </c>
      <c r="H198" s="2">
        <v>0</v>
      </c>
      <c r="I198" s="2">
        <v>1</v>
      </c>
      <c r="J198" s="2">
        <v>2</v>
      </c>
      <c r="K198" s="2">
        <v>0</v>
      </c>
      <c r="L198" s="2">
        <v>0</v>
      </c>
      <c r="M198" s="2" t="s">
        <v>34</v>
      </c>
      <c r="N198" s="2" t="s">
        <v>56</v>
      </c>
      <c r="O198" s="2" t="s">
        <v>76</v>
      </c>
      <c r="P198" s="2" t="s">
        <v>76</v>
      </c>
      <c r="Q198" s="2">
        <v>0</v>
      </c>
      <c r="R198" s="2">
        <v>0</v>
      </c>
      <c r="S198" s="2">
        <v>0</v>
      </c>
      <c r="T198" s="2" t="s">
        <v>84</v>
      </c>
      <c r="U198" s="2" t="s">
        <v>84</v>
      </c>
      <c r="V198" s="2">
        <v>0</v>
      </c>
      <c r="W198" s="2" t="s">
        <v>38</v>
      </c>
      <c r="X198" s="2">
        <v>110</v>
      </c>
      <c r="Y198" s="2"/>
      <c r="Z198" s="2">
        <v>0</v>
      </c>
      <c r="AA198" s="2" t="s">
        <v>39</v>
      </c>
      <c r="AB198" s="2">
        <v>90.1</v>
      </c>
      <c r="AC198" s="2">
        <v>0</v>
      </c>
      <c r="AD198" s="2">
        <v>0</v>
      </c>
      <c r="AE198" s="2" t="s">
        <v>40</v>
      </c>
      <c r="AF198" s="3">
        <v>42278</v>
      </c>
    </row>
    <row r="199" spans="1:32" x14ac:dyDescent="0.25">
      <c r="A199" s="2" t="s">
        <v>32</v>
      </c>
      <c r="B199" s="2">
        <v>0</v>
      </c>
      <c r="C199" s="2">
        <v>77</v>
      </c>
      <c r="D199" s="2">
        <v>2015</v>
      </c>
      <c r="E199" s="2" t="s">
        <v>62</v>
      </c>
      <c r="F199" s="2">
        <v>40</v>
      </c>
      <c r="G199" s="2">
        <v>28</v>
      </c>
      <c r="H199" s="2">
        <v>2</v>
      </c>
      <c r="I199" s="2">
        <v>5</v>
      </c>
      <c r="J199" s="2">
        <v>2</v>
      </c>
      <c r="K199" s="2">
        <v>0</v>
      </c>
      <c r="L199" s="2">
        <v>0</v>
      </c>
      <c r="M199" s="2" t="s">
        <v>60</v>
      </c>
      <c r="N199" s="2" t="s">
        <v>115</v>
      </c>
      <c r="O199" s="2" t="s">
        <v>44</v>
      </c>
      <c r="P199" s="2" t="s">
        <v>45</v>
      </c>
      <c r="Q199" s="2">
        <v>0</v>
      </c>
      <c r="R199" s="2">
        <v>0</v>
      </c>
      <c r="S199" s="2">
        <v>0</v>
      </c>
      <c r="T199" s="2" t="s">
        <v>57</v>
      </c>
      <c r="U199" s="2" t="s">
        <v>57</v>
      </c>
      <c r="V199" s="2">
        <v>0</v>
      </c>
      <c r="W199" s="2" t="s">
        <v>38</v>
      </c>
      <c r="X199" s="2">
        <v>241</v>
      </c>
      <c r="Y199" s="2"/>
      <c r="Z199" s="2">
        <v>0</v>
      </c>
      <c r="AA199" s="2" t="s">
        <v>39</v>
      </c>
      <c r="AB199" s="2">
        <v>78.099999999999994</v>
      </c>
      <c r="AC199" s="2">
        <v>0</v>
      </c>
      <c r="AD199" s="2">
        <v>2</v>
      </c>
      <c r="AE199" s="2" t="s">
        <v>40</v>
      </c>
      <c r="AF199" s="3">
        <v>42282</v>
      </c>
    </row>
    <row r="200" spans="1:32" x14ac:dyDescent="0.25">
      <c r="A200" s="2" t="s">
        <v>41</v>
      </c>
      <c r="B200" s="2">
        <v>0</v>
      </c>
      <c r="C200" s="2">
        <v>59</v>
      </c>
      <c r="D200" s="2">
        <v>2015</v>
      </c>
      <c r="E200" s="2" t="s">
        <v>61</v>
      </c>
      <c r="F200" s="2">
        <v>48</v>
      </c>
      <c r="G200" s="2">
        <v>28</v>
      </c>
      <c r="H200" s="2">
        <v>2</v>
      </c>
      <c r="I200" s="2">
        <v>4</v>
      </c>
      <c r="J200" s="2">
        <v>2</v>
      </c>
      <c r="K200" s="2">
        <v>0</v>
      </c>
      <c r="L200" s="2">
        <v>0</v>
      </c>
      <c r="M200" s="2" t="s">
        <v>34</v>
      </c>
      <c r="N200" s="2" t="s">
        <v>70</v>
      </c>
      <c r="O200" s="2" t="s">
        <v>44</v>
      </c>
      <c r="P200" s="2" t="s">
        <v>45</v>
      </c>
      <c r="Q200" s="2">
        <v>0</v>
      </c>
      <c r="R200" s="2">
        <v>0</v>
      </c>
      <c r="S200" s="2">
        <v>0</v>
      </c>
      <c r="T200" s="2" t="s">
        <v>46</v>
      </c>
      <c r="U200" s="2" t="s">
        <v>46</v>
      </c>
      <c r="V200" s="2">
        <v>0</v>
      </c>
      <c r="W200" s="2" t="s">
        <v>38</v>
      </c>
      <c r="X200" s="2">
        <v>9</v>
      </c>
      <c r="Y200" s="2"/>
      <c r="Z200" s="2">
        <v>0</v>
      </c>
      <c r="AA200" s="2" t="s">
        <v>73</v>
      </c>
      <c r="AB200" s="2">
        <v>106.2</v>
      </c>
      <c r="AC200" s="2">
        <v>0</v>
      </c>
      <c r="AD200" s="2">
        <v>1</v>
      </c>
      <c r="AE200" s="2" t="s">
        <v>40</v>
      </c>
      <c r="AF200" s="3">
        <v>42342</v>
      </c>
    </row>
    <row r="201" spans="1:32" x14ac:dyDescent="0.25">
      <c r="A201" s="2" t="s">
        <v>32</v>
      </c>
      <c r="B201" s="2">
        <v>0</v>
      </c>
      <c r="C201" s="2">
        <v>21</v>
      </c>
      <c r="D201" s="2">
        <v>2015</v>
      </c>
      <c r="E201" s="2" t="s">
        <v>61</v>
      </c>
      <c r="F201" s="2">
        <v>46</v>
      </c>
      <c r="G201" s="2">
        <v>12</v>
      </c>
      <c r="H201" s="2">
        <v>0</v>
      </c>
      <c r="I201" s="2">
        <v>3</v>
      </c>
      <c r="J201" s="2">
        <v>1</v>
      </c>
      <c r="K201" s="2">
        <v>0</v>
      </c>
      <c r="L201" s="2">
        <v>0</v>
      </c>
      <c r="M201" s="2" t="s">
        <v>34</v>
      </c>
      <c r="N201" s="2" t="s">
        <v>43</v>
      </c>
      <c r="O201" s="2" t="s">
        <v>76</v>
      </c>
      <c r="P201" s="2" t="s">
        <v>76</v>
      </c>
      <c r="Q201" s="2">
        <v>0</v>
      </c>
      <c r="R201" s="2">
        <v>0</v>
      </c>
      <c r="S201" s="2">
        <v>0</v>
      </c>
      <c r="T201" s="2" t="s">
        <v>46</v>
      </c>
      <c r="U201" s="2" t="s">
        <v>72</v>
      </c>
      <c r="V201" s="2">
        <v>0</v>
      </c>
      <c r="W201" s="2" t="s">
        <v>38</v>
      </c>
      <c r="X201" s="2">
        <v>334</v>
      </c>
      <c r="Y201" s="2">
        <v>281</v>
      </c>
      <c r="Z201" s="2">
        <v>0</v>
      </c>
      <c r="AA201" s="2" t="s">
        <v>51</v>
      </c>
      <c r="AB201" s="2">
        <v>40</v>
      </c>
      <c r="AC201" s="2">
        <v>0</v>
      </c>
      <c r="AD201" s="2">
        <v>0</v>
      </c>
      <c r="AE201" s="2" t="s">
        <v>40</v>
      </c>
      <c r="AF201" s="3">
        <v>42323</v>
      </c>
    </row>
    <row r="202" spans="1:32" x14ac:dyDescent="0.25">
      <c r="A202" s="2" t="s">
        <v>32</v>
      </c>
      <c r="B202" s="2">
        <v>1</v>
      </c>
      <c r="C202" s="2">
        <v>231</v>
      </c>
      <c r="D202" s="2">
        <v>2015</v>
      </c>
      <c r="E202" s="2" t="s">
        <v>42</v>
      </c>
      <c r="F202" s="2">
        <v>28</v>
      </c>
      <c r="G202" s="2">
        <v>7</v>
      </c>
      <c r="H202" s="2">
        <v>2</v>
      </c>
      <c r="I202" s="2">
        <v>6</v>
      </c>
      <c r="J202" s="2">
        <v>2</v>
      </c>
      <c r="K202" s="2">
        <v>0</v>
      </c>
      <c r="L202" s="2">
        <v>0</v>
      </c>
      <c r="M202" s="2" t="s">
        <v>34</v>
      </c>
      <c r="N202" s="2" t="s">
        <v>43</v>
      </c>
      <c r="O202" s="2" t="s">
        <v>44</v>
      </c>
      <c r="P202" s="2" t="s">
        <v>45</v>
      </c>
      <c r="Q202" s="2">
        <v>0</v>
      </c>
      <c r="R202" s="2">
        <v>1</v>
      </c>
      <c r="S202" s="2">
        <v>0</v>
      </c>
      <c r="T202" s="2" t="s">
        <v>46</v>
      </c>
      <c r="U202" s="2" t="s">
        <v>46</v>
      </c>
      <c r="V202" s="2">
        <v>0</v>
      </c>
      <c r="W202" s="2" t="s">
        <v>38</v>
      </c>
      <c r="X202" s="2">
        <v>240</v>
      </c>
      <c r="Y202" s="2"/>
      <c r="Z202" s="2">
        <v>0</v>
      </c>
      <c r="AA202" s="2" t="s">
        <v>39</v>
      </c>
      <c r="AB202" s="2">
        <v>110.7</v>
      </c>
      <c r="AC202" s="2">
        <v>0</v>
      </c>
      <c r="AD202" s="2">
        <v>0</v>
      </c>
      <c r="AE202" s="2" t="s">
        <v>47</v>
      </c>
      <c r="AF202" s="3">
        <v>42080</v>
      </c>
    </row>
    <row r="203" spans="1:32" x14ac:dyDescent="0.25">
      <c r="A203" s="2" t="s">
        <v>41</v>
      </c>
      <c r="B203" s="2">
        <v>0</v>
      </c>
      <c r="C203" s="2">
        <v>4</v>
      </c>
      <c r="D203" s="2">
        <v>2015</v>
      </c>
      <c r="E203" s="2" t="s">
        <v>61</v>
      </c>
      <c r="F203" s="2">
        <v>46</v>
      </c>
      <c r="G203" s="2">
        <v>14</v>
      </c>
      <c r="H203" s="2">
        <v>2</v>
      </c>
      <c r="I203" s="2">
        <v>1</v>
      </c>
      <c r="J203" s="2">
        <v>2</v>
      </c>
      <c r="K203" s="2">
        <v>0</v>
      </c>
      <c r="L203" s="2">
        <v>0</v>
      </c>
      <c r="M203" s="2" t="s">
        <v>34</v>
      </c>
      <c r="N203" s="2" t="s">
        <v>70</v>
      </c>
      <c r="O203" s="2" t="s">
        <v>36</v>
      </c>
      <c r="P203" s="2" t="s">
        <v>36</v>
      </c>
      <c r="Q203" s="2">
        <v>0</v>
      </c>
      <c r="R203" s="2">
        <v>0</v>
      </c>
      <c r="S203" s="2">
        <v>0</v>
      </c>
      <c r="T203" s="2" t="s">
        <v>86</v>
      </c>
      <c r="U203" s="2" t="s">
        <v>86</v>
      </c>
      <c r="V203" s="2">
        <v>0</v>
      </c>
      <c r="W203" s="2" t="s">
        <v>38</v>
      </c>
      <c r="X203" s="2">
        <v>14</v>
      </c>
      <c r="Y203" s="2"/>
      <c r="Z203" s="2">
        <v>0</v>
      </c>
      <c r="AA203" s="2" t="s">
        <v>39</v>
      </c>
      <c r="AB203" s="2">
        <v>81</v>
      </c>
      <c r="AC203" s="2">
        <v>0</v>
      </c>
      <c r="AD203" s="2">
        <v>1</v>
      </c>
      <c r="AE203" s="2" t="s">
        <v>40</v>
      </c>
      <c r="AF203" s="3">
        <v>42325</v>
      </c>
    </row>
    <row r="204" spans="1:32" x14ac:dyDescent="0.25">
      <c r="A204" s="2" t="s">
        <v>32</v>
      </c>
      <c r="B204" s="2">
        <v>0</v>
      </c>
      <c r="C204" s="2">
        <v>109</v>
      </c>
      <c r="D204" s="2">
        <v>2015</v>
      </c>
      <c r="E204" s="2" t="s">
        <v>61</v>
      </c>
      <c r="F204" s="2">
        <v>46</v>
      </c>
      <c r="G204" s="2">
        <v>13</v>
      </c>
      <c r="H204" s="2">
        <v>0</v>
      </c>
      <c r="I204" s="2">
        <v>1</v>
      </c>
      <c r="J204" s="2">
        <v>2</v>
      </c>
      <c r="K204" s="2">
        <v>0</v>
      </c>
      <c r="L204" s="2">
        <v>0</v>
      </c>
      <c r="M204" s="2" t="s">
        <v>34</v>
      </c>
      <c r="N204" s="2" t="s">
        <v>43</v>
      </c>
      <c r="O204" s="2" t="s">
        <v>36</v>
      </c>
      <c r="P204" s="2" t="s">
        <v>36</v>
      </c>
      <c r="Q204" s="2">
        <v>0</v>
      </c>
      <c r="R204" s="2">
        <v>0</v>
      </c>
      <c r="S204" s="2">
        <v>0</v>
      </c>
      <c r="T204" s="2" t="s">
        <v>37</v>
      </c>
      <c r="U204" s="2" t="s">
        <v>37</v>
      </c>
      <c r="V204" s="2">
        <v>0</v>
      </c>
      <c r="W204" s="2" t="s">
        <v>38</v>
      </c>
      <c r="X204" s="2"/>
      <c r="Y204" s="2"/>
      <c r="Z204" s="2">
        <v>0</v>
      </c>
      <c r="AA204" s="2" t="s">
        <v>39</v>
      </c>
      <c r="AB204" s="2">
        <v>80.8</v>
      </c>
      <c r="AC204" s="2">
        <v>1</v>
      </c>
      <c r="AD204" s="2">
        <v>2</v>
      </c>
      <c r="AE204" s="2" t="s">
        <v>40</v>
      </c>
      <c r="AF204" s="3">
        <v>42322</v>
      </c>
    </row>
    <row r="205" spans="1:32" x14ac:dyDescent="0.25">
      <c r="A205" s="2" t="s">
        <v>41</v>
      </c>
      <c r="B205" s="2">
        <v>0</v>
      </c>
      <c r="C205" s="2">
        <v>28</v>
      </c>
      <c r="D205" s="2">
        <v>2015</v>
      </c>
      <c r="E205" s="2" t="s">
        <v>62</v>
      </c>
      <c r="F205" s="2">
        <v>37</v>
      </c>
      <c r="G205" s="2">
        <v>10</v>
      </c>
      <c r="H205" s="2">
        <v>0</v>
      </c>
      <c r="I205" s="2">
        <v>2</v>
      </c>
      <c r="J205" s="2">
        <v>2</v>
      </c>
      <c r="K205" s="2">
        <v>0</v>
      </c>
      <c r="L205" s="2">
        <v>0</v>
      </c>
      <c r="M205" s="2" t="s">
        <v>34</v>
      </c>
      <c r="N205" s="2" t="s">
        <v>99</v>
      </c>
      <c r="O205" s="2" t="s">
        <v>49</v>
      </c>
      <c r="P205" s="2" t="s">
        <v>45</v>
      </c>
      <c r="Q205" s="2">
        <v>0</v>
      </c>
      <c r="R205" s="2">
        <v>0</v>
      </c>
      <c r="S205" s="2">
        <v>0</v>
      </c>
      <c r="T205" s="2" t="s">
        <v>57</v>
      </c>
      <c r="U205" s="2" t="s">
        <v>57</v>
      </c>
      <c r="V205" s="2">
        <v>0</v>
      </c>
      <c r="W205" s="2" t="s">
        <v>38</v>
      </c>
      <c r="X205" s="2">
        <v>50</v>
      </c>
      <c r="Y205" s="2"/>
      <c r="Z205" s="2">
        <v>0</v>
      </c>
      <c r="AA205" s="2" t="s">
        <v>39</v>
      </c>
      <c r="AB205" s="2">
        <v>97</v>
      </c>
      <c r="AC205" s="2">
        <v>0</v>
      </c>
      <c r="AD205" s="2">
        <v>0</v>
      </c>
      <c r="AE205" s="2" t="s">
        <v>40</v>
      </c>
      <c r="AF205" s="3">
        <v>42259</v>
      </c>
    </row>
    <row r="206" spans="1:32" x14ac:dyDescent="0.25">
      <c r="A206" s="2" t="s">
        <v>32</v>
      </c>
      <c r="B206" s="2">
        <v>0</v>
      </c>
      <c r="C206" s="2">
        <v>283</v>
      </c>
      <c r="D206" s="2">
        <v>2015</v>
      </c>
      <c r="E206" s="2" t="s">
        <v>59</v>
      </c>
      <c r="F206" s="2">
        <v>42</v>
      </c>
      <c r="G206" s="2">
        <v>12</v>
      </c>
      <c r="H206" s="2">
        <v>2</v>
      </c>
      <c r="I206" s="2">
        <v>5</v>
      </c>
      <c r="J206" s="2">
        <v>2</v>
      </c>
      <c r="K206" s="2">
        <v>0</v>
      </c>
      <c r="L206" s="2">
        <v>0</v>
      </c>
      <c r="M206" s="2" t="s">
        <v>34</v>
      </c>
      <c r="N206" s="2" t="s">
        <v>35</v>
      </c>
      <c r="O206" s="2" t="s">
        <v>64</v>
      </c>
      <c r="P206" s="2" t="s">
        <v>36</v>
      </c>
      <c r="Q206" s="2">
        <v>0</v>
      </c>
      <c r="R206" s="2">
        <v>0</v>
      </c>
      <c r="S206" s="2">
        <v>0</v>
      </c>
      <c r="T206" s="2" t="s">
        <v>72</v>
      </c>
      <c r="U206" s="2" t="s">
        <v>72</v>
      </c>
      <c r="V206" s="2">
        <v>0</v>
      </c>
      <c r="W206" s="2" t="s">
        <v>38</v>
      </c>
      <c r="X206" s="2">
        <v>273</v>
      </c>
      <c r="Y206" s="2"/>
      <c r="Z206" s="2">
        <v>0</v>
      </c>
      <c r="AA206" s="2" t="s">
        <v>51</v>
      </c>
      <c r="AB206" s="2">
        <v>77.290000000000006</v>
      </c>
      <c r="AC206" s="2">
        <v>0</v>
      </c>
      <c r="AD206" s="2">
        <v>0</v>
      </c>
      <c r="AE206" s="2" t="s">
        <v>40</v>
      </c>
      <c r="AF206" s="3">
        <v>42296</v>
      </c>
    </row>
    <row r="207" spans="1:32" x14ac:dyDescent="0.25">
      <c r="A207" s="2" t="s">
        <v>32</v>
      </c>
      <c r="B207" s="2">
        <v>0</v>
      </c>
      <c r="C207" s="2">
        <v>1</v>
      </c>
      <c r="D207" s="2">
        <v>2015</v>
      </c>
      <c r="E207" s="2" t="s">
        <v>42</v>
      </c>
      <c r="F207" s="2">
        <v>27</v>
      </c>
      <c r="G207" s="2">
        <v>4</v>
      </c>
      <c r="H207" s="2">
        <v>1</v>
      </c>
      <c r="I207" s="2">
        <v>1</v>
      </c>
      <c r="J207" s="2">
        <v>2</v>
      </c>
      <c r="K207" s="2">
        <v>0</v>
      </c>
      <c r="L207" s="2">
        <v>0</v>
      </c>
      <c r="M207" s="2" t="s">
        <v>34</v>
      </c>
      <c r="N207" s="2" t="s">
        <v>43</v>
      </c>
      <c r="O207" s="2" t="s">
        <v>44</v>
      </c>
      <c r="P207" s="2" t="s">
        <v>45</v>
      </c>
      <c r="Q207" s="2">
        <v>0</v>
      </c>
      <c r="R207" s="2">
        <v>0</v>
      </c>
      <c r="S207" s="2">
        <v>0</v>
      </c>
      <c r="T207" s="2" t="s">
        <v>46</v>
      </c>
      <c r="U207" s="2" t="s">
        <v>46</v>
      </c>
      <c r="V207" s="2">
        <v>0</v>
      </c>
      <c r="W207" s="2" t="s">
        <v>38</v>
      </c>
      <c r="X207" s="2">
        <v>240</v>
      </c>
      <c r="Y207" s="2"/>
      <c r="Z207" s="2">
        <v>0</v>
      </c>
      <c r="AA207" s="2" t="s">
        <v>39</v>
      </c>
      <c r="AB207" s="2">
        <v>114.5</v>
      </c>
      <c r="AC207" s="2">
        <v>0</v>
      </c>
      <c r="AD207" s="2">
        <v>0</v>
      </c>
      <c r="AE207" s="2" t="s">
        <v>40</v>
      </c>
      <c r="AF207" s="3">
        <v>42191</v>
      </c>
    </row>
    <row r="208" spans="1:32" x14ac:dyDescent="0.25">
      <c r="A208" s="2" t="s">
        <v>41</v>
      </c>
      <c r="B208" s="2">
        <v>0</v>
      </c>
      <c r="C208" s="2">
        <v>0</v>
      </c>
      <c r="D208" s="2">
        <v>2015</v>
      </c>
      <c r="E208" s="2" t="s">
        <v>67</v>
      </c>
      <c r="F208" s="2">
        <v>34</v>
      </c>
      <c r="G208" s="2">
        <v>18</v>
      </c>
      <c r="H208" s="2">
        <v>0</v>
      </c>
      <c r="I208" s="2">
        <v>1</v>
      </c>
      <c r="J208" s="2">
        <v>1</v>
      </c>
      <c r="K208" s="2">
        <v>0</v>
      </c>
      <c r="L208" s="2">
        <v>0</v>
      </c>
      <c r="M208" s="2" t="s">
        <v>55</v>
      </c>
      <c r="N208" s="2" t="s">
        <v>97</v>
      </c>
      <c r="O208" s="2" t="s">
        <v>36</v>
      </c>
      <c r="P208" s="2" t="s">
        <v>36</v>
      </c>
      <c r="Q208" s="2">
        <v>0</v>
      </c>
      <c r="R208" s="2">
        <v>0</v>
      </c>
      <c r="S208" s="2">
        <v>0</v>
      </c>
      <c r="T208" s="2" t="s">
        <v>57</v>
      </c>
      <c r="U208" s="2" t="s">
        <v>57</v>
      </c>
      <c r="V208" s="2">
        <v>0</v>
      </c>
      <c r="W208" s="2" t="s">
        <v>38</v>
      </c>
      <c r="X208" s="2"/>
      <c r="Y208" s="2"/>
      <c r="Z208" s="2">
        <v>0</v>
      </c>
      <c r="AA208" s="2" t="s">
        <v>39</v>
      </c>
      <c r="AB208" s="2">
        <v>100</v>
      </c>
      <c r="AC208" s="2">
        <v>0</v>
      </c>
      <c r="AD208" s="2">
        <v>0</v>
      </c>
      <c r="AE208" s="2" t="s">
        <v>40</v>
      </c>
      <c r="AF208" s="3">
        <v>42235</v>
      </c>
    </row>
    <row r="209" spans="1:32" x14ac:dyDescent="0.25">
      <c r="A209" s="2" t="s">
        <v>41</v>
      </c>
      <c r="B209" s="2">
        <v>1</v>
      </c>
      <c r="C209" s="2">
        <v>265</v>
      </c>
      <c r="D209" s="2">
        <v>2015</v>
      </c>
      <c r="E209" s="2" t="s">
        <v>42</v>
      </c>
      <c r="F209" s="2">
        <v>28</v>
      </c>
      <c r="G209" s="2">
        <v>9</v>
      </c>
      <c r="H209" s="2">
        <v>0</v>
      </c>
      <c r="I209" s="2">
        <v>2</v>
      </c>
      <c r="J209" s="2">
        <v>2</v>
      </c>
      <c r="K209" s="2">
        <v>0</v>
      </c>
      <c r="L209" s="2">
        <v>0</v>
      </c>
      <c r="M209" s="2" t="s">
        <v>34</v>
      </c>
      <c r="N209" s="2" t="s">
        <v>43</v>
      </c>
      <c r="O209" s="2" t="s">
        <v>64</v>
      </c>
      <c r="P209" s="2" t="s">
        <v>45</v>
      </c>
      <c r="Q209" s="2">
        <v>0</v>
      </c>
      <c r="R209" s="2">
        <v>1</v>
      </c>
      <c r="S209" s="2">
        <v>0</v>
      </c>
      <c r="T209" s="2" t="s">
        <v>46</v>
      </c>
      <c r="U209" s="2" t="s">
        <v>46</v>
      </c>
      <c r="V209" s="2">
        <v>0</v>
      </c>
      <c r="W209" s="2" t="s">
        <v>38</v>
      </c>
      <c r="X209" s="2">
        <v>1</v>
      </c>
      <c r="Y209" s="2"/>
      <c r="Z209" s="2">
        <v>0</v>
      </c>
      <c r="AA209" s="2" t="s">
        <v>73</v>
      </c>
      <c r="AB209" s="2">
        <v>62</v>
      </c>
      <c r="AC209" s="2">
        <v>0</v>
      </c>
      <c r="AD209" s="2">
        <v>0</v>
      </c>
      <c r="AE209" s="2" t="s">
        <v>47</v>
      </c>
      <c r="AF209" s="3">
        <v>42005</v>
      </c>
    </row>
    <row r="210" spans="1:32" x14ac:dyDescent="0.25">
      <c r="A210" s="2" t="s">
        <v>32</v>
      </c>
      <c r="B210" s="2">
        <v>1</v>
      </c>
      <c r="C210" s="2">
        <v>101</v>
      </c>
      <c r="D210" s="2">
        <v>2015</v>
      </c>
      <c r="E210" s="2" t="s">
        <v>62</v>
      </c>
      <c r="F210" s="2">
        <v>38</v>
      </c>
      <c r="G210" s="2">
        <v>18</v>
      </c>
      <c r="H210" s="2">
        <v>1</v>
      </c>
      <c r="I210" s="2">
        <v>2</v>
      </c>
      <c r="J210" s="2">
        <v>2</v>
      </c>
      <c r="K210" s="2">
        <v>0</v>
      </c>
      <c r="L210" s="2">
        <v>0</v>
      </c>
      <c r="M210" s="2" t="s">
        <v>34</v>
      </c>
      <c r="N210" s="2" t="s">
        <v>43</v>
      </c>
      <c r="O210" s="2" t="s">
        <v>44</v>
      </c>
      <c r="P210" s="2" t="s">
        <v>45</v>
      </c>
      <c r="Q210" s="2">
        <v>0</v>
      </c>
      <c r="R210" s="2">
        <v>0</v>
      </c>
      <c r="S210" s="2">
        <v>0</v>
      </c>
      <c r="T210" s="2" t="s">
        <v>46</v>
      </c>
      <c r="U210" s="2" t="s">
        <v>46</v>
      </c>
      <c r="V210" s="2">
        <v>0</v>
      </c>
      <c r="W210" s="2" t="s">
        <v>38</v>
      </c>
      <c r="X210" s="2">
        <v>240</v>
      </c>
      <c r="Y210" s="2"/>
      <c r="Z210" s="2">
        <v>0</v>
      </c>
      <c r="AA210" s="2" t="s">
        <v>39</v>
      </c>
      <c r="AB210" s="2">
        <v>83</v>
      </c>
      <c r="AC210" s="2">
        <v>0</v>
      </c>
      <c r="AD210" s="2">
        <v>0</v>
      </c>
      <c r="AE210" s="2" t="s">
        <v>47</v>
      </c>
      <c r="AF210" s="3">
        <v>42234</v>
      </c>
    </row>
    <row r="211" spans="1:32" x14ac:dyDescent="0.25">
      <c r="A211" s="2" t="s">
        <v>41</v>
      </c>
      <c r="B211" s="2">
        <v>0</v>
      </c>
      <c r="C211" s="2">
        <v>97</v>
      </c>
      <c r="D211" s="2">
        <v>2015</v>
      </c>
      <c r="E211" s="2" t="s">
        <v>33</v>
      </c>
      <c r="F211" s="2">
        <v>53</v>
      </c>
      <c r="G211" s="2">
        <v>28</v>
      </c>
      <c r="H211" s="2">
        <v>1</v>
      </c>
      <c r="I211" s="2">
        <v>3</v>
      </c>
      <c r="J211" s="2">
        <v>2</v>
      </c>
      <c r="K211" s="2">
        <v>0</v>
      </c>
      <c r="L211" s="2">
        <v>0</v>
      </c>
      <c r="M211" s="2" t="s">
        <v>55</v>
      </c>
      <c r="N211" s="2" t="s">
        <v>43</v>
      </c>
      <c r="O211" s="2" t="s">
        <v>44</v>
      </c>
      <c r="P211" s="2" t="s">
        <v>45</v>
      </c>
      <c r="Q211" s="2">
        <v>0</v>
      </c>
      <c r="R211" s="2">
        <v>0</v>
      </c>
      <c r="S211" s="2">
        <v>0</v>
      </c>
      <c r="T211" s="2" t="s">
        <v>46</v>
      </c>
      <c r="U211" s="2" t="s">
        <v>46</v>
      </c>
      <c r="V211" s="2">
        <v>0</v>
      </c>
      <c r="W211" s="2" t="s">
        <v>38</v>
      </c>
      <c r="X211" s="2">
        <v>15</v>
      </c>
      <c r="Y211" s="2"/>
      <c r="Z211" s="2">
        <v>0</v>
      </c>
      <c r="AA211" s="2" t="s">
        <v>39</v>
      </c>
      <c r="AB211" s="2">
        <v>53.38</v>
      </c>
      <c r="AC211" s="2">
        <v>0</v>
      </c>
      <c r="AD211" s="2">
        <v>0</v>
      </c>
      <c r="AE211" s="2" t="s">
        <v>40</v>
      </c>
      <c r="AF211" s="3">
        <v>42370</v>
      </c>
    </row>
    <row r="212" spans="1:32" x14ac:dyDescent="0.25">
      <c r="A212" s="2" t="s">
        <v>41</v>
      </c>
      <c r="B212" s="2">
        <v>0</v>
      </c>
      <c r="C212" s="2">
        <v>67</v>
      </c>
      <c r="D212" s="2">
        <v>2015</v>
      </c>
      <c r="E212" s="2" t="s">
        <v>33</v>
      </c>
      <c r="F212" s="2">
        <v>49</v>
      </c>
      <c r="G212" s="2">
        <v>5</v>
      </c>
      <c r="H212" s="2">
        <v>2</v>
      </c>
      <c r="I212" s="2">
        <v>1</v>
      </c>
      <c r="J212" s="2">
        <v>2</v>
      </c>
      <c r="K212" s="2">
        <v>1</v>
      </c>
      <c r="L212" s="2">
        <v>0</v>
      </c>
      <c r="M212" s="2" t="s">
        <v>55</v>
      </c>
      <c r="N212" s="2" t="s">
        <v>43</v>
      </c>
      <c r="O212" s="2" t="s">
        <v>44</v>
      </c>
      <c r="P212" s="2" t="s">
        <v>45</v>
      </c>
      <c r="Q212" s="2">
        <v>0</v>
      </c>
      <c r="R212" s="2">
        <v>0</v>
      </c>
      <c r="S212" s="2">
        <v>0</v>
      </c>
      <c r="T212" s="2" t="s">
        <v>46</v>
      </c>
      <c r="U212" s="2" t="s">
        <v>57</v>
      </c>
      <c r="V212" s="2">
        <v>0</v>
      </c>
      <c r="W212" s="2" t="s">
        <v>38</v>
      </c>
      <c r="X212" s="2">
        <v>8</v>
      </c>
      <c r="Y212" s="2"/>
      <c r="Z212" s="2">
        <v>0</v>
      </c>
      <c r="AA212" s="2" t="s">
        <v>39</v>
      </c>
      <c r="AB212" s="2">
        <v>112.9</v>
      </c>
      <c r="AC212" s="2">
        <v>0</v>
      </c>
      <c r="AD212" s="2">
        <v>3</v>
      </c>
      <c r="AE212" s="2" t="s">
        <v>40</v>
      </c>
      <c r="AF212" s="3">
        <v>42346</v>
      </c>
    </row>
    <row r="213" spans="1:32" x14ac:dyDescent="0.25">
      <c r="A213" s="2" t="s">
        <v>32</v>
      </c>
      <c r="B213" s="2">
        <v>1</v>
      </c>
      <c r="C213" s="2">
        <v>38</v>
      </c>
      <c r="D213" s="2">
        <v>2015</v>
      </c>
      <c r="E213" s="2" t="s">
        <v>67</v>
      </c>
      <c r="F213" s="2">
        <v>33</v>
      </c>
      <c r="G213" s="2">
        <v>10</v>
      </c>
      <c r="H213" s="2">
        <v>2</v>
      </c>
      <c r="I213" s="2">
        <v>5</v>
      </c>
      <c r="J213" s="2">
        <v>2</v>
      </c>
      <c r="K213" s="2">
        <v>0</v>
      </c>
      <c r="L213" s="2">
        <v>0</v>
      </c>
      <c r="M213" s="2" t="s">
        <v>34</v>
      </c>
      <c r="N213" s="2" t="s">
        <v>43</v>
      </c>
      <c r="O213" s="2" t="s">
        <v>44</v>
      </c>
      <c r="P213" s="2" t="s">
        <v>45</v>
      </c>
      <c r="Q213" s="2">
        <v>0</v>
      </c>
      <c r="R213" s="2">
        <v>0</v>
      </c>
      <c r="S213" s="2">
        <v>0</v>
      </c>
      <c r="T213" s="2" t="s">
        <v>46</v>
      </c>
      <c r="U213" s="2" t="s">
        <v>46</v>
      </c>
      <c r="V213" s="2">
        <v>0</v>
      </c>
      <c r="W213" s="2" t="s">
        <v>38</v>
      </c>
      <c r="X213" s="2">
        <v>240</v>
      </c>
      <c r="Y213" s="2"/>
      <c r="Z213" s="2">
        <v>0</v>
      </c>
      <c r="AA213" s="2" t="s">
        <v>39</v>
      </c>
      <c r="AB213" s="2">
        <v>185.57</v>
      </c>
      <c r="AC213" s="2">
        <v>0</v>
      </c>
      <c r="AD213" s="2">
        <v>2</v>
      </c>
      <c r="AE213" s="2" t="s">
        <v>47</v>
      </c>
      <c r="AF213" s="3">
        <v>42199</v>
      </c>
    </row>
    <row r="214" spans="1:32" x14ac:dyDescent="0.25">
      <c r="A214" s="2" t="s">
        <v>32</v>
      </c>
      <c r="B214" s="2">
        <v>0</v>
      </c>
      <c r="C214" s="2">
        <v>107</v>
      </c>
      <c r="D214" s="2">
        <v>2015</v>
      </c>
      <c r="E214" s="2" t="s">
        <v>67</v>
      </c>
      <c r="F214" s="2">
        <v>33</v>
      </c>
      <c r="G214" s="2">
        <v>10</v>
      </c>
      <c r="H214" s="2">
        <v>1</v>
      </c>
      <c r="I214" s="2">
        <v>2</v>
      </c>
      <c r="J214" s="2">
        <v>2</v>
      </c>
      <c r="K214" s="2">
        <v>0</v>
      </c>
      <c r="L214" s="2">
        <v>0</v>
      </c>
      <c r="M214" s="2" t="s">
        <v>34</v>
      </c>
      <c r="N214" s="2" t="s">
        <v>43</v>
      </c>
      <c r="O214" s="2" t="s">
        <v>36</v>
      </c>
      <c r="P214" s="2" t="s">
        <v>36</v>
      </c>
      <c r="Q214" s="2">
        <v>0</v>
      </c>
      <c r="R214" s="2">
        <v>0</v>
      </c>
      <c r="S214" s="2">
        <v>0</v>
      </c>
      <c r="T214" s="2" t="s">
        <v>46</v>
      </c>
      <c r="U214" s="2" t="s">
        <v>46</v>
      </c>
      <c r="V214" s="2">
        <v>0</v>
      </c>
      <c r="W214" s="2" t="s">
        <v>38</v>
      </c>
      <c r="X214" s="2"/>
      <c r="Y214" s="2"/>
      <c r="Z214" s="2">
        <v>0</v>
      </c>
      <c r="AA214" s="2" t="s">
        <v>51</v>
      </c>
      <c r="AB214" s="2">
        <v>134</v>
      </c>
      <c r="AC214" s="2">
        <v>0</v>
      </c>
      <c r="AD214" s="2">
        <v>1</v>
      </c>
      <c r="AE214" s="2" t="s">
        <v>40</v>
      </c>
      <c r="AF214" s="3">
        <v>42229</v>
      </c>
    </row>
    <row r="215" spans="1:32" x14ac:dyDescent="0.25">
      <c r="A215" s="2" t="s">
        <v>32</v>
      </c>
      <c r="B215" s="2">
        <v>0</v>
      </c>
      <c r="C215" s="2">
        <v>203</v>
      </c>
      <c r="D215" s="2">
        <v>2016</v>
      </c>
      <c r="E215" s="2" t="s">
        <v>33</v>
      </c>
      <c r="F215" s="2">
        <v>49</v>
      </c>
      <c r="G215" s="2">
        <v>2</v>
      </c>
      <c r="H215" s="2">
        <v>2</v>
      </c>
      <c r="I215" s="2">
        <v>5</v>
      </c>
      <c r="J215" s="2">
        <v>2</v>
      </c>
      <c r="K215" s="2">
        <v>0</v>
      </c>
      <c r="L215" s="2">
        <v>0</v>
      </c>
      <c r="M215" s="2" t="s">
        <v>34</v>
      </c>
      <c r="N215" s="2" t="s">
        <v>35</v>
      </c>
      <c r="O215" s="2" t="s">
        <v>36</v>
      </c>
      <c r="P215" s="2" t="s">
        <v>36</v>
      </c>
      <c r="Q215" s="2">
        <v>0</v>
      </c>
      <c r="R215" s="2">
        <v>0</v>
      </c>
      <c r="S215" s="2">
        <v>0</v>
      </c>
      <c r="T215" s="2" t="s">
        <v>37</v>
      </c>
      <c r="U215" s="2" t="s">
        <v>37</v>
      </c>
      <c r="V215" s="2">
        <v>4</v>
      </c>
      <c r="W215" s="2" t="s">
        <v>38</v>
      </c>
      <c r="X215" s="2">
        <v>250</v>
      </c>
      <c r="Y215" s="2"/>
      <c r="Z215" s="2">
        <v>0</v>
      </c>
      <c r="AA215" s="2" t="s">
        <v>39</v>
      </c>
      <c r="AB215" s="2">
        <v>66.8</v>
      </c>
      <c r="AC215" s="2">
        <v>0</v>
      </c>
      <c r="AD215" s="2">
        <v>0</v>
      </c>
      <c r="AE215" s="2" t="s">
        <v>40</v>
      </c>
      <c r="AF215" s="3">
        <v>42713</v>
      </c>
    </row>
    <row r="216" spans="1:32" x14ac:dyDescent="0.25">
      <c r="A216" s="2" t="s">
        <v>41</v>
      </c>
      <c r="B216" s="2">
        <v>0</v>
      </c>
      <c r="C216" s="2">
        <v>25</v>
      </c>
      <c r="D216" s="2">
        <v>2016</v>
      </c>
      <c r="E216" s="2" t="s">
        <v>33</v>
      </c>
      <c r="F216" s="2">
        <v>53</v>
      </c>
      <c r="G216" s="2">
        <v>27</v>
      </c>
      <c r="H216" s="2">
        <v>0</v>
      </c>
      <c r="I216" s="2">
        <v>3</v>
      </c>
      <c r="J216" s="2">
        <v>3</v>
      </c>
      <c r="K216" s="2">
        <v>0</v>
      </c>
      <c r="L216" s="2">
        <v>0</v>
      </c>
      <c r="M216" s="2" t="s">
        <v>34</v>
      </c>
      <c r="N216" s="2" t="s">
        <v>48</v>
      </c>
      <c r="O216" s="2" t="s">
        <v>49</v>
      </c>
      <c r="P216" s="2" t="s">
        <v>45</v>
      </c>
      <c r="Q216" s="2">
        <v>0</v>
      </c>
      <c r="R216" s="2">
        <v>0</v>
      </c>
      <c r="S216" s="2">
        <v>0</v>
      </c>
      <c r="T216" s="2" t="s">
        <v>46</v>
      </c>
      <c r="U216" s="2" t="s">
        <v>50</v>
      </c>
      <c r="V216" s="2">
        <v>2</v>
      </c>
      <c r="W216" s="2" t="s">
        <v>38</v>
      </c>
      <c r="X216" s="2">
        <v>220</v>
      </c>
      <c r="Y216" s="2"/>
      <c r="Z216" s="2">
        <v>0</v>
      </c>
      <c r="AA216" s="2" t="s">
        <v>51</v>
      </c>
      <c r="AB216" s="2">
        <v>60</v>
      </c>
      <c r="AC216" s="2">
        <v>0</v>
      </c>
      <c r="AD216" s="2">
        <v>1</v>
      </c>
      <c r="AE216" s="2" t="s">
        <v>40</v>
      </c>
      <c r="AF216" s="3">
        <v>42734</v>
      </c>
    </row>
    <row r="217" spans="1:32" x14ac:dyDescent="0.25">
      <c r="A217" s="2" t="s">
        <v>41</v>
      </c>
      <c r="B217" s="2">
        <v>0</v>
      </c>
      <c r="C217" s="2">
        <v>1</v>
      </c>
      <c r="D217" s="2">
        <v>2016</v>
      </c>
      <c r="E217" s="2" t="s">
        <v>52</v>
      </c>
      <c r="F217" s="2">
        <v>11</v>
      </c>
      <c r="G217" s="2">
        <v>9</v>
      </c>
      <c r="H217" s="2">
        <v>0</v>
      </c>
      <c r="I217" s="2">
        <v>1</v>
      </c>
      <c r="J217" s="2">
        <v>1</v>
      </c>
      <c r="K217" s="2">
        <v>0</v>
      </c>
      <c r="L217" s="2">
        <v>0</v>
      </c>
      <c r="M217" s="2" t="s">
        <v>34</v>
      </c>
      <c r="N217" s="2" t="s">
        <v>53</v>
      </c>
      <c r="O217" s="2" t="s">
        <v>44</v>
      </c>
      <c r="P217" s="2" t="s">
        <v>45</v>
      </c>
      <c r="Q217" s="2">
        <v>0</v>
      </c>
      <c r="R217" s="2">
        <v>0</v>
      </c>
      <c r="S217" s="2">
        <v>0</v>
      </c>
      <c r="T217" s="2" t="s">
        <v>46</v>
      </c>
      <c r="U217" s="2" t="s">
        <v>46</v>
      </c>
      <c r="V217" s="2">
        <v>0</v>
      </c>
      <c r="W217" s="2" t="s">
        <v>38</v>
      </c>
      <c r="X217" s="2">
        <v>9</v>
      </c>
      <c r="Y217" s="2"/>
      <c r="Z217" s="2">
        <v>0</v>
      </c>
      <c r="AA217" s="2" t="s">
        <v>51</v>
      </c>
      <c r="AB217" s="2">
        <v>95</v>
      </c>
      <c r="AC217" s="2">
        <v>0</v>
      </c>
      <c r="AD217" s="2">
        <v>0</v>
      </c>
      <c r="AE217" s="2" t="s">
        <v>40</v>
      </c>
      <c r="AF217" s="3">
        <v>42439</v>
      </c>
    </row>
    <row r="218" spans="1:32" x14ac:dyDescent="0.25">
      <c r="A218" s="2" t="s">
        <v>41</v>
      </c>
      <c r="B218" s="2">
        <v>1</v>
      </c>
      <c r="C218" s="2">
        <v>21</v>
      </c>
      <c r="D218" s="2">
        <v>2016</v>
      </c>
      <c r="E218" s="2" t="s">
        <v>52</v>
      </c>
      <c r="F218" s="2">
        <v>10</v>
      </c>
      <c r="G218" s="2">
        <v>4</v>
      </c>
      <c r="H218" s="2">
        <v>0</v>
      </c>
      <c r="I218" s="2">
        <v>1</v>
      </c>
      <c r="J218" s="2">
        <v>1</v>
      </c>
      <c r="K218" s="2">
        <v>0</v>
      </c>
      <c r="L218" s="2">
        <v>0</v>
      </c>
      <c r="M218" s="2" t="s">
        <v>34</v>
      </c>
      <c r="N218" s="2" t="s">
        <v>58</v>
      </c>
      <c r="O218" s="2" t="s">
        <v>44</v>
      </c>
      <c r="P218" s="2" t="s">
        <v>45</v>
      </c>
      <c r="Q218" s="2">
        <v>0</v>
      </c>
      <c r="R218" s="2">
        <v>0</v>
      </c>
      <c r="S218" s="2">
        <v>0</v>
      </c>
      <c r="T218" s="2" t="s">
        <v>46</v>
      </c>
      <c r="U218" s="2" t="s">
        <v>46</v>
      </c>
      <c r="V218" s="2">
        <v>0</v>
      </c>
      <c r="W218" s="2" t="s">
        <v>38</v>
      </c>
      <c r="X218" s="2">
        <v>9</v>
      </c>
      <c r="Y218" s="2"/>
      <c r="Z218" s="2">
        <v>0</v>
      </c>
      <c r="AA218" s="2" t="s">
        <v>51</v>
      </c>
      <c r="AB218" s="2">
        <v>85</v>
      </c>
      <c r="AC218" s="2">
        <v>0</v>
      </c>
      <c r="AD218" s="2">
        <v>0</v>
      </c>
      <c r="AE218" s="2" t="s">
        <v>47</v>
      </c>
      <c r="AF218" s="3">
        <v>42426</v>
      </c>
    </row>
    <row r="219" spans="1:32" x14ac:dyDescent="0.25">
      <c r="A219" s="2" t="s">
        <v>32</v>
      </c>
      <c r="B219" s="2">
        <v>0</v>
      </c>
      <c r="C219" s="2">
        <v>55</v>
      </c>
      <c r="D219" s="2">
        <v>2016</v>
      </c>
      <c r="E219" s="2" t="s">
        <v>61</v>
      </c>
      <c r="F219" s="2">
        <v>47</v>
      </c>
      <c r="G219" s="2">
        <v>19</v>
      </c>
      <c r="H219" s="2">
        <v>2</v>
      </c>
      <c r="I219" s="2">
        <v>5</v>
      </c>
      <c r="J219" s="2">
        <v>2</v>
      </c>
      <c r="K219" s="2">
        <v>0</v>
      </c>
      <c r="L219" s="2">
        <v>0</v>
      </c>
      <c r="M219" s="2" t="s">
        <v>60</v>
      </c>
      <c r="N219" s="2" t="s">
        <v>35</v>
      </c>
      <c r="O219" s="2" t="s">
        <v>44</v>
      </c>
      <c r="P219" s="2" t="s">
        <v>45</v>
      </c>
      <c r="Q219" s="2">
        <v>0</v>
      </c>
      <c r="R219" s="2">
        <v>0</v>
      </c>
      <c r="S219" s="2">
        <v>0</v>
      </c>
      <c r="T219" s="2" t="s">
        <v>57</v>
      </c>
      <c r="U219" s="2" t="s">
        <v>57</v>
      </c>
      <c r="V219" s="2">
        <v>1</v>
      </c>
      <c r="W219" s="2" t="s">
        <v>38</v>
      </c>
      <c r="X219" s="2">
        <v>314</v>
      </c>
      <c r="Y219" s="2"/>
      <c r="Z219" s="2">
        <v>0</v>
      </c>
      <c r="AA219" s="2" t="s">
        <v>39</v>
      </c>
      <c r="AB219" s="2">
        <v>67.44</v>
      </c>
      <c r="AC219" s="2">
        <v>0</v>
      </c>
      <c r="AD219" s="2">
        <v>0</v>
      </c>
      <c r="AE219" s="2" t="s">
        <v>40</v>
      </c>
      <c r="AF219" s="3">
        <v>42700</v>
      </c>
    </row>
    <row r="220" spans="1:32" x14ac:dyDescent="0.25">
      <c r="A220" s="2" t="s">
        <v>32</v>
      </c>
      <c r="B220" s="2">
        <v>0</v>
      </c>
      <c r="C220" s="2">
        <v>120</v>
      </c>
      <c r="D220" s="2">
        <v>2016</v>
      </c>
      <c r="E220" s="2" t="s">
        <v>33</v>
      </c>
      <c r="F220" s="2">
        <v>53</v>
      </c>
      <c r="G220" s="2">
        <v>26</v>
      </c>
      <c r="H220" s="2">
        <v>1</v>
      </c>
      <c r="I220" s="2">
        <v>3</v>
      </c>
      <c r="J220" s="2">
        <v>2</v>
      </c>
      <c r="K220" s="2">
        <v>0</v>
      </c>
      <c r="L220" s="2">
        <v>0</v>
      </c>
      <c r="M220" s="2" t="s">
        <v>34</v>
      </c>
      <c r="N220" s="2" t="s">
        <v>65</v>
      </c>
      <c r="O220" s="2" t="s">
        <v>44</v>
      </c>
      <c r="P220" s="2" t="s">
        <v>45</v>
      </c>
      <c r="Q220" s="2">
        <v>0</v>
      </c>
      <c r="R220" s="2">
        <v>0</v>
      </c>
      <c r="S220" s="2">
        <v>0</v>
      </c>
      <c r="T220" s="2" t="s">
        <v>57</v>
      </c>
      <c r="U220" s="2" t="s">
        <v>57</v>
      </c>
      <c r="V220" s="2">
        <v>0</v>
      </c>
      <c r="W220" s="2" t="s">
        <v>38</v>
      </c>
      <c r="X220" s="2">
        <v>240</v>
      </c>
      <c r="Y220" s="2"/>
      <c r="Z220" s="2">
        <v>0</v>
      </c>
      <c r="AA220" s="2" t="s">
        <v>51</v>
      </c>
      <c r="AB220" s="2">
        <v>54.8</v>
      </c>
      <c r="AC220" s="2">
        <v>1</v>
      </c>
      <c r="AD220" s="2">
        <v>3</v>
      </c>
      <c r="AE220" s="2" t="s">
        <v>40</v>
      </c>
      <c r="AF220" s="3">
        <v>42734</v>
      </c>
    </row>
    <row r="221" spans="1:32" x14ac:dyDescent="0.25">
      <c r="A221" s="2" t="s">
        <v>41</v>
      </c>
      <c r="B221" s="2">
        <v>0</v>
      </c>
      <c r="C221" s="2">
        <v>41</v>
      </c>
      <c r="D221" s="2">
        <v>2016</v>
      </c>
      <c r="E221" s="2" t="s">
        <v>67</v>
      </c>
      <c r="F221" s="2">
        <v>34</v>
      </c>
      <c r="G221" s="2">
        <v>15</v>
      </c>
      <c r="H221" s="2">
        <v>1</v>
      </c>
      <c r="I221" s="2">
        <v>2</v>
      </c>
      <c r="J221" s="2">
        <v>2</v>
      </c>
      <c r="K221" s="2">
        <v>0</v>
      </c>
      <c r="L221" s="2">
        <v>0</v>
      </c>
      <c r="M221" s="2" t="s">
        <v>34</v>
      </c>
      <c r="N221" s="2" t="s">
        <v>43</v>
      </c>
      <c r="O221" s="2" t="s">
        <v>49</v>
      </c>
      <c r="P221" s="2" t="s">
        <v>45</v>
      </c>
      <c r="Q221" s="2">
        <v>0</v>
      </c>
      <c r="R221" s="2">
        <v>0</v>
      </c>
      <c r="S221" s="2">
        <v>0</v>
      </c>
      <c r="T221" s="2" t="s">
        <v>46</v>
      </c>
      <c r="U221" s="2" t="s">
        <v>46</v>
      </c>
      <c r="V221" s="2">
        <v>0</v>
      </c>
      <c r="W221" s="2" t="s">
        <v>38</v>
      </c>
      <c r="X221" s="2">
        <v>28</v>
      </c>
      <c r="Y221" s="2"/>
      <c r="Z221" s="2">
        <v>0</v>
      </c>
      <c r="AA221" s="2" t="s">
        <v>39</v>
      </c>
      <c r="AB221" s="2">
        <v>76.5</v>
      </c>
      <c r="AC221" s="2">
        <v>0</v>
      </c>
      <c r="AD221" s="2">
        <v>0</v>
      </c>
      <c r="AE221" s="2" t="s">
        <v>40</v>
      </c>
      <c r="AF221" s="3">
        <v>42600</v>
      </c>
    </row>
    <row r="222" spans="1:32" x14ac:dyDescent="0.25">
      <c r="A222" s="2" t="s">
        <v>32</v>
      </c>
      <c r="B222" s="2">
        <v>0</v>
      </c>
      <c r="C222" s="2">
        <v>34</v>
      </c>
      <c r="D222" s="2">
        <v>2016</v>
      </c>
      <c r="E222" s="2" t="s">
        <v>33</v>
      </c>
      <c r="F222" s="2">
        <v>50</v>
      </c>
      <c r="G222" s="2">
        <v>9</v>
      </c>
      <c r="H222" s="2">
        <v>0</v>
      </c>
      <c r="I222" s="2">
        <v>1</v>
      </c>
      <c r="J222" s="2">
        <v>2</v>
      </c>
      <c r="K222" s="2">
        <v>0</v>
      </c>
      <c r="L222" s="2">
        <v>0</v>
      </c>
      <c r="M222" s="2" t="s">
        <v>34</v>
      </c>
      <c r="N222" s="2" t="s">
        <v>43</v>
      </c>
      <c r="O222" s="2" t="s">
        <v>44</v>
      </c>
      <c r="P222" s="2" t="s">
        <v>45</v>
      </c>
      <c r="Q222" s="2">
        <v>0</v>
      </c>
      <c r="R222" s="2">
        <v>0</v>
      </c>
      <c r="S222" s="2">
        <v>0</v>
      </c>
      <c r="T222" s="2" t="s">
        <v>46</v>
      </c>
      <c r="U222" s="2" t="s">
        <v>57</v>
      </c>
      <c r="V222" s="2">
        <v>0</v>
      </c>
      <c r="W222" s="2" t="s">
        <v>38</v>
      </c>
      <c r="X222" s="2">
        <v>240</v>
      </c>
      <c r="Y222" s="2"/>
      <c r="Z222" s="2">
        <v>0</v>
      </c>
      <c r="AA222" s="2" t="s">
        <v>39</v>
      </c>
      <c r="AB222" s="2">
        <v>48</v>
      </c>
      <c r="AC222" s="2">
        <v>0</v>
      </c>
      <c r="AD222" s="2">
        <v>1</v>
      </c>
      <c r="AE222" s="2" t="s">
        <v>40</v>
      </c>
      <c r="AF222" s="3">
        <v>42714</v>
      </c>
    </row>
    <row r="223" spans="1:32" x14ac:dyDescent="0.25">
      <c r="A223" s="2" t="s">
        <v>41</v>
      </c>
      <c r="B223" s="2">
        <v>1</v>
      </c>
      <c r="C223" s="2">
        <v>38</v>
      </c>
      <c r="D223" s="2">
        <v>2016</v>
      </c>
      <c r="E223" s="2" t="s">
        <v>69</v>
      </c>
      <c r="F223" s="2">
        <v>19</v>
      </c>
      <c r="G223" s="2">
        <v>6</v>
      </c>
      <c r="H223" s="2">
        <v>2</v>
      </c>
      <c r="I223" s="2">
        <v>3</v>
      </c>
      <c r="J223" s="2">
        <v>2</v>
      </c>
      <c r="K223" s="2">
        <v>1</v>
      </c>
      <c r="L223" s="2">
        <v>0</v>
      </c>
      <c r="M223" s="2" t="s">
        <v>60</v>
      </c>
      <c r="N223" s="2" t="s">
        <v>70</v>
      </c>
      <c r="O223" s="2" t="s">
        <v>44</v>
      </c>
      <c r="P223" s="2" t="s">
        <v>45</v>
      </c>
      <c r="Q223" s="2">
        <v>0</v>
      </c>
      <c r="R223" s="2">
        <v>0</v>
      </c>
      <c r="S223" s="2">
        <v>0</v>
      </c>
      <c r="T223" s="2" t="s">
        <v>46</v>
      </c>
      <c r="U223" s="2" t="s">
        <v>46</v>
      </c>
      <c r="V223" s="2">
        <v>0</v>
      </c>
      <c r="W223" s="2" t="s">
        <v>38</v>
      </c>
      <c r="X223" s="2">
        <v>9</v>
      </c>
      <c r="Y223" s="2"/>
      <c r="Z223" s="2">
        <v>0</v>
      </c>
      <c r="AA223" s="2" t="s">
        <v>39</v>
      </c>
      <c r="AB223" s="2">
        <v>149.68</v>
      </c>
      <c r="AC223" s="2">
        <v>0</v>
      </c>
      <c r="AD223" s="2">
        <v>0</v>
      </c>
      <c r="AE223" s="2" t="s">
        <v>47</v>
      </c>
      <c r="AF223" s="3">
        <v>42491</v>
      </c>
    </row>
    <row r="224" spans="1:32" x14ac:dyDescent="0.25">
      <c r="A224" s="2" t="s">
        <v>32</v>
      </c>
      <c r="B224" s="2">
        <v>0</v>
      </c>
      <c r="C224" s="2">
        <v>32</v>
      </c>
      <c r="D224" s="2">
        <v>2016</v>
      </c>
      <c r="E224" s="2" t="s">
        <v>59</v>
      </c>
      <c r="F224" s="2">
        <v>44</v>
      </c>
      <c r="G224" s="2">
        <v>27</v>
      </c>
      <c r="H224" s="2">
        <v>2</v>
      </c>
      <c r="I224" s="2">
        <v>5</v>
      </c>
      <c r="J224" s="2">
        <v>2</v>
      </c>
      <c r="K224" s="2">
        <v>0</v>
      </c>
      <c r="L224" s="2">
        <v>0</v>
      </c>
      <c r="M224" s="2" t="s">
        <v>34</v>
      </c>
      <c r="N224" s="2" t="s">
        <v>70</v>
      </c>
      <c r="O224" s="2" t="s">
        <v>36</v>
      </c>
      <c r="P224" s="2" t="s">
        <v>36</v>
      </c>
      <c r="Q224" s="2">
        <v>0</v>
      </c>
      <c r="R224" s="2">
        <v>0</v>
      </c>
      <c r="S224" s="2">
        <v>0</v>
      </c>
      <c r="T224" s="2" t="s">
        <v>37</v>
      </c>
      <c r="U224" s="2" t="s">
        <v>37</v>
      </c>
      <c r="V224" s="2">
        <v>0</v>
      </c>
      <c r="W224" s="2" t="s">
        <v>38</v>
      </c>
      <c r="X224" s="2">
        <v>250</v>
      </c>
      <c r="Y224" s="2"/>
      <c r="Z224" s="2">
        <v>0</v>
      </c>
      <c r="AA224" s="2" t="s">
        <v>39</v>
      </c>
      <c r="AB224" s="2">
        <v>91.85</v>
      </c>
      <c r="AC224" s="2">
        <v>1</v>
      </c>
      <c r="AD224" s="2">
        <v>0</v>
      </c>
      <c r="AE224" s="2" t="s">
        <v>40</v>
      </c>
      <c r="AF224" s="3">
        <v>42677</v>
      </c>
    </row>
    <row r="225" spans="1:32" x14ac:dyDescent="0.25">
      <c r="A225" s="2" t="s">
        <v>32</v>
      </c>
      <c r="B225" s="2">
        <v>0</v>
      </c>
      <c r="C225" s="2">
        <v>56</v>
      </c>
      <c r="D225" s="2">
        <v>2016</v>
      </c>
      <c r="E225" s="2" t="s">
        <v>52</v>
      </c>
      <c r="F225" s="2">
        <v>14</v>
      </c>
      <c r="G225" s="2">
        <v>29</v>
      </c>
      <c r="H225" s="2">
        <v>0</v>
      </c>
      <c r="I225" s="2">
        <v>4</v>
      </c>
      <c r="J225" s="2">
        <v>2</v>
      </c>
      <c r="K225" s="2">
        <v>0</v>
      </c>
      <c r="L225" s="2">
        <v>0</v>
      </c>
      <c r="M225" s="2" t="s">
        <v>34</v>
      </c>
      <c r="N225" s="2" t="s">
        <v>43</v>
      </c>
      <c r="O225" s="2" t="s">
        <v>44</v>
      </c>
      <c r="P225" s="2" t="s">
        <v>45</v>
      </c>
      <c r="Q225" s="2">
        <v>0</v>
      </c>
      <c r="R225" s="2">
        <v>0</v>
      </c>
      <c r="S225" s="2">
        <v>0</v>
      </c>
      <c r="T225" s="2" t="s">
        <v>46</v>
      </c>
      <c r="U225" s="2" t="s">
        <v>46</v>
      </c>
      <c r="V225" s="2">
        <v>0</v>
      </c>
      <c r="W225" s="2" t="s">
        <v>38</v>
      </c>
      <c r="X225" s="2">
        <v>240</v>
      </c>
      <c r="Y225" s="2"/>
      <c r="Z225" s="2">
        <v>0</v>
      </c>
      <c r="AA225" s="2" t="s">
        <v>39</v>
      </c>
      <c r="AB225" s="2">
        <v>58</v>
      </c>
      <c r="AC225" s="2">
        <v>1</v>
      </c>
      <c r="AD225" s="2">
        <v>1</v>
      </c>
      <c r="AE225" s="2" t="s">
        <v>40</v>
      </c>
      <c r="AF225" s="3">
        <v>42462</v>
      </c>
    </row>
    <row r="226" spans="1:32" x14ac:dyDescent="0.25">
      <c r="A226" s="2" t="s">
        <v>41</v>
      </c>
      <c r="B226" s="2">
        <v>1</v>
      </c>
      <c r="C226" s="2">
        <v>175</v>
      </c>
      <c r="D226" s="2">
        <v>2016</v>
      </c>
      <c r="E226" s="2" t="s">
        <v>67</v>
      </c>
      <c r="F226" s="2">
        <v>33</v>
      </c>
      <c r="G226" s="2">
        <v>10</v>
      </c>
      <c r="H226" s="2">
        <v>0</v>
      </c>
      <c r="I226" s="2">
        <v>4</v>
      </c>
      <c r="J226" s="2">
        <v>2</v>
      </c>
      <c r="K226" s="2">
        <v>0</v>
      </c>
      <c r="L226" s="2">
        <v>0</v>
      </c>
      <c r="M226" s="2" t="s">
        <v>34</v>
      </c>
      <c r="N226" s="2" t="s">
        <v>35</v>
      </c>
      <c r="O226" s="2" t="s">
        <v>44</v>
      </c>
      <c r="P226" s="2" t="s">
        <v>45</v>
      </c>
      <c r="Q226" s="2">
        <v>0</v>
      </c>
      <c r="R226" s="2">
        <v>0</v>
      </c>
      <c r="S226" s="2">
        <v>0</v>
      </c>
      <c r="T226" s="2" t="s">
        <v>46</v>
      </c>
      <c r="U226" s="2" t="s">
        <v>46</v>
      </c>
      <c r="V226" s="2">
        <v>0</v>
      </c>
      <c r="W226" s="2" t="s">
        <v>38</v>
      </c>
      <c r="X226" s="2">
        <v>9</v>
      </c>
      <c r="Y226" s="2"/>
      <c r="Z226" s="2">
        <v>0</v>
      </c>
      <c r="AA226" s="2" t="s">
        <v>39</v>
      </c>
      <c r="AB226" s="2">
        <v>99.45</v>
      </c>
      <c r="AC226" s="2">
        <v>0</v>
      </c>
      <c r="AD226" s="2">
        <v>0</v>
      </c>
      <c r="AE226" s="2" t="s">
        <v>47</v>
      </c>
      <c r="AF226" s="3">
        <v>42430</v>
      </c>
    </row>
    <row r="227" spans="1:32" x14ac:dyDescent="0.25">
      <c r="A227" s="2" t="s">
        <v>32</v>
      </c>
      <c r="B227" s="2">
        <v>1</v>
      </c>
      <c r="C227" s="2">
        <v>378</v>
      </c>
      <c r="D227" s="2">
        <v>2016</v>
      </c>
      <c r="E227" s="2" t="s">
        <v>61</v>
      </c>
      <c r="F227" s="2">
        <v>45</v>
      </c>
      <c r="G227" s="2">
        <v>1</v>
      </c>
      <c r="H227" s="2">
        <v>0</v>
      </c>
      <c r="I227" s="2">
        <v>2</v>
      </c>
      <c r="J227" s="2">
        <v>2</v>
      </c>
      <c r="K227" s="2">
        <v>0</v>
      </c>
      <c r="L227" s="2">
        <v>0</v>
      </c>
      <c r="M227" s="2" t="s">
        <v>34</v>
      </c>
      <c r="N227" s="2" t="s">
        <v>43</v>
      </c>
      <c r="O227" s="2" t="s">
        <v>64</v>
      </c>
      <c r="P227" s="2" t="s">
        <v>45</v>
      </c>
      <c r="Q227" s="2">
        <v>0</v>
      </c>
      <c r="R227" s="2">
        <v>0</v>
      </c>
      <c r="S227" s="2">
        <v>0</v>
      </c>
      <c r="T227" s="2" t="s">
        <v>46</v>
      </c>
      <c r="U227" s="2" t="s">
        <v>46</v>
      </c>
      <c r="V227" s="2">
        <v>0</v>
      </c>
      <c r="W227" s="2" t="s">
        <v>68</v>
      </c>
      <c r="X227" s="2">
        <v>248</v>
      </c>
      <c r="Y227" s="2"/>
      <c r="Z227" s="2">
        <v>0</v>
      </c>
      <c r="AA227" s="2" t="s">
        <v>39</v>
      </c>
      <c r="AB227" s="2">
        <v>46</v>
      </c>
      <c r="AC227" s="2">
        <v>0</v>
      </c>
      <c r="AD227" s="2">
        <v>0</v>
      </c>
      <c r="AE227" s="2" t="s">
        <v>47</v>
      </c>
      <c r="AF227" s="3">
        <v>42661</v>
      </c>
    </row>
    <row r="228" spans="1:32" x14ac:dyDescent="0.25">
      <c r="A228" s="2" t="s">
        <v>41</v>
      </c>
      <c r="B228" s="2">
        <v>0</v>
      </c>
      <c r="C228" s="2">
        <v>32</v>
      </c>
      <c r="D228" s="2">
        <v>2016</v>
      </c>
      <c r="E228" s="2" t="s">
        <v>74</v>
      </c>
      <c r="F228" s="2">
        <v>5</v>
      </c>
      <c r="G228" s="2">
        <v>24</v>
      </c>
      <c r="H228" s="2">
        <v>2</v>
      </c>
      <c r="I228" s="2">
        <v>1</v>
      </c>
      <c r="J228" s="2">
        <v>2</v>
      </c>
      <c r="K228" s="2">
        <v>0</v>
      </c>
      <c r="L228" s="2">
        <v>0</v>
      </c>
      <c r="M228" s="2" t="s">
        <v>34</v>
      </c>
      <c r="N228" s="2" t="s">
        <v>75</v>
      </c>
      <c r="O228" s="2" t="s">
        <v>76</v>
      </c>
      <c r="P228" s="2" t="s">
        <v>76</v>
      </c>
      <c r="Q228" s="2">
        <v>0</v>
      </c>
      <c r="R228" s="2">
        <v>0</v>
      </c>
      <c r="S228" s="2">
        <v>0</v>
      </c>
      <c r="T228" s="2" t="s">
        <v>46</v>
      </c>
      <c r="U228" s="2" t="s">
        <v>46</v>
      </c>
      <c r="V228" s="2">
        <v>1</v>
      </c>
      <c r="W228" s="2" t="s">
        <v>38</v>
      </c>
      <c r="X228" s="2">
        <v>38</v>
      </c>
      <c r="Y228" s="2"/>
      <c r="Z228" s="2">
        <v>15</v>
      </c>
      <c r="AA228" s="2" t="s">
        <v>51</v>
      </c>
      <c r="AB228" s="2">
        <v>64</v>
      </c>
      <c r="AC228" s="2">
        <v>0</v>
      </c>
      <c r="AD228" s="2">
        <v>0</v>
      </c>
      <c r="AE228" s="2" t="s">
        <v>40</v>
      </c>
      <c r="AF228" s="3">
        <v>42396</v>
      </c>
    </row>
    <row r="229" spans="1:32" x14ac:dyDescent="0.25">
      <c r="A229" s="2" t="s">
        <v>41</v>
      </c>
      <c r="B229" s="2">
        <v>1</v>
      </c>
      <c r="C229" s="2">
        <v>179</v>
      </c>
      <c r="D229" s="2">
        <v>2016</v>
      </c>
      <c r="E229" s="2" t="s">
        <v>42</v>
      </c>
      <c r="F229" s="2">
        <v>27</v>
      </c>
      <c r="G229" s="2">
        <v>1</v>
      </c>
      <c r="H229" s="2">
        <v>0</v>
      </c>
      <c r="I229" s="2">
        <v>2</v>
      </c>
      <c r="J229" s="2">
        <v>2</v>
      </c>
      <c r="K229" s="2">
        <v>0</v>
      </c>
      <c r="L229" s="2">
        <v>0</v>
      </c>
      <c r="M229" s="2" t="s">
        <v>34</v>
      </c>
      <c r="N229" s="2" t="s">
        <v>43</v>
      </c>
      <c r="O229" s="2" t="s">
        <v>64</v>
      </c>
      <c r="P229" s="2" t="s">
        <v>45</v>
      </c>
      <c r="Q229" s="2">
        <v>0</v>
      </c>
      <c r="R229" s="2">
        <v>0</v>
      </c>
      <c r="S229" s="2">
        <v>0</v>
      </c>
      <c r="T229" s="2" t="s">
        <v>46</v>
      </c>
      <c r="U229" s="2" t="s">
        <v>46</v>
      </c>
      <c r="V229" s="2">
        <v>0</v>
      </c>
      <c r="W229" s="2" t="s">
        <v>68</v>
      </c>
      <c r="X229" s="2">
        <v>1</v>
      </c>
      <c r="Y229" s="2"/>
      <c r="Z229" s="2">
        <v>0</v>
      </c>
      <c r="AA229" s="2" t="s">
        <v>39</v>
      </c>
      <c r="AB229" s="2">
        <v>65</v>
      </c>
      <c r="AC229" s="2">
        <v>0</v>
      </c>
      <c r="AD229" s="2">
        <v>0</v>
      </c>
      <c r="AE229" s="2" t="s">
        <v>47</v>
      </c>
      <c r="AF229" s="3">
        <v>42500</v>
      </c>
    </row>
    <row r="230" spans="1:32" x14ac:dyDescent="0.25">
      <c r="A230" s="2" t="s">
        <v>41</v>
      </c>
      <c r="B230" s="2">
        <v>0</v>
      </c>
      <c r="C230" s="2">
        <v>349</v>
      </c>
      <c r="D230" s="2">
        <v>2016</v>
      </c>
      <c r="E230" s="2" t="s">
        <v>59</v>
      </c>
      <c r="F230" s="2">
        <v>41</v>
      </c>
      <c r="G230" s="2">
        <v>4</v>
      </c>
      <c r="H230" s="2">
        <v>1</v>
      </c>
      <c r="I230" s="2">
        <v>5</v>
      </c>
      <c r="J230" s="2">
        <v>2</v>
      </c>
      <c r="K230" s="2">
        <v>0</v>
      </c>
      <c r="L230" s="2">
        <v>0</v>
      </c>
      <c r="M230" s="2" t="s">
        <v>34</v>
      </c>
      <c r="N230" s="2" t="s">
        <v>56</v>
      </c>
      <c r="O230" s="2" t="s">
        <v>49</v>
      </c>
      <c r="P230" s="2" t="s">
        <v>45</v>
      </c>
      <c r="Q230" s="2">
        <v>0</v>
      </c>
      <c r="R230" s="2">
        <v>0</v>
      </c>
      <c r="S230" s="2">
        <v>0</v>
      </c>
      <c r="T230" s="2" t="s">
        <v>46</v>
      </c>
      <c r="U230" s="2" t="s">
        <v>46</v>
      </c>
      <c r="V230" s="2">
        <v>0</v>
      </c>
      <c r="W230" s="2" t="s">
        <v>38</v>
      </c>
      <c r="X230" s="2">
        <v>58</v>
      </c>
      <c r="Y230" s="2"/>
      <c r="Z230" s="2">
        <v>162</v>
      </c>
      <c r="AA230" s="2" t="s">
        <v>51</v>
      </c>
      <c r="AB230" s="2">
        <v>123.33</v>
      </c>
      <c r="AC230" s="2">
        <v>0</v>
      </c>
      <c r="AD230" s="2">
        <v>0</v>
      </c>
      <c r="AE230" s="2" t="s">
        <v>40</v>
      </c>
      <c r="AF230" s="3">
        <v>42653</v>
      </c>
    </row>
    <row r="231" spans="1:32" x14ac:dyDescent="0.25">
      <c r="A231" s="2" t="s">
        <v>41</v>
      </c>
      <c r="B231" s="2">
        <v>0</v>
      </c>
      <c r="C231" s="2">
        <v>47</v>
      </c>
      <c r="D231" s="2">
        <v>2016</v>
      </c>
      <c r="E231" s="2" t="s">
        <v>66</v>
      </c>
      <c r="F231" s="2">
        <v>8</v>
      </c>
      <c r="G231" s="2">
        <v>18</v>
      </c>
      <c r="H231" s="2">
        <v>0</v>
      </c>
      <c r="I231" s="2">
        <v>3</v>
      </c>
      <c r="J231" s="2">
        <v>2</v>
      </c>
      <c r="K231" s="2">
        <v>0</v>
      </c>
      <c r="L231" s="2">
        <v>0</v>
      </c>
      <c r="M231" s="2" t="s">
        <v>34</v>
      </c>
      <c r="N231" s="2" t="s">
        <v>78</v>
      </c>
      <c r="O231" s="2" t="s">
        <v>44</v>
      </c>
      <c r="P231" s="2" t="s">
        <v>45</v>
      </c>
      <c r="Q231" s="2">
        <v>0</v>
      </c>
      <c r="R231" s="2">
        <v>0</v>
      </c>
      <c r="S231" s="2">
        <v>0</v>
      </c>
      <c r="T231" s="2" t="s">
        <v>57</v>
      </c>
      <c r="U231" s="2" t="s">
        <v>57</v>
      </c>
      <c r="V231" s="2">
        <v>0</v>
      </c>
      <c r="W231" s="2" t="s">
        <v>38</v>
      </c>
      <c r="X231" s="2">
        <v>9</v>
      </c>
      <c r="Y231" s="2"/>
      <c r="Z231" s="2">
        <v>0</v>
      </c>
      <c r="AA231" s="2" t="s">
        <v>39</v>
      </c>
      <c r="AB231" s="2">
        <v>90.3</v>
      </c>
      <c r="AC231" s="2">
        <v>0</v>
      </c>
      <c r="AD231" s="2">
        <v>0</v>
      </c>
      <c r="AE231" s="2" t="s">
        <v>40</v>
      </c>
      <c r="AF231" s="3">
        <v>42421</v>
      </c>
    </row>
    <row r="232" spans="1:32" x14ac:dyDescent="0.25">
      <c r="A232" s="2" t="s">
        <v>41</v>
      </c>
      <c r="B232" s="2">
        <v>0</v>
      </c>
      <c r="C232" s="2">
        <v>31</v>
      </c>
      <c r="D232" s="2">
        <v>2016</v>
      </c>
      <c r="E232" s="2" t="s">
        <v>62</v>
      </c>
      <c r="F232" s="2">
        <v>40</v>
      </c>
      <c r="G232" s="2">
        <v>27</v>
      </c>
      <c r="H232" s="2">
        <v>0</v>
      </c>
      <c r="I232" s="2">
        <v>1</v>
      </c>
      <c r="J232" s="2">
        <v>2</v>
      </c>
      <c r="K232" s="2">
        <v>0</v>
      </c>
      <c r="L232" s="2">
        <v>0</v>
      </c>
      <c r="M232" s="2" t="s">
        <v>34</v>
      </c>
      <c r="N232" s="2" t="s">
        <v>79</v>
      </c>
      <c r="O232" s="2" t="s">
        <v>44</v>
      </c>
      <c r="P232" s="2" t="s">
        <v>45</v>
      </c>
      <c r="Q232" s="2">
        <v>0</v>
      </c>
      <c r="R232" s="2">
        <v>0</v>
      </c>
      <c r="S232" s="2">
        <v>0</v>
      </c>
      <c r="T232" s="2" t="s">
        <v>46</v>
      </c>
      <c r="U232" s="2" t="s">
        <v>57</v>
      </c>
      <c r="V232" s="2">
        <v>0</v>
      </c>
      <c r="W232" s="2" t="s">
        <v>38</v>
      </c>
      <c r="X232" s="2">
        <v>9</v>
      </c>
      <c r="Y232" s="2"/>
      <c r="Z232" s="2">
        <v>0</v>
      </c>
      <c r="AA232" s="2" t="s">
        <v>39</v>
      </c>
      <c r="AB232" s="2">
        <v>126</v>
      </c>
      <c r="AC232" s="2">
        <v>0</v>
      </c>
      <c r="AD232" s="2">
        <v>0</v>
      </c>
      <c r="AE232" s="2" t="s">
        <v>40</v>
      </c>
      <c r="AF232" s="3">
        <v>42641</v>
      </c>
    </row>
    <row r="233" spans="1:32" x14ac:dyDescent="0.25">
      <c r="A233" s="2" t="s">
        <v>41</v>
      </c>
      <c r="B233" s="2">
        <v>0</v>
      </c>
      <c r="C233" s="2">
        <v>158</v>
      </c>
      <c r="D233" s="2">
        <v>2016</v>
      </c>
      <c r="E233" s="2" t="s">
        <v>42</v>
      </c>
      <c r="F233" s="2">
        <v>27</v>
      </c>
      <c r="G233" s="2">
        <v>1</v>
      </c>
      <c r="H233" s="2">
        <v>1</v>
      </c>
      <c r="I233" s="2">
        <v>2</v>
      </c>
      <c r="J233" s="2">
        <v>2</v>
      </c>
      <c r="K233" s="2">
        <v>2</v>
      </c>
      <c r="L233" s="2">
        <v>0</v>
      </c>
      <c r="M233" s="2" t="s">
        <v>34</v>
      </c>
      <c r="N233" s="2" t="s">
        <v>65</v>
      </c>
      <c r="O233" s="2" t="s">
        <v>44</v>
      </c>
      <c r="P233" s="2" t="s">
        <v>45</v>
      </c>
      <c r="Q233" s="2">
        <v>0</v>
      </c>
      <c r="R233" s="2">
        <v>0</v>
      </c>
      <c r="S233" s="2">
        <v>0</v>
      </c>
      <c r="T233" s="2" t="s">
        <v>37</v>
      </c>
      <c r="U233" s="2" t="s">
        <v>37</v>
      </c>
      <c r="V233" s="2">
        <v>0</v>
      </c>
      <c r="W233" s="2" t="s">
        <v>38</v>
      </c>
      <c r="X233" s="2">
        <v>9</v>
      </c>
      <c r="Y233" s="2"/>
      <c r="Z233" s="2">
        <v>0</v>
      </c>
      <c r="AA233" s="2" t="s">
        <v>39</v>
      </c>
      <c r="AB233" s="2">
        <v>168.3</v>
      </c>
      <c r="AC233" s="2">
        <v>0</v>
      </c>
      <c r="AD233" s="2">
        <v>1</v>
      </c>
      <c r="AE233" s="2" t="s">
        <v>40</v>
      </c>
      <c r="AF233" s="3">
        <v>42555</v>
      </c>
    </row>
    <row r="234" spans="1:32" x14ac:dyDescent="0.25">
      <c r="A234" s="2" t="s">
        <v>41</v>
      </c>
      <c r="B234" s="2">
        <v>0</v>
      </c>
      <c r="C234" s="2">
        <v>25</v>
      </c>
      <c r="D234" s="2">
        <v>2016</v>
      </c>
      <c r="E234" s="2" t="s">
        <v>33</v>
      </c>
      <c r="F234" s="2">
        <v>51</v>
      </c>
      <c r="G234" s="2">
        <v>13</v>
      </c>
      <c r="H234" s="2">
        <v>0</v>
      </c>
      <c r="I234" s="2">
        <v>4</v>
      </c>
      <c r="J234" s="2">
        <v>1</v>
      </c>
      <c r="K234" s="2">
        <v>0</v>
      </c>
      <c r="L234" s="2">
        <v>0</v>
      </c>
      <c r="M234" s="2" t="s">
        <v>34</v>
      </c>
      <c r="N234" s="2" t="s">
        <v>80</v>
      </c>
      <c r="O234" s="2" t="s">
        <v>44</v>
      </c>
      <c r="P234" s="2" t="s">
        <v>45</v>
      </c>
      <c r="Q234" s="2">
        <v>0</v>
      </c>
      <c r="R234" s="2">
        <v>0</v>
      </c>
      <c r="S234" s="2">
        <v>0</v>
      </c>
      <c r="T234" s="2" t="s">
        <v>46</v>
      </c>
      <c r="U234" s="2" t="s">
        <v>46</v>
      </c>
      <c r="V234" s="2">
        <v>0</v>
      </c>
      <c r="W234" s="2" t="s">
        <v>38</v>
      </c>
      <c r="X234" s="2">
        <v>8</v>
      </c>
      <c r="Y234" s="2"/>
      <c r="Z234" s="2">
        <v>0</v>
      </c>
      <c r="AA234" s="2" t="s">
        <v>39</v>
      </c>
      <c r="AB234" s="2">
        <v>79.900000000000006</v>
      </c>
      <c r="AC234" s="2">
        <v>0</v>
      </c>
      <c r="AD234" s="2">
        <v>1</v>
      </c>
      <c r="AE234" s="2" t="s">
        <v>40</v>
      </c>
      <c r="AF234" s="3">
        <v>42721</v>
      </c>
    </row>
    <row r="235" spans="1:32" x14ac:dyDescent="0.25">
      <c r="A235" s="2" t="s">
        <v>41</v>
      </c>
      <c r="B235" s="2">
        <v>0</v>
      </c>
      <c r="C235" s="2">
        <v>386</v>
      </c>
      <c r="D235" s="2">
        <v>2016</v>
      </c>
      <c r="E235" s="2" t="s">
        <v>59</v>
      </c>
      <c r="F235" s="2">
        <v>44</v>
      </c>
      <c r="G235" s="2">
        <v>23</v>
      </c>
      <c r="H235" s="2">
        <v>2</v>
      </c>
      <c r="I235" s="2">
        <v>0</v>
      </c>
      <c r="J235" s="2">
        <v>2</v>
      </c>
      <c r="K235" s="2">
        <v>0</v>
      </c>
      <c r="L235" s="2">
        <v>0</v>
      </c>
      <c r="M235" s="2" t="s">
        <v>60</v>
      </c>
      <c r="N235" s="2" t="s">
        <v>56</v>
      </c>
      <c r="O235" s="2" t="s">
        <v>49</v>
      </c>
      <c r="P235" s="2" t="s">
        <v>45</v>
      </c>
      <c r="Q235" s="2">
        <v>0</v>
      </c>
      <c r="R235" s="2">
        <v>0</v>
      </c>
      <c r="S235" s="2">
        <v>0</v>
      </c>
      <c r="T235" s="2" t="s">
        <v>46</v>
      </c>
      <c r="U235" s="2" t="s">
        <v>46</v>
      </c>
      <c r="V235" s="2">
        <v>0</v>
      </c>
      <c r="W235" s="2" t="s">
        <v>38</v>
      </c>
      <c r="X235" s="2">
        <v>6</v>
      </c>
      <c r="Y235" s="2"/>
      <c r="Z235" s="2">
        <v>0</v>
      </c>
      <c r="AA235" s="2" t="s">
        <v>51</v>
      </c>
      <c r="AB235" s="2">
        <v>115</v>
      </c>
      <c r="AC235" s="2">
        <v>0</v>
      </c>
      <c r="AD235" s="2">
        <v>1</v>
      </c>
      <c r="AE235" s="2" t="s">
        <v>40</v>
      </c>
      <c r="AF235" s="3">
        <v>42668</v>
      </c>
    </row>
    <row r="236" spans="1:32" x14ac:dyDescent="0.25">
      <c r="A236" s="2" t="s">
        <v>32</v>
      </c>
      <c r="B236" s="2">
        <v>0</v>
      </c>
      <c r="C236" s="2">
        <v>10</v>
      </c>
      <c r="D236" s="2">
        <v>2016</v>
      </c>
      <c r="E236" s="2" t="s">
        <v>62</v>
      </c>
      <c r="F236" s="2">
        <v>38</v>
      </c>
      <c r="G236" s="2">
        <v>13</v>
      </c>
      <c r="H236" s="2">
        <v>0</v>
      </c>
      <c r="I236" s="2">
        <v>2</v>
      </c>
      <c r="J236" s="2">
        <v>2</v>
      </c>
      <c r="K236" s="2">
        <v>0</v>
      </c>
      <c r="L236" s="2">
        <v>0</v>
      </c>
      <c r="M236" s="2" t="s">
        <v>34</v>
      </c>
      <c r="N236" s="2" t="s">
        <v>81</v>
      </c>
      <c r="O236" s="2" t="s">
        <v>44</v>
      </c>
      <c r="P236" s="2" t="s">
        <v>45</v>
      </c>
      <c r="Q236" s="2">
        <v>0</v>
      </c>
      <c r="R236" s="2">
        <v>0</v>
      </c>
      <c r="S236" s="2">
        <v>0</v>
      </c>
      <c r="T236" s="2" t="s">
        <v>46</v>
      </c>
      <c r="U236" s="2" t="s">
        <v>46</v>
      </c>
      <c r="V236" s="2">
        <v>0</v>
      </c>
      <c r="W236" s="2" t="s">
        <v>38</v>
      </c>
      <c r="X236" s="2">
        <v>240</v>
      </c>
      <c r="Y236" s="2"/>
      <c r="Z236" s="2">
        <v>0</v>
      </c>
      <c r="AA236" s="2" t="s">
        <v>39</v>
      </c>
      <c r="AB236" s="2">
        <v>109</v>
      </c>
      <c r="AC236" s="2">
        <v>0</v>
      </c>
      <c r="AD236" s="2">
        <v>0</v>
      </c>
      <c r="AE236" s="2" t="s">
        <v>40</v>
      </c>
      <c r="AF236" s="3">
        <v>42628</v>
      </c>
    </row>
    <row r="237" spans="1:32" x14ac:dyDescent="0.25">
      <c r="A237" s="2" t="s">
        <v>41</v>
      </c>
      <c r="B237" s="2">
        <v>0</v>
      </c>
      <c r="C237" s="2">
        <v>76</v>
      </c>
      <c r="D237" s="2">
        <v>2016</v>
      </c>
      <c r="E237" s="2" t="s">
        <v>52</v>
      </c>
      <c r="F237" s="2">
        <v>13</v>
      </c>
      <c r="G237" s="2">
        <v>20</v>
      </c>
      <c r="H237" s="2">
        <v>2</v>
      </c>
      <c r="I237" s="2">
        <v>3</v>
      </c>
      <c r="J237" s="2">
        <v>2</v>
      </c>
      <c r="K237" s="2">
        <v>0</v>
      </c>
      <c r="L237" s="2">
        <v>0</v>
      </c>
      <c r="M237" s="2" t="s">
        <v>34</v>
      </c>
      <c r="N237" s="2" t="s">
        <v>82</v>
      </c>
      <c r="O237" s="2" t="s">
        <v>44</v>
      </c>
      <c r="P237" s="2" t="s">
        <v>45</v>
      </c>
      <c r="Q237" s="2">
        <v>0</v>
      </c>
      <c r="R237" s="2">
        <v>0</v>
      </c>
      <c r="S237" s="2">
        <v>0</v>
      </c>
      <c r="T237" s="2" t="s">
        <v>57</v>
      </c>
      <c r="U237" s="2" t="s">
        <v>57</v>
      </c>
      <c r="V237" s="2">
        <v>1</v>
      </c>
      <c r="W237" s="2" t="s">
        <v>38</v>
      </c>
      <c r="X237" s="2">
        <v>9</v>
      </c>
      <c r="Y237" s="2"/>
      <c r="Z237" s="2">
        <v>0</v>
      </c>
      <c r="AA237" s="2" t="s">
        <v>39</v>
      </c>
      <c r="AB237" s="2">
        <v>110.15</v>
      </c>
      <c r="AC237" s="2">
        <v>0</v>
      </c>
      <c r="AD237" s="2">
        <v>1</v>
      </c>
      <c r="AE237" s="2" t="s">
        <v>40</v>
      </c>
      <c r="AF237" s="3">
        <v>42454</v>
      </c>
    </row>
    <row r="238" spans="1:32" x14ac:dyDescent="0.25">
      <c r="A238" s="2" t="s">
        <v>32</v>
      </c>
      <c r="B238" s="2">
        <v>1</v>
      </c>
      <c r="C238" s="2">
        <v>210</v>
      </c>
      <c r="D238" s="2">
        <v>2016</v>
      </c>
      <c r="E238" s="2" t="s">
        <v>67</v>
      </c>
      <c r="F238" s="2">
        <v>35</v>
      </c>
      <c r="G238" s="2">
        <v>22</v>
      </c>
      <c r="H238" s="2">
        <v>3</v>
      </c>
      <c r="I238" s="2">
        <v>8</v>
      </c>
      <c r="J238" s="2">
        <v>2</v>
      </c>
      <c r="K238" s="2">
        <v>0</v>
      </c>
      <c r="L238" s="2">
        <v>0</v>
      </c>
      <c r="M238" s="2" t="s">
        <v>60</v>
      </c>
      <c r="N238" s="2" t="s">
        <v>43</v>
      </c>
      <c r="O238" s="2" t="s">
        <v>44</v>
      </c>
      <c r="P238" s="2" t="s">
        <v>45</v>
      </c>
      <c r="Q238" s="2">
        <v>0</v>
      </c>
      <c r="R238" s="2">
        <v>0</v>
      </c>
      <c r="S238" s="2">
        <v>0</v>
      </c>
      <c r="T238" s="2" t="s">
        <v>72</v>
      </c>
      <c r="U238" s="2" t="s">
        <v>72</v>
      </c>
      <c r="V238" s="2">
        <v>0</v>
      </c>
      <c r="W238" s="2" t="s">
        <v>38</v>
      </c>
      <c r="X238" s="2">
        <v>240</v>
      </c>
      <c r="Y238" s="2"/>
      <c r="Z238" s="2">
        <v>0</v>
      </c>
      <c r="AA238" s="2" t="s">
        <v>39</v>
      </c>
      <c r="AB238" s="2">
        <v>192.73</v>
      </c>
      <c r="AC238" s="2">
        <v>0</v>
      </c>
      <c r="AD238" s="2">
        <v>2</v>
      </c>
      <c r="AE238" s="2" t="s">
        <v>47</v>
      </c>
      <c r="AF238" s="3">
        <v>42415</v>
      </c>
    </row>
    <row r="239" spans="1:32" x14ac:dyDescent="0.25">
      <c r="A239" s="2" t="s">
        <v>41</v>
      </c>
      <c r="B239" s="2">
        <v>0</v>
      </c>
      <c r="C239" s="2">
        <v>4</v>
      </c>
      <c r="D239" s="2">
        <v>2016</v>
      </c>
      <c r="E239" s="2" t="s">
        <v>83</v>
      </c>
      <c r="F239" s="2">
        <v>27</v>
      </c>
      <c r="G239" s="2">
        <v>26</v>
      </c>
      <c r="H239" s="2">
        <v>2</v>
      </c>
      <c r="I239" s="2">
        <v>0</v>
      </c>
      <c r="J239" s="2">
        <v>1</v>
      </c>
      <c r="K239" s="2">
        <v>0</v>
      </c>
      <c r="L239" s="2">
        <v>0</v>
      </c>
      <c r="M239" s="2" t="s">
        <v>55</v>
      </c>
      <c r="N239" s="2" t="s">
        <v>78</v>
      </c>
      <c r="O239" s="2" t="s">
        <v>44</v>
      </c>
      <c r="P239" s="2" t="s">
        <v>45</v>
      </c>
      <c r="Q239" s="2">
        <v>0</v>
      </c>
      <c r="R239" s="2">
        <v>0</v>
      </c>
      <c r="S239" s="2">
        <v>0</v>
      </c>
      <c r="T239" s="2" t="s">
        <v>46</v>
      </c>
      <c r="U239" s="2" t="s">
        <v>46</v>
      </c>
      <c r="V239" s="2">
        <v>0</v>
      </c>
      <c r="W239" s="2" t="s">
        <v>38</v>
      </c>
      <c r="X239" s="2">
        <v>9</v>
      </c>
      <c r="Y239" s="2"/>
      <c r="Z239" s="2">
        <v>0</v>
      </c>
      <c r="AA239" s="2" t="s">
        <v>39</v>
      </c>
      <c r="AB239" s="2">
        <v>113</v>
      </c>
      <c r="AC239" s="2">
        <v>0</v>
      </c>
      <c r="AD239" s="2">
        <v>1</v>
      </c>
      <c r="AE239" s="2" t="s">
        <v>40</v>
      </c>
      <c r="AF239" s="3">
        <v>42549</v>
      </c>
    </row>
    <row r="240" spans="1:32" x14ac:dyDescent="0.25">
      <c r="A240" s="2" t="s">
        <v>41</v>
      </c>
      <c r="B240" s="2">
        <v>0</v>
      </c>
      <c r="C240" s="2">
        <v>33</v>
      </c>
      <c r="D240" s="2">
        <v>2016</v>
      </c>
      <c r="E240" s="2" t="s">
        <v>69</v>
      </c>
      <c r="F240" s="2">
        <v>23</v>
      </c>
      <c r="G240" s="2">
        <v>29</v>
      </c>
      <c r="H240" s="2">
        <v>2</v>
      </c>
      <c r="I240" s="2">
        <v>1</v>
      </c>
      <c r="J240" s="2">
        <v>2</v>
      </c>
      <c r="K240" s="2">
        <v>0</v>
      </c>
      <c r="L240" s="2">
        <v>0</v>
      </c>
      <c r="M240" s="2" t="s">
        <v>34</v>
      </c>
      <c r="N240" s="2" t="s">
        <v>43</v>
      </c>
      <c r="O240" s="2" t="s">
        <v>49</v>
      </c>
      <c r="P240" s="2" t="s">
        <v>45</v>
      </c>
      <c r="Q240" s="2">
        <v>0</v>
      </c>
      <c r="R240" s="2">
        <v>0</v>
      </c>
      <c r="S240" s="2">
        <v>0</v>
      </c>
      <c r="T240" s="2" t="s">
        <v>46</v>
      </c>
      <c r="U240" s="2" t="s">
        <v>46</v>
      </c>
      <c r="V240" s="2">
        <v>0</v>
      </c>
      <c r="W240" s="2" t="s">
        <v>38</v>
      </c>
      <c r="X240" s="2">
        <v>42</v>
      </c>
      <c r="Y240" s="2"/>
      <c r="Z240" s="2">
        <v>0</v>
      </c>
      <c r="AA240" s="2" t="s">
        <v>39</v>
      </c>
      <c r="AB240" s="2">
        <v>85.5</v>
      </c>
      <c r="AC240" s="2">
        <v>0</v>
      </c>
      <c r="AD240" s="2">
        <v>0</v>
      </c>
      <c r="AE240" s="2" t="s">
        <v>40</v>
      </c>
      <c r="AF240" s="3">
        <v>42522</v>
      </c>
    </row>
    <row r="241" spans="1:32" x14ac:dyDescent="0.25">
      <c r="A241" s="2" t="s">
        <v>41</v>
      </c>
      <c r="B241" s="2">
        <v>0</v>
      </c>
      <c r="C241" s="2">
        <v>7</v>
      </c>
      <c r="D241" s="2">
        <v>2016</v>
      </c>
      <c r="E241" s="2" t="s">
        <v>33</v>
      </c>
      <c r="F241" s="2">
        <v>51</v>
      </c>
      <c r="G241" s="2">
        <v>17</v>
      </c>
      <c r="H241" s="2">
        <v>1</v>
      </c>
      <c r="I241" s="2">
        <v>1</v>
      </c>
      <c r="J241" s="2">
        <v>2</v>
      </c>
      <c r="K241" s="2">
        <v>0</v>
      </c>
      <c r="L241" s="2">
        <v>0</v>
      </c>
      <c r="M241" s="2" t="s">
        <v>55</v>
      </c>
      <c r="N241" s="2" t="s">
        <v>43</v>
      </c>
      <c r="O241" s="2" t="s">
        <v>44</v>
      </c>
      <c r="P241" s="2" t="s">
        <v>45</v>
      </c>
      <c r="Q241" s="2">
        <v>0</v>
      </c>
      <c r="R241" s="2">
        <v>0</v>
      </c>
      <c r="S241" s="2">
        <v>0</v>
      </c>
      <c r="T241" s="2" t="s">
        <v>46</v>
      </c>
      <c r="U241" s="2" t="s">
        <v>46</v>
      </c>
      <c r="V241" s="2">
        <v>0</v>
      </c>
      <c r="W241" s="2" t="s">
        <v>38</v>
      </c>
      <c r="X241" s="2">
        <v>9</v>
      </c>
      <c r="Y241" s="2"/>
      <c r="Z241" s="2">
        <v>0</v>
      </c>
      <c r="AA241" s="2" t="s">
        <v>39</v>
      </c>
      <c r="AB241" s="2">
        <v>78</v>
      </c>
      <c r="AC241" s="2">
        <v>0</v>
      </c>
      <c r="AD241" s="2">
        <v>1</v>
      </c>
      <c r="AE241" s="2" t="s">
        <v>40</v>
      </c>
      <c r="AF241" s="3">
        <v>42723</v>
      </c>
    </row>
    <row r="242" spans="1:32" x14ac:dyDescent="0.25">
      <c r="A242" s="2" t="s">
        <v>32</v>
      </c>
      <c r="B242" s="2">
        <v>0</v>
      </c>
      <c r="C242" s="2">
        <v>28</v>
      </c>
      <c r="D242" s="2">
        <v>2016</v>
      </c>
      <c r="E242" s="2" t="s">
        <v>69</v>
      </c>
      <c r="F242" s="2">
        <v>21</v>
      </c>
      <c r="G242" s="2">
        <v>19</v>
      </c>
      <c r="H242" s="2">
        <v>2</v>
      </c>
      <c r="I242" s="2">
        <v>5</v>
      </c>
      <c r="J242" s="2">
        <v>3</v>
      </c>
      <c r="K242" s="2">
        <v>0</v>
      </c>
      <c r="L242" s="2">
        <v>0</v>
      </c>
      <c r="M242" s="2" t="s">
        <v>34</v>
      </c>
      <c r="N242" s="2" t="s">
        <v>70</v>
      </c>
      <c r="O242" s="2" t="s">
        <v>49</v>
      </c>
      <c r="P242" s="2" t="s">
        <v>45</v>
      </c>
      <c r="Q242" s="2">
        <v>0</v>
      </c>
      <c r="R242" s="2">
        <v>0</v>
      </c>
      <c r="S242" s="2">
        <v>0</v>
      </c>
      <c r="T242" s="2" t="s">
        <v>46</v>
      </c>
      <c r="U242" s="2" t="s">
        <v>46</v>
      </c>
      <c r="V242" s="2">
        <v>0</v>
      </c>
      <c r="W242" s="2" t="s">
        <v>38</v>
      </c>
      <c r="X242" s="2">
        <v>8</v>
      </c>
      <c r="Y242" s="2"/>
      <c r="Z242" s="2">
        <v>0</v>
      </c>
      <c r="AA242" s="2" t="s">
        <v>39</v>
      </c>
      <c r="AB242" s="2">
        <v>79.900000000000006</v>
      </c>
      <c r="AC242" s="2">
        <v>0</v>
      </c>
      <c r="AD242" s="2">
        <v>2</v>
      </c>
      <c r="AE242" s="2" t="s">
        <v>40</v>
      </c>
      <c r="AF242" s="3">
        <v>42516</v>
      </c>
    </row>
    <row r="243" spans="1:32" x14ac:dyDescent="0.25">
      <c r="A243" s="2" t="s">
        <v>32</v>
      </c>
      <c r="B243" s="2">
        <v>1</v>
      </c>
      <c r="C243" s="2">
        <v>48</v>
      </c>
      <c r="D243" s="2">
        <v>2016</v>
      </c>
      <c r="E243" s="2" t="s">
        <v>62</v>
      </c>
      <c r="F243" s="2">
        <v>40</v>
      </c>
      <c r="G243" s="2">
        <v>30</v>
      </c>
      <c r="H243" s="2">
        <v>2</v>
      </c>
      <c r="I243" s="2">
        <v>3</v>
      </c>
      <c r="J243" s="2">
        <v>2</v>
      </c>
      <c r="K243" s="2">
        <v>0</v>
      </c>
      <c r="L243" s="2">
        <v>0</v>
      </c>
      <c r="M243" s="2" t="s">
        <v>34</v>
      </c>
      <c r="N243" s="2" t="s">
        <v>63</v>
      </c>
      <c r="O243" s="2" t="s">
        <v>44</v>
      </c>
      <c r="P243" s="2" t="s">
        <v>45</v>
      </c>
      <c r="Q243" s="2">
        <v>0</v>
      </c>
      <c r="R243" s="2">
        <v>0</v>
      </c>
      <c r="S243" s="2">
        <v>0</v>
      </c>
      <c r="T243" s="2" t="s">
        <v>72</v>
      </c>
      <c r="U243" s="2" t="s">
        <v>72</v>
      </c>
      <c r="V243" s="2">
        <v>0</v>
      </c>
      <c r="W243" s="2" t="s">
        <v>38</v>
      </c>
      <c r="X243" s="2">
        <v>240</v>
      </c>
      <c r="Y243" s="2"/>
      <c r="Z243" s="2">
        <v>0</v>
      </c>
      <c r="AA243" s="2" t="s">
        <v>39</v>
      </c>
      <c r="AB243" s="2">
        <v>107</v>
      </c>
      <c r="AC243" s="2">
        <v>0</v>
      </c>
      <c r="AD243" s="2">
        <v>0</v>
      </c>
      <c r="AE243" s="2" t="s">
        <v>47</v>
      </c>
      <c r="AF243" s="3">
        <v>42596</v>
      </c>
    </row>
    <row r="244" spans="1:32" x14ac:dyDescent="0.25">
      <c r="A244" s="2" t="s">
        <v>32</v>
      </c>
      <c r="B244" s="2">
        <v>0</v>
      </c>
      <c r="C244" s="2">
        <v>25</v>
      </c>
      <c r="D244" s="2">
        <v>2016</v>
      </c>
      <c r="E244" s="2" t="s">
        <v>74</v>
      </c>
      <c r="F244" s="2">
        <v>3</v>
      </c>
      <c r="G244" s="2">
        <v>14</v>
      </c>
      <c r="H244" s="2">
        <v>0</v>
      </c>
      <c r="I244" s="2">
        <v>2</v>
      </c>
      <c r="J244" s="2">
        <v>2</v>
      </c>
      <c r="K244" s="2">
        <v>2</v>
      </c>
      <c r="L244" s="2">
        <v>0</v>
      </c>
      <c r="M244" s="2" t="s">
        <v>34</v>
      </c>
      <c r="N244" s="2" t="s">
        <v>63</v>
      </c>
      <c r="O244" s="2" t="s">
        <v>44</v>
      </c>
      <c r="P244" s="2" t="s">
        <v>45</v>
      </c>
      <c r="Q244" s="2">
        <v>0</v>
      </c>
      <c r="R244" s="2">
        <v>0</v>
      </c>
      <c r="S244" s="2">
        <v>0</v>
      </c>
      <c r="T244" s="2" t="s">
        <v>84</v>
      </c>
      <c r="U244" s="2" t="s">
        <v>84</v>
      </c>
      <c r="V244" s="2">
        <v>0</v>
      </c>
      <c r="W244" s="2" t="s">
        <v>38</v>
      </c>
      <c r="X244" s="2">
        <v>240</v>
      </c>
      <c r="Y244" s="2"/>
      <c r="Z244" s="2">
        <v>0</v>
      </c>
      <c r="AA244" s="2" t="s">
        <v>39</v>
      </c>
      <c r="AB244" s="2">
        <v>79</v>
      </c>
      <c r="AC244" s="2">
        <v>0</v>
      </c>
      <c r="AD244" s="2">
        <v>1</v>
      </c>
      <c r="AE244" s="2" t="s">
        <v>40</v>
      </c>
      <c r="AF244" s="3">
        <v>42385</v>
      </c>
    </row>
    <row r="245" spans="1:32" x14ac:dyDescent="0.25">
      <c r="A245" s="2" t="s">
        <v>32</v>
      </c>
      <c r="B245" s="2">
        <v>0</v>
      </c>
      <c r="C245" s="2">
        <v>154</v>
      </c>
      <c r="D245" s="2">
        <v>2016</v>
      </c>
      <c r="E245" s="2" t="s">
        <v>42</v>
      </c>
      <c r="F245" s="2">
        <v>29</v>
      </c>
      <c r="G245" s="2">
        <v>11</v>
      </c>
      <c r="H245" s="2">
        <v>1</v>
      </c>
      <c r="I245" s="2">
        <v>2</v>
      </c>
      <c r="J245" s="2">
        <v>2</v>
      </c>
      <c r="K245" s="2">
        <v>0</v>
      </c>
      <c r="L245" s="2">
        <v>0</v>
      </c>
      <c r="M245" s="2" t="s">
        <v>34</v>
      </c>
      <c r="N245" s="2" t="s">
        <v>85</v>
      </c>
      <c r="O245" s="2" t="s">
        <v>49</v>
      </c>
      <c r="P245" s="2" t="s">
        <v>45</v>
      </c>
      <c r="Q245" s="2">
        <v>0</v>
      </c>
      <c r="R245" s="2">
        <v>0</v>
      </c>
      <c r="S245" s="2">
        <v>0</v>
      </c>
      <c r="T245" s="2" t="s">
        <v>46</v>
      </c>
      <c r="U245" s="2" t="s">
        <v>86</v>
      </c>
      <c r="V245" s="2">
        <v>0</v>
      </c>
      <c r="W245" s="2" t="s">
        <v>38</v>
      </c>
      <c r="X245" s="2">
        <v>327</v>
      </c>
      <c r="Y245" s="2"/>
      <c r="Z245" s="2">
        <v>0</v>
      </c>
      <c r="AA245" s="2" t="s">
        <v>39</v>
      </c>
      <c r="AB245" s="2">
        <v>64.8</v>
      </c>
      <c r="AC245" s="2">
        <v>0</v>
      </c>
      <c r="AD245" s="2">
        <v>0</v>
      </c>
      <c r="AE245" s="2" t="s">
        <v>40</v>
      </c>
      <c r="AF245" s="3">
        <v>42565</v>
      </c>
    </row>
    <row r="246" spans="1:32" x14ac:dyDescent="0.25">
      <c r="A246" s="2" t="s">
        <v>41</v>
      </c>
      <c r="B246" s="2">
        <v>0</v>
      </c>
      <c r="C246" s="2">
        <v>18</v>
      </c>
      <c r="D246" s="2">
        <v>2016</v>
      </c>
      <c r="E246" s="2" t="s">
        <v>33</v>
      </c>
      <c r="F246" s="2">
        <v>51</v>
      </c>
      <c r="G246" s="2">
        <v>11</v>
      </c>
      <c r="H246" s="2">
        <v>1</v>
      </c>
      <c r="I246" s="2">
        <v>0</v>
      </c>
      <c r="J246" s="2">
        <v>2</v>
      </c>
      <c r="K246" s="2">
        <v>0</v>
      </c>
      <c r="L246" s="2">
        <v>0</v>
      </c>
      <c r="M246" s="2" t="s">
        <v>34</v>
      </c>
      <c r="N246" s="2" t="s">
        <v>43</v>
      </c>
      <c r="O246" s="2" t="s">
        <v>49</v>
      </c>
      <c r="P246" s="2" t="s">
        <v>45</v>
      </c>
      <c r="Q246" s="2">
        <v>0</v>
      </c>
      <c r="R246" s="2">
        <v>0</v>
      </c>
      <c r="S246" s="2">
        <v>0</v>
      </c>
      <c r="T246" s="2" t="s">
        <v>46</v>
      </c>
      <c r="U246" s="2" t="s">
        <v>46</v>
      </c>
      <c r="V246" s="2">
        <v>0</v>
      </c>
      <c r="W246" s="2" t="s">
        <v>38</v>
      </c>
      <c r="X246" s="2">
        <v>378</v>
      </c>
      <c r="Y246" s="2"/>
      <c r="Z246" s="2">
        <v>0</v>
      </c>
      <c r="AA246" s="2" t="s">
        <v>51</v>
      </c>
      <c r="AB246" s="2">
        <v>80</v>
      </c>
      <c r="AC246" s="2">
        <v>0</v>
      </c>
      <c r="AD246" s="2">
        <v>0</v>
      </c>
      <c r="AE246" s="2" t="s">
        <v>40</v>
      </c>
      <c r="AF246" s="3">
        <v>42716</v>
      </c>
    </row>
    <row r="247" spans="1:32" x14ac:dyDescent="0.25">
      <c r="A247" s="2" t="s">
        <v>41</v>
      </c>
      <c r="B247" s="2">
        <v>0</v>
      </c>
      <c r="C247" s="2">
        <v>69</v>
      </c>
      <c r="D247" s="2">
        <v>2016</v>
      </c>
      <c r="E247" s="2" t="s">
        <v>69</v>
      </c>
      <c r="F247" s="2">
        <v>20</v>
      </c>
      <c r="G247" s="2">
        <v>14</v>
      </c>
      <c r="H247" s="2">
        <v>2</v>
      </c>
      <c r="I247" s="2">
        <v>1</v>
      </c>
      <c r="J247" s="2">
        <v>3</v>
      </c>
      <c r="K247" s="2">
        <v>0</v>
      </c>
      <c r="L247" s="2">
        <v>0</v>
      </c>
      <c r="M247" s="2" t="s">
        <v>34</v>
      </c>
      <c r="N247" s="2" t="s">
        <v>56</v>
      </c>
      <c r="O247" s="2" t="s">
        <v>44</v>
      </c>
      <c r="P247" s="2" t="s">
        <v>45</v>
      </c>
      <c r="Q247" s="2">
        <v>0</v>
      </c>
      <c r="R247" s="2">
        <v>0</v>
      </c>
      <c r="S247" s="2">
        <v>0</v>
      </c>
      <c r="T247" s="2" t="s">
        <v>46</v>
      </c>
      <c r="U247" s="2" t="s">
        <v>57</v>
      </c>
      <c r="V247" s="2">
        <v>0</v>
      </c>
      <c r="W247" s="2" t="s">
        <v>38</v>
      </c>
      <c r="X247" s="2">
        <v>9</v>
      </c>
      <c r="Y247" s="2"/>
      <c r="Z247" s="2">
        <v>0</v>
      </c>
      <c r="AA247" s="2" t="s">
        <v>39</v>
      </c>
      <c r="AB247" s="2">
        <v>159.30000000000001</v>
      </c>
      <c r="AC247" s="2">
        <v>0</v>
      </c>
      <c r="AD247" s="2">
        <v>1</v>
      </c>
      <c r="AE247" s="2" t="s">
        <v>40</v>
      </c>
      <c r="AF247" s="3">
        <v>42507</v>
      </c>
    </row>
    <row r="248" spans="1:32" x14ac:dyDescent="0.25">
      <c r="A248" s="2" t="s">
        <v>32</v>
      </c>
      <c r="B248" s="2">
        <v>0</v>
      </c>
      <c r="C248" s="2">
        <v>3</v>
      </c>
      <c r="D248" s="2">
        <v>2016</v>
      </c>
      <c r="E248" s="2" t="s">
        <v>69</v>
      </c>
      <c r="F248" s="2">
        <v>21</v>
      </c>
      <c r="G248" s="2">
        <v>20</v>
      </c>
      <c r="H248" s="2">
        <v>0</v>
      </c>
      <c r="I248" s="2">
        <v>2</v>
      </c>
      <c r="J248" s="2">
        <v>2</v>
      </c>
      <c r="K248" s="2">
        <v>0</v>
      </c>
      <c r="L248" s="2">
        <v>0</v>
      </c>
      <c r="M248" s="2" t="s">
        <v>34</v>
      </c>
      <c r="N248" s="2" t="s">
        <v>63</v>
      </c>
      <c r="O248" s="2" t="s">
        <v>44</v>
      </c>
      <c r="P248" s="2" t="s">
        <v>45</v>
      </c>
      <c r="Q248" s="2">
        <v>0</v>
      </c>
      <c r="R248" s="2">
        <v>0</v>
      </c>
      <c r="S248" s="2">
        <v>0</v>
      </c>
      <c r="T248" s="2" t="s">
        <v>46</v>
      </c>
      <c r="U248" s="2" t="s">
        <v>37</v>
      </c>
      <c r="V248" s="2">
        <v>0</v>
      </c>
      <c r="W248" s="2" t="s">
        <v>38</v>
      </c>
      <c r="X248" s="2">
        <v>240</v>
      </c>
      <c r="Y248" s="2"/>
      <c r="Z248" s="2">
        <v>0</v>
      </c>
      <c r="AA248" s="2" t="s">
        <v>39</v>
      </c>
      <c r="AB248" s="2">
        <v>89</v>
      </c>
      <c r="AC248" s="2">
        <v>0</v>
      </c>
      <c r="AD248" s="2">
        <v>0</v>
      </c>
      <c r="AE248" s="2" t="s">
        <v>40</v>
      </c>
      <c r="AF248" s="3">
        <v>42512</v>
      </c>
    </row>
    <row r="249" spans="1:32" x14ac:dyDescent="0.25">
      <c r="A249" s="2" t="s">
        <v>32</v>
      </c>
      <c r="B249" s="2">
        <v>1</v>
      </c>
      <c r="C249" s="2">
        <v>206</v>
      </c>
      <c r="D249" s="2">
        <v>2016</v>
      </c>
      <c r="E249" s="2" t="s">
        <v>52</v>
      </c>
      <c r="F249" s="2">
        <v>13</v>
      </c>
      <c r="G249" s="2">
        <v>21</v>
      </c>
      <c r="H249" s="2">
        <v>2</v>
      </c>
      <c r="I249" s="2">
        <v>5</v>
      </c>
      <c r="J249" s="2">
        <v>2</v>
      </c>
      <c r="K249" s="2">
        <v>0</v>
      </c>
      <c r="L249" s="2">
        <v>0</v>
      </c>
      <c r="M249" s="2" t="s">
        <v>34</v>
      </c>
      <c r="N249" s="2" t="s">
        <v>43</v>
      </c>
      <c r="O249" s="2" t="s">
        <v>44</v>
      </c>
      <c r="P249" s="2" t="s">
        <v>45</v>
      </c>
      <c r="Q249" s="2">
        <v>0</v>
      </c>
      <c r="R249" s="2">
        <v>0</v>
      </c>
      <c r="S249" s="2">
        <v>0</v>
      </c>
      <c r="T249" s="2" t="s">
        <v>46</v>
      </c>
      <c r="U249" s="2" t="s">
        <v>46</v>
      </c>
      <c r="V249" s="2">
        <v>0</v>
      </c>
      <c r="W249" s="2" t="s">
        <v>38</v>
      </c>
      <c r="X249" s="2">
        <v>240</v>
      </c>
      <c r="Y249" s="2"/>
      <c r="Z249" s="2">
        <v>0</v>
      </c>
      <c r="AA249" s="2" t="s">
        <v>39</v>
      </c>
      <c r="AB249" s="2">
        <v>42.69</v>
      </c>
      <c r="AC249" s="2">
        <v>0</v>
      </c>
      <c r="AD249" s="2">
        <v>1</v>
      </c>
      <c r="AE249" s="2" t="s">
        <v>47</v>
      </c>
      <c r="AF249" s="3">
        <v>42247</v>
      </c>
    </row>
    <row r="250" spans="1:32" x14ac:dyDescent="0.25">
      <c r="A250" s="2" t="s">
        <v>41</v>
      </c>
      <c r="B250" s="2">
        <v>0</v>
      </c>
      <c r="C250" s="2">
        <v>30</v>
      </c>
      <c r="D250" s="2">
        <v>2016</v>
      </c>
      <c r="E250" s="2" t="s">
        <v>69</v>
      </c>
      <c r="F250" s="2">
        <v>21</v>
      </c>
      <c r="G250" s="2">
        <v>21</v>
      </c>
      <c r="H250" s="2">
        <v>2</v>
      </c>
      <c r="I250" s="2">
        <v>2</v>
      </c>
      <c r="J250" s="2">
        <v>2</v>
      </c>
      <c r="K250" s="2">
        <v>1</v>
      </c>
      <c r="L250" s="2">
        <v>0</v>
      </c>
      <c r="M250" s="2" t="s">
        <v>34</v>
      </c>
      <c r="N250" s="2" t="s">
        <v>48</v>
      </c>
      <c r="O250" s="2" t="s">
        <v>44</v>
      </c>
      <c r="P250" s="2" t="s">
        <v>45</v>
      </c>
      <c r="Q250" s="2">
        <v>0</v>
      </c>
      <c r="R250" s="2">
        <v>0</v>
      </c>
      <c r="S250" s="2">
        <v>0</v>
      </c>
      <c r="T250" s="2" t="s">
        <v>46</v>
      </c>
      <c r="U250" s="2" t="s">
        <v>86</v>
      </c>
      <c r="V250" s="2">
        <v>0</v>
      </c>
      <c r="W250" s="2" t="s">
        <v>38</v>
      </c>
      <c r="X250" s="2">
        <v>9</v>
      </c>
      <c r="Y250" s="2"/>
      <c r="Z250" s="2">
        <v>0</v>
      </c>
      <c r="AA250" s="2" t="s">
        <v>39</v>
      </c>
      <c r="AB250" s="2">
        <v>133.58000000000001</v>
      </c>
      <c r="AC250" s="2">
        <v>0</v>
      </c>
      <c r="AD250" s="2">
        <v>0</v>
      </c>
      <c r="AE250" s="2" t="s">
        <v>40</v>
      </c>
      <c r="AF250" s="3">
        <v>42515</v>
      </c>
    </row>
    <row r="251" spans="1:32" x14ac:dyDescent="0.25">
      <c r="A251" s="2" t="s">
        <v>32</v>
      </c>
      <c r="B251" s="2">
        <v>0</v>
      </c>
      <c r="C251" s="2">
        <v>32</v>
      </c>
      <c r="D251" s="2">
        <v>2016</v>
      </c>
      <c r="E251" s="2" t="s">
        <v>54</v>
      </c>
      <c r="F251" s="2">
        <v>17</v>
      </c>
      <c r="G251" s="2">
        <v>19</v>
      </c>
      <c r="H251" s="2">
        <v>2</v>
      </c>
      <c r="I251" s="2">
        <v>5</v>
      </c>
      <c r="J251" s="2">
        <v>2</v>
      </c>
      <c r="K251" s="2">
        <v>0</v>
      </c>
      <c r="L251" s="2">
        <v>0</v>
      </c>
      <c r="M251" s="2" t="s">
        <v>60</v>
      </c>
      <c r="N251" s="2" t="s">
        <v>35</v>
      </c>
      <c r="O251" s="2" t="s">
        <v>64</v>
      </c>
      <c r="P251" s="2" t="s">
        <v>36</v>
      </c>
      <c r="Q251" s="2">
        <v>0</v>
      </c>
      <c r="R251" s="2">
        <v>0</v>
      </c>
      <c r="S251" s="2">
        <v>0</v>
      </c>
      <c r="T251" s="2" t="s">
        <v>57</v>
      </c>
      <c r="U251" s="2" t="s">
        <v>57</v>
      </c>
      <c r="V251" s="2">
        <v>0</v>
      </c>
      <c r="W251" s="2" t="s">
        <v>38</v>
      </c>
      <c r="X251" s="2">
        <v>273</v>
      </c>
      <c r="Y251" s="2"/>
      <c r="Z251" s="2">
        <v>0</v>
      </c>
      <c r="AA251" s="2" t="s">
        <v>51</v>
      </c>
      <c r="AB251" s="2">
        <v>38.22</v>
      </c>
      <c r="AC251" s="2">
        <v>0</v>
      </c>
      <c r="AD251" s="2">
        <v>0</v>
      </c>
      <c r="AE251" s="2" t="s">
        <v>40</v>
      </c>
      <c r="AF251" s="3">
        <v>42486</v>
      </c>
    </row>
    <row r="252" spans="1:32" x14ac:dyDescent="0.25">
      <c r="A252" s="2" t="s">
        <v>32</v>
      </c>
      <c r="B252" s="2">
        <v>0</v>
      </c>
      <c r="C252" s="2">
        <v>53</v>
      </c>
      <c r="D252" s="2">
        <v>2016</v>
      </c>
      <c r="E252" s="2" t="s">
        <v>83</v>
      </c>
      <c r="F252" s="2">
        <v>24</v>
      </c>
      <c r="G252" s="2">
        <v>7</v>
      </c>
      <c r="H252" s="2">
        <v>0</v>
      </c>
      <c r="I252" s="2">
        <v>2</v>
      </c>
      <c r="J252" s="2">
        <v>2</v>
      </c>
      <c r="K252" s="2">
        <v>0</v>
      </c>
      <c r="L252" s="2">
        <v>0</v>
      </c>
      <c r="M252" s="2" t="s">
        <v>34</v>
      </c>
      <c r="N252" s="2" t="s">
        <v>88</v>
      </c>
      <c r="O252" s="2" t="s">
        <v>44</v>
      </c>
      <c r="P252" s="2" t="s">
        <v>45</v>
      </c>
      <c r="Q252" s="2">
        <v>0</v>
      </c>
      <c r="R252" s="2">
        <v>0</v>
      </c>
      <c r="S252" s="2">
        <v>0</v>
      </c>
      <c r="T252" s="2" t="s">
        <v>46</v>
      </c>
      <c r="U252" s="2" t="s">
        <v>46</v>
      </c>
      <c r="V252" s="2">
        <v>0</v>
      </c>
      <c r="W252" s="2" t="s">
        <v>38</v>
      </c>
      <c r="X252" s="2">
        <v>240</v>
      </c>
      <c r="Y252" s="2"/>
      <c r="Z252" s="2">
        <v>0</v>
      </c>
      <c r="AA252" s="2" t="s">
        <v>39</v>
      </c>
      <c r="AB252" s="2">
        <v>129</v>
      </c>
      <c r="AC252" s="2">
        <v>0</v>
      </c>
      <c r="AD252" s="2">
        <v>1</v>
      </c>
      <c r="AE252" s="2" t="s">
        <v>40</v>
      </c>
      <c r="AF252" s="3">
        <v>42530</v>
      </c>
    </row>
    <row r="253" spans="1:32" x14ac:dyDescent="0.25">
      <c r="A253" s="2" t="s">
        <v>41</v>
      </c>
      <c r="B253" s="2">
        <v>1</v>
      </c>
      <c r="C253" s="2">
        <v>304</v>
      </c>
      <c r="D253" s="2">
        <v>2016</v>
      </c>
      <c r="E253" s="2" t="s">
        <v>61</v>
      </c>
      <c r="F253" s="2">
        <v>45</v>
      </c>
      <c r="G253" s="2">
        <v>3</v>
      </c>
      <c r="H253" s="2">
        <v>0</v>
      </c>
      <c r="I253" s="2">
        <v>3</v>
      </c>
      <c r="J253" s="2">
        <v>2</v>
      </c>
      <c r="K253" s="2">
        <v>0</v>
      </c>
      <c r="L253" s="2">
        <v>0</v>
      </c>
      <c r="M253" s="2" t="s">
        <v>34</v>
      </c>
      <c r="N253" s="2" t="s">
        <v>43</v>
      </c>
      <c r="O253" s="2" t="s">
        <v>49</v>
      </c>
      <c r="P253" s="2" t="s">
        <v>45</v>
      </c>
      <c r="Q253" s="2">
        <v>0</v>
      </c>
      <c r="R253" s="2">
        <v>0</v>
      </c>
      <c r="S253" s="2">
        <v>0</v>
      </c>
      <c r="T253" s="2" t="s">
        <v>46</v>
      </c>
      <c r="U253" s="2" t="s">
        <v>46</v>
      </c>
      <c r="V253" s="2">
        <v>0</v>
      </c>
      <c r="W253" s="2" t="s">
        <v>68</v>
      </c>
      <c r="X253" s="2">
        <v>21</v>
      </c>
      <c r="Y253" s="2"/>
      <c r="Z253" s="2">
        <v>0</v>
      </c>
      <c r="AA253" s="2" t="s">
        <v>39</v>
      </c>
      <c r="AB253" s="2">
        <v>89</v>
      </c>
      <c r="AC253" s="2">
        <v>0</v>
      </c>
      <c r="AD253" s="2">
        <v>0</v>
      </c>
      <c r="AE253" s="2" t="s">
        <v>47</v>
      </c>
      <c r="AF253" s="3">
        <v>42401</v>
      </c>
    </row>
    <row r="254" spans="1:32" x14ac:dyDescent="0.25">
      <c r="A254" s="2" t="s">
        <v>41</v>
      </c>
      <c r="B254" s="2">
        <v>1</v>
      </c>
      <c r="C254" s="2">
        <v>113</v>
      </c>
      <c r="D254" s="2">
        <v>2016</v>
      </c>
      <c r="E254" s="2" t="s">
        <v>62</v>
      </c>
      <c r="F254" s="2">
        <v>37</v>
      </c>
      <c r="G254" s="2">
        <v>7</v>
      </c>
      <c r="H254" s="2">
        <v>1</v>
      </c>
      <c r="I254" s="2">
        <v>4</v>
      </c>
      <c r="J254" s="2">
        <v>2</v>
      </c>
      <c r="K254" s="2">
        <v>0</v>
      </c>
      <c r="L254" s="2">
        <v>0</v>
      </c>
      <c r="M254" s="2" t="s">
        <v>34</v>
      </c>
      <c r="N254" s="2" t="s">
        <v>43</v>
      </c>
      <c r="O254" s="2" t="s">
        <v>49</v>
      </c>
      <c r="P254" s="2" t="s">
        <v>45</v>
      </c>
      <c r="Q254" s="2">
        <v>0</v>
      </c>
      <c r="R254" s="2">
        <v>0</v>
      </c>
      <c r="S254" s="2">
        <v>0</v>
      </c>
      <c r="T254" s="2" t="s">
        <v>46</v>
      </c>
      <c r="U254" s="2" t="s">
        <v>46</v>
      </c>
      <c r="V254" s="2">
        <v>0</v>
      </c>
      <c r="W254" s="2" t="s">
        <v>38</v>
      </c>
      <c r="X254" s="2">
        <v>6</v>
      </c>
      <c r="Y254" s="2"/>
      <c r="Z254" s="2">
        <v>0</v>
      </c>
      <c r="AA254" s="2" t="s">
        <v>39</v>
      </c>
      <c r="AB254" s="2">
        <v>118.8</v>
      </c>
      <c r="AC254" s="2">
        <v>0</v>
      </c>
      <c r="AD254" s="2">
        <v>0</v>
      </c>
      <c r="AE254" s="2" t="s">
        <v>47</v>
      </c>
      <c r="AF254" s="3">
        <v>42513</v>
      </c>
    </row>
    <row r="255" spans="1:32" x14ac:dyDescent="0.25">
      <c r="A255" s="2" t="s">
        <v>41</v>
      </c>
      <c r="B255" s="2">
        <v>1</v>
      </c>
      <c r="C255" s="2">
        <v>11</v>
      </c>
      <c r="D255" s="2">
        <v>2016</v>
      </c>
      <c r="E255" s="2" t="s">
        <v>61</v>
      </c>
      <c r="F255" s="2">
        <v>45</v>
      </c>
      <c r="G255" s="2">
        <v>5</v>
      </c>
      <c r="H255" s="2">
        <v>0</v>
      </c>
      <c r="I255" s="2">
        <v>1</v>
      </c>
      <c r="J255" s="2">
        <v>2</v>
      </c>
      <c r="K255" s="2">
        <v>1</v>
      </c>
      <c r="L255" s="2">
        <v>0</v>
      </c>
      <c r="M255" s="2" t="s">
        <v>34</v>
      </c>
      <c r="N255" s="2" t="s">
        <v>35</v>
      </c>
      <c r="O255" s="2" t="s">
        <v>44</v>
      </c>
      <c r="P255" s="2" t="s">
        <v>45</v>
      </c>
      <c r="Q255" s="2">
        <v>0</v>
      </c>
      <c r="R255" s="2">
        <v>0</v>
      </c>
      <c r="S255" s="2">
        <v>0</v>
      </c>
      <c r="T255" s="2" t="s">
        <v>46</v>
      </c>
      <c r="U255" s="2" t="s">
        <v>46</v>
      </c>
      <c r="V255" s="2">
        <v>0</v>
      </c>
      <c r="W255" s="2" t="s">
        <v>38</v>
      </c>
      <c r="X255" s="2">
        <v>9</v>
      </c>
      <c r="Y255" s="2"/>
      <c r="Z255" s="2">
        <v>0</v>
      </c>
      <c r="AA255" s="2" t="s">
        <v>39</v>
      </c>
      <c r="AB255" s="2">
        <v>150</v>
      </c>
      <c r="AC255" s="2">
        <v>0</v>
      </c>
      <c r="AD255" s="2">
        <v>1</v>
      </c>
      <c r="AE255" s="2" t="s">
        <v>47</v>
      </c>
      <c r="AF255" s="3">
        <v>42671</v>
      </c>
    </row>
    <row r="256" spans="1:32" x14ac:dyDescent="0.25">
      <c r="A256" s="2" t="s">
        <v>41</v>
      </c>
      <c r="B256" s="2">
        <v>0</v>
      </c>
      <c r="C256" s="2">
        <v>16</v>
      </c>
      <c r="D256" s="2">
        <v>2016</v>
      </c>
      <c r="E256" s="2" t="s">
        <v>33</v>
      </c>
      <c r="F256" s="2">
        <v>50</v>
      </c>
      <c r="G256" s="2">
        <v>4</v>
      </c>
      <c r="H256" s="2">
        <v>2</v>
      </c>
      <c r="I256" s="2">
        <v>0</v>
      </c>
      <c r="J256" s="2">
        <v>2</v>
      </c>
      <c r="K256" s="2">
        <v>1</v>
      </c>
      <c r="L256" s="2">
        <v>0</v>
      </c>
      <c r="M256" s="2" t="s">
        <v>34</v>
      </c>
      <c r="N256" s="2" t="s">
        <v>63</v>
      </c>
      <c r="O256" s="2" t="s">
        <v>44</v>
      </c>
      <c r="P256" s="2" t="s">
        <v>45</v>
      </c>
      <c r="Q256" s="2">
        <v>0</v>
      </c>
      <c r="R256" s="2">
        <v>0</v>
      </c>
      <c r="S256" s="2">
        <v>0</v>
      </c>
      <c r="T256" s="2" t="s">
        <v>46</v>
      </c>
      <c r="U256" s="2" t="s">
        <v>46</v>
      </c>
      <c r="V256" s="2">
        <v>0</v>
      </c>
      <c r="W256" s="2" t="s">
        <v>38</v>
      </c>
      <c r="X256" s="2">
        <v>9</v>
      </c>
      <c r="Y256" s="2"/>
      <c r="Z256" s="2">
        <v>0</v>
      </c>
      <c r="AA256" s="2" t="s">
        <v>39</v>
      </c>
      <c r="AB256" s="2">
        <v>118.8</v>
      </c>
      <c r="AC256" s="2">
        <v>0</v>
      </c>
      <c r="AD256" s="2">
        <v>1</v>
      </c>
      <c r="AE256" s="2" t="s">
        <v>40</v>
      </c>
      <c r="AF256" s="3">
        <v>42710</v>
      </c>
    </row>
    <row r="257" spans="1:32" x14ac:dyDescent="0.25">
      <c r="A257" s="2" t="s">
        <v>41</v>
      </c>
      <c r="B257" s="2">
        <v>0</v>
      </c>
      <c r="C257" s="2">
        <v>70</v>
      </c>
      <c r="D257" s="2">
        <v>2016</v>
      </c>
      <c r="E257" s="2" t="s">
        <v>54</v>
      </c>
      <c r="F257" s="2">
        <v>17</v>
      </c>
      <c r="G257" s="2">
        <v>22</v>
      </c>
      <c r="H257" s="2">
        <v>2</v>
      </c>
      <c r="I257" s="2">
        <v>2</v>
      </c>
      <c r="J257" s="2">
        <v>2</v>
      </c>
      <c r="K257" s="2">
        <v>0</v>
      </c>
      <c r="L257" s="2">
        <v>0</v>
      </c>
      <c r="M257" s="2" t="s">
        <v>34</v>
      </c>
      <c r="N257" s="2" t="s">
        <v>78</v>
      </c>
      <c r="O257" s="2" t="s">
        <v>44</v>
      </c>
      <c r="P257" s="2" t="s">
        <v>45</v>
      </c>
      <c r="Q257" s="2">
        <v>0</v>
      </c>
      <c r="R257" s="2">
        <v>0</v>
      </c>
      <c r="S257" s="2">
        <v>0</v>
      </c>
      <c r="T257" s="2" t="s">
        <v>46</v>
      </c>
      <c r="U257" s="2" t="s">
        <v>46</v>
      </c>
      <c r="V257" s="2">
        <v>0</v>
      </c>
      <c r="W257" s="2" t="s">
        <v>38</v>
      </c>
      <c r="X257" s="2">
        <v>9</v>
      </c>
      <c r="Y257" s="2"/>
      <c r="Z257" s="2">
        <v>0</v>
      </c>
      <c r="AA257" s="2" t="s">
        <v>39</v>
      </c>
      <c r="AB257" s="2">
        <v>97.33</v>
      </c>
      <c r="AC257" s="2">
        <v>0</v>
      </c>
      <c r="AD257" s="2">
        <v>0</v>
      </c>
      <c r="AE257" s="2" t="s">
        <v>40</v>
      </c>
      <c r="AF257" s="3">
        <v>42486</v>
      </c>
    </row>
    <row r="258" spans="1:32" x14ac:dyDescent="0.25">
      <c r="A258" s="2" t="s">
        <v>32</v>
      </c>
      <c r="B258" s="2">
        <v>1</v>
      </c>
      <c r="C258" s="2">
        <v>108</v>
      </c>
      <c r="D258" s="2">
        <v>2016</v>
      </c>
      <c r="E258" s="2" t="s">
        <v>54</v>
      </c>
      <c r="F258" s="2">
        <v>18</v>
      </c>
      <c r="G258" s="2">
        <v>29</v>
      </c>
      <c r="H258" s="2">
        <v>2</v>
      </c>
      <c r="I258" s="2">
        <v>2</v>
      </c>
      <c r="J258" s="2">
        <v>2</v>
      </c>
      <c r="K258" s="2">
        <v>0</v>
      </c>
      <c r="L258" s="2">
        <v>0</v>
      </c>
      <c r="M258" s="2" t="s">
        <v>60</v>
      </c>
      <c r="N258" s="2" t="s">
        <v>43</v>
      </c>
      <c r="O258" s="2" t="s">
        <v>64</v>
      </c>
      <c r="P258" s="2" t="s">
        <v>45</v>
      </c>
      <c r="Q258" s="2">
        <v>0</v>
      </c>
      <c r="R258" s="2">
        <v>0</v>
      </c>
      <c r="S258" s="2">
        <v>0</v>
      </c>
      <c r="T258" s="2" t="s">
        <v>46</v>
      </c>
      <c r="U258" s="2" t="s">
        <v>46</v>
      </c>
      <c r="V258" s="2">
        <v>0</v>
      </c>
      <c r="W258" s="2" t="s">
        <v>68</v>
      </c>
      <c r="X258" s="2"/>
      <c r="Y258" s="2"/>
      <c r="Z258" s="2">
        <v>0</v>
      </c>
      <c r="AA258" s="2" t="s">
        <v>39</v>
      </c>
      <c r="AB258" s="2">
        <v>84</v>
      </c>
      <c r="AC258" s="2">
        <v>0</v>
      </c>
      <c r="AD258" s="2">
        <v>0</v>
      </c>
      <c r="AE258" s="2" t="s">
        <v>47</v>
      </c>
      <c r="AF258" s="3">
        <v>42412</v>
      </c>
    </row>
    <row r="259" spans="1:32" x14ac:dyDescent="0.25">
      <c r="A259" s="2" t="s">
        <v>32</v>
      </c>
      <c r="B259" s="2">
        <v>0</v>
      </c>
      <c r="C259" s="2">
        <v>128</v>
      </c>
      <c r="D259" s="2">
        <v>2016</v>
      </c>
      <c r="E259" s="2" t="s">
        <v>33</v>
      </c>
      <c r="F259" s="2">
        <v>50</v>
      </c>
      <c r="G259" s="2">
        <v>8</v>
      </c>
      <c r="H259" s="2">
        <v>0</v>
      </c>
      <c r="I259" s="2">
        <v>3</v>
      </c>
      <c r="J259" s="2">
        <v>2</v>
      </c>
      <c r="K259" s="2">
        <v>0</v>
      </c>
      <c r="L259" s="2">
        <v>0</v>
      </c>
      <c r="M259" s="2" t="s">
        <v>34</v>
      </c>
      <c r="N259" s="2" t="s">
        <v>35</v>
      </c>
      <c r="O259" s="2" t="s">
        <v>44</v>
      </c>
      <c r="P259" s="2" t="s">
        <v>45</v>
      </c>
      <c r="Q259" s="2">
        <v>0</v>
      </c>
      <c r="R259" s="2">
        <v>0</v>
      </c>
      <c r="S259" s="2">
        <v>0</v>
      </c>
      <c r="T259" s="2" t="s">
        <v>57</v>
      </c>
      <c r="U259" s="2" t="s">
        <v>57</v>
      </c>
      <c r="V259" s="2">
        <v>0</v>
      </c>
      <c r="W259" s="2" t="s">
        <v>38</v>
      </c>
      <c r="X259" s="2">
        <v>241</v>
      </c>
      <c r="Y259" s="2"/>
      <c r="Z259" s="2">
        <v>0</v>
      </c>
      <c r="AA259" s="2" t="s">
        <v>39</v>
      </c>
      <c r="AB259" s="2">
        <v>36.04</v>
      </c>
      <c r="AC259" s="2">
        <v>0</v>
      </c>
      <c r="AD259" s="2">
        <v>2</v>
      </c>
      <c r="AE259" s="2" t="s">
        <v>40</v>
      </c>
      <c r="AF259" s="3">
        <v>42715</v>
      </c>
    </row>
    <row r="260" spans="1:32" x14ac:dyDescent="0.25">
      <c r="A260" s="2" t="s">
        <v>32</v>
      </c>
      <c r="B260" s="2">
        <v>0</v>
      </c>
      <c r="C260" s="2">
        <v>18</v>
      </c>
      <c r="D260" s="2">
        <v>2016</v>
      </c>
      <c r="E260" s="2" t="s">
        <v>54</v>
      </c>
      <c r="F260" s="2">
        <v>15</v>
      </c>
      <c r="G260" s="2">
        <v>9</v>
      </c>
      <c r="H260" s="2">
        <v>2</v>
      </c>
      <c r="I260" s="2">
        <v>3</v>
      </c>
      <c r="J260" s="2">
        <v>1</v>
      </c>
      <c r="K260" s="2">
        <v>0</v>
      </c>
      <c r="L260" s="2">
        <v>0</v>
      </c>
      <c r="M260" s="2" t="s">
        <v>34</v>
      </c>
      <c r="N260" s="2" t="s">
        <v>35</v>
      </c>
      <c r="O260" s="2" t="s">
        <v>49</v>
      </c>
      <c r="P260" s="2" t="s">
        <v>45</v>
      </c>
      <c r="Q260" s="2">
        <v>0</v>
      </c>
      <c r="R260" s="2">
        <v>0</v>
      </c>
      <c r="S260" s="2">
        <v>0</v>
      </c>
      <c r="T260" s="2" t="s">
        <v>46</v>
      </c>
      <c r="U260" s="2" t="s">
        <v>46</v>
      </c>
      <c r="V260" s="2">
        <v>0</v>
      </c>
      <c r="W260" s="2" t="s">
        <v>38</v>
      </c>
      <c r="X260" s="2">
        <v>40</v>
      </c>
      <c r="Y260" s="2"/>
      <c r="Z260" s="2">
        <v>0</v>
      </c>
      <c r="AA260" s="2" t="s">
        <v>73</v>
      </c>
      <c r="AB260" s="2">
        <v>33.299999999999997</v>
      </c>
      <c r="AC260" s="2">
        <v>0</v>
      </c>
      <c r="AD260" s="2">
        <v>0</v>
      </c>
      <c r="AE260" s="2" t="s">
        <v>40</v>
      </c>
      <c r="AF260" s="3">
        <v>42474</v>
      </c>
    </row>
    <row r="261" spans="1:32" x14ac:dyDescent="0.25">
      <c r="A261" s="2" t="s">
        <v>32</v>
      </c>
      <c r="B261" s="2">
        <v>0</v>
      </c>
      <c r="C261" s="2">
        <v>166</v>
      </c>
      <c r="D261" s="2">
        <v>2016</v>
      </c>
      <c r="E261" s="2" t="s">
        <v>67</v>
      </c>
      <c r="F261" s="2">
        <v>35</v>
      </c>
      <c r="G261" s="2">
        <v>27</v>
      </c>
      <c r="H261" s="2">
        <v>2</v>
      </c>
      <c r="I261" s="2">
        <v>2</v>
      </c>
      <c r="J261" s="2">
        <v>1</v>
      </c>
      <c r="K261" s="2">
        <v>0</v>
      </c>
      <c r="L261" s="2">
        <v>0</v>
      </c>
      <c r="M261" s="2" t="s">
        <v>34</v>
      </c>
      <c r="N261" s="2" t="s">
        <v>35</v>
      </c>
      <c r="O261" s="2" t="s">
        <v>49</v>
      </c>
      <c r="P261" s="2" t="s">
        <v>45</v>
      </c>
      <c r="Q261" s="2">
        <v>0</v>
      </c>
      <c r="R261" s="2">
        <v>0</v>
      </c>
      <c r="S261" s="2">
        <v>0</v>
      </c>
      <c r="T261" s="2" t="s">
        <v>46</v>
      </c>
      <c r="U261" s="2" t="s">
        <v>46</v>
      </c>
      <c r="V261" s="2">
        <v>0</v>
      </c>
      <c r="W261" s="2" t="s">
        <v>38</v>
      </c>
      <c r="X261" s="2">
        <v>171</v>
      </c>
      <c r="Y261" s="2"/>
      <c r="Z261" s="2">
        <v>0</v>
      </c>
      <c r="AA261" s="2" t="s">
        <v>51</v>
      </c>
      <c r="AB261" s="2">
        <v>100.8</v>
      </c>
      <c r="AC261" s="2">
        <v>0</v>
      </c>
      <c r="AD261" s="2">
        <v>0</v>
      </c>
      <c r="AE261" s="2" t="s">
        <v>40</v>
      </c>
      <c r="AF261" s="3">
        <v>42613</v>
      </c>
    </row>
    <row r="262" spans="1:32" x14ac:dyDescent="0.25">
      <c r="A262" s="2" t="s">
        <v>41</v>
      </c>
      <c r="B262" s="2">
        <v>0</v>
      </c>
      <c r="C262" s="2">
        <v>2</v>
      </c>
      <c r="D262" s="2">
        <v>2016</v>
      </c>
      <c r="E262" s="2" t="s">
        <v>52</v>
      </c>
      <c r="F262" s="2">
        <v>13</v>
      </c>
      <c r="G262" s="2">
        <v>20</v>
      </c>
      <c r="H262" s="2">
        <v>2</v>
      </c>
      <c r="I262" s="2">
        <v>4</v>
      </c>
      <c r="J262" s="2">
        <v>2</v>
      </c>
      <c r="K262" s="2">
        <v>0</v>
      </c>
      <c r="L262" s="2">
        <v>0</v>
      </c>
      <c r="M262" s="2" t="s">
        <v>34</v>
      </c>
      <c r="N262" s="2" t="s">
        <v>43</v>
      </c>
      <c r="O262" s="2" t="s">
        <v>49</v>
      </c>
      <c r="P262" s="2" t="s">
        <v>45</v>
      </c>
      <c r="Q262" s="2">
        <v>0</v>
      </c>
      <c r="R262" s="2">
        <v>0</v>
      </c>
      <c r="S262" s="2">
        <v>0</v>
      </c>
      <c r="T262" s="2" t="s">
        <v>46</v>
      </c>
      <c r="U262" s="2" t="s">
        <v>46</v>
      </c>
      <c r="V262" s="2">
        <v>0</v>
      </c>
      <c r="W262" s="2" t="s">
        <v>38</v>
      </c>
      <c r="X262" s="2">
        <v>220</v>
      </c>
      <c r="Y262" s="2"/>
      <c r="Z262" s="2">
        <v>0</v>
      </c>
      <c r="AA262" s="2" t="s">
        <v>51</v>
      </c>
      <c r="AB262" s="2">
        <v>85</v>
      </c>
      <c r="AC262" s="2">
        <v>0</v>
      </c>
      <c r="AD262" s="2">
        <v>0</v>
      </c>
      <c r="AE262" s="2" t="s">
        <v>40</v>
      </c>
      <c r="AF262" s="3">
        <v>42455</v>
      </c>
    </row>
    <row r="263" spans="1:32" x14ac:dyDescent="0.25">
      <c r="A263" s="2" t="s">
        <v>32</v>
      </c>
      <c r="B263" s="2">
        <v>1</v>
      </c>
      <c r="C263" s="2">
        <v>468</v>
      </c>
      <c r="D263" s="2">
        <v>2016</v>
      </c>
      <c r="E263" s="2" t="s">
        <v>69</v>
      </c>
      <c r="F263" s="2">
        <v>20</v>
      </c>
      <c r="G263" s="2">
        <v>12</v>
      </c>
      <c r="H263" s="2">
        <v>0</v>
      </c>
      <c r="I263" s="2">
        <v>2</v>
      </c>
      <c r="J263" s="2">
        <v>2</v>
      </c>
      <c r="K263" s="2">
        <v>0</v>
      </c>
      <c r="L263" s="2">
        <v>0</v>
      </c>
      <c r="M263" s="2" t="s">
        <v>60</v>
      </c>
      <c r="N263" s="2" t="s">
        <v>43</v>
      </c>
      <c r="O263" s="2" t="s">
        <v>64</v>
      </c>
      <c r="P263" s="2" t="s">
        <v>45</v>
      </c>
      <c r="Q263" s="2">
        <v>0</v>
      </c>
      <c r="R263" s="2">
        <v>1</v>
      </c>
      <c r="S263" s="2">
        <v>0</v>
      </c>
      <c r="T263" s="2" t="s">
        <v>46</v>
      </c>
      <c r="U263" s="2" t="s">
        <v>46</v>
      </c>
      <c r="V263" s="2">
        <v>0</v>
      </c>
      <c r="W263" s="2" t="s">
        <v>38</v>
      </c>
      <c r="X263" s="2">
        <v>249</v>
      </c>
      <c r="Y263" s="2"/>
      <c r="Z263" s="2">
        <v>0</v>
      </c>
      <c r="AA263" s="2" t="s">
        <v>51</v>
      </c>
      <c r="AB263" s="2">
        <v>67</v>
      </c>
      <c r="AC263" s="2">
        <v>0</v>
      </c>
      <c r="AD263" s="2">
        <v>0</v>
      </c>
      <c r="AE263" s="2" t="s">
        <v>47</v>
      </c>
      <c r="AF263" s="3">
        <v>42215</v>
      </c>
    </row>
    <row r="264" spans="1:32" x14ac:dyDescent="0.25">
      <c r="A264" s="2" t="s">
        <v>32</v>
      </c>
      <c r="B264" s="2">
        <v>0</v>
      </c>
      <c r="C264" s="2">
        <v>36</v>
      </c>
      <c r="D264" s="2">
        <v>2016</v>
      </c>
      <c r="E264" s="2" t="s">
        <v>83</v>
      </c>
      <c r="F264" s="2">
        <v>24</v>
      </c>
      <c r="G264" s="2">
        <v>9</v>
      </c>
      <c r="H264" s="2">
        <v>0</v>
      </c>
      <c r="I264" s="2">
        <v>3</v>
      </c>
      <c r="J264" s="2">
        <v>2</v>
      </c>
      <c r="K264" s="2">
        <v>1</v>
      </c>
      <c r="L264" s="2">
        <v>0</v>
      </c>
      <c r="M264" s="2" t="s">
        <v>34</v>
      </c>
      <c r="N264" s="2" t="s">
        <v>63</v>
      </c>
      <c r="O264" s="2" t="s">
        <v>44</v>
      </c>
      <c r="P264" s="2" t="s">
        <v>45</v>
      </c>
      <c r="Q264" s="2">
        <v>0</v>
      </c>
      <c r="R264" s="2">
        <v>0</v>
      </c>
      <c r="S264" s="2">
        <v>0</v>
      </c>
      <c r="T264" s="2" t="s">
        <v>37</v>
      </c>
      <c r="U264" s="2" t="s">
        <v>84</v>
      </c>
      <c r="V264" s="2">
        <v>0</v>
      </c>
      <c r="W264" s="2" t="s">
        <v>38</v>
      </c>
      <c r="X264" s="2">
        <v>241</v>
      </c>
      <c r="Y264" s="2"/>
      <c r="Z264" s="2">
        <v>0</v>
      </c>
      <c r="AA264" s="2" t="s">
        <v>39</v>
      </c>
      <c r="AB264" s="2">
        <v>153.03</v>
      </c>
      <c r="AC264" s="2">
        <v>1</v>
      </c>
      <c r="AD264" s="2">
        <v>1</v>
      </c>
      <c r="AE264" s="2" t="s">
        <v>40</v>
      </c>
      <c r="AF264" s="3">
        <v>42533</v>
      </c>
    </row>
    <row r="265" spans="1:32" x14ac:dyDescent="0.25">
      <c r="A265" s="2" t="s">
        <v>41</v>
      </c>
      <c r="B265" s="2">
        <v>1</v>
      </c>
      <c r="C265" s="2">
        <v>91</v>
      </c>
      <c r="D265" s="2">
        <v>2016</v>
      </c>
      <c r="E265" s="2" t="s">
        <v>52</v>
      </c>
      <c r="F265" s="2">
        <v>12</v>
      </c>
      <c r="G265" s="2">
        <v>18</v>
      </c>
      <c r="H265" s="2">
        <v>0</v>
      </c>
      <c r="I265" s="2">
        <v>2</v>
      </c>
      <c r="J265" s="2">
        <v>1</v>
      </c>
      <c r="K265" s="2">
        <v>0</v>
      </c>
      <c r="L265" s="2">
        <v>0</v>
      </c>
      <c r="M265" s="2" t="s">
        <v>34</v>
      </c>
      <c r="N265" s="2" t="s">
        <v>43</v>
      </c>
      <c r="O265" s="2" t="s">
        <v>64</v>
      </c>
      <c r="P265" s="2" t="s">
        <v>45</v>
      </c>
      <c r="Q265" s="2">
        <v>0</v>
      </c>
      <c r="R265" s="2">
        <v>0</v>
      </c>
      <c r="S265" s="2">
        <v>0</v>
      </c>
      <c r="T265" s="2" t="s">
        <v>46</v>
      </c>
      <c r="U265" s="2" t="s">
        <v>46</v>
      </c>
      <c r="V265" s="2">
        <v>0</v>
      </c>
      <c r="W265" s="2" t="s">
        <v>68</v>
      </c>
      <c r="X265" s="2">
        <v>29</v>
      </c>
      <c r="Y265" s="2"/>
      <c r="Z265" s="2">
        <v>20</v>
      </c>
      <c r="AA265" s="2" t="s">
        <v>39</v>
      </c>
      <c r="AB265" s="2">
        <v>75</v>
      </c>
      <c r="AC265" s="2">
        <v>0</v>
      </c>
      <c r="AD265" s="2">
        <v>0</v>
      </c>
      <c r="AE265" s="2" t="s">
        <v>47</v>
      </c>
      <c r="AF265" s="3">
        <v>42403</v>
      </c>
    </row>
    <row r="266" spans="1:32" x14ac:dyDescent="0.25">
      <c r="A266" s="2" t="s">
        <v>41</v>
      </c>
      <c r="B266" s="2">
        <v>0</v>
      </c>
      <c r="C266" s="2">
        <v>50</v>
      </c>
      <c r="D266" s="2">
        <v>2016</v>
      </c>
      <c r="E266" s="2" t="s">
        <v>54</v>
      </c>
      <c r="F266" s="2">
        <v>16</v>
      </c>
      <c r="G266" s="2">
        <v>12</v>
      </c>
      <c r="H266" s="2">
        <v>0</v>
      </c>
      <c r="I266" s="2">
        <v>3</v>
      </c>
      <c r="J266" s="2">
        <v>2</v>
      </c>
      <c r="K266" s="2">
        <v>1</v>
      </c>
      <c r="L266" s="2">
        <v>0</v>
      </c>
      <c r="M266" s="2" t="s">
        <v>60</v>
      </c>
      <c r="N266" s="2" t="s">
        <v>70</v>
      </c>
      <c r="O266" s="2" t="s">
        <v>44</v>
      </c>
      <c r="P266" s="2" t="s">
        <v>45</v>
      </c>
      <c r="Q266" s="2">
        <v>0</v>
      </c>
      <c r="R266" s="2">
        <v>0</v>
      </c>
      <c r="S266" s="2">
        <v>0</v>
      </c>
      <c r="T266" s="2" t="s">
        <v>46</v>
      </c>
      <c r="U266" s="2" t="s">
        <v>57</v>
      </c>
      <c r="V266" s="2">
        <v>0</v>
      </c>
      <c r="W266" s="2" t="s">
        <v>38</v>
      </c>
      <c r="X266" s="2">
        <v>9</v>
      </c>
      <c r="Y266" s="2"/>
      <c r="Z266" s="2">
        <v>0</v>
      </c>
      <c r="AA266" s="2" t="s">
        <v>39</v>
      </c>
      <c r="AB266" s="2">
        <v>164.25</v>
      </c>
      <c r="AC266" s="2">
        <v>0</v>
      </c>
      <c r="AD266" s="2">
        <v>2</v>
      </c>
      <c r="AE266" s="2" t="s">
        <v>40</v>
      </c>
      <c r="AF266" s="3">
        <v>42475</v>
      </c>
    </row>
    <row r="267" spans="1:32" x14ac:dyDescent="0.25">
      <c r="A267" s="2" t="s">
        <v>41</v>
      </c>
      <c r="B267" s="2">
        <v>0</v>
      </c>
      <c r="C267" s="2">
        <v>32</v>
      </c>
      <c r="D267" s="2">
        <v>2016</v>
      </c>
      <c r="E267" s="2" t="s">
        <v>59</v>
      </c>
      <c r="F267" s="2">
        <v>43</v>
      </c>
      <c r="G267" s="2">
        <v>22</v>
      </c>
      <c r="H267" s="2">
        <v>2</v>
      </c>
      <c r="I267" s="2">
        <v>5</v>
      </c>
      <c r="J267" s="2">
        <v>2</v>
      </c>
      <c r="K267" s="2">
        <v>0</v>
      </c>
      <c r="L267" s="2">
        <v>0</v>
      </c>
      <c r="M267" s="2" t="s">
        <v>34</v>
      </c>
      <c r="N267" s="2" t="s">
        <v>70</v>
      </c>
      <c r="O267" s="2" t="s">
        <v>36</v>
      </c>
      <c r="P267" s="2" t="s">
        <v>36</v>
      </c>
      <c r="Q267" s="2">
        <v>0</v>
      </c>
      <c r="R267" s="2">
        <v>0</v>
      </c>
      <c r="S267" s="2">
        <v>0</v>
      </c>
      <c r="T267" s="2" t="s">
        <v>46</v>
      </c>
      <c r="U267" s="2" t="s">
        <v>46</v>
      </c>
      <c r="V267" s="2">
        <v>0</v>
      </c>
      <c r="W267" s="2" t="s">
        <v>38</v>
      </c>
      <c r="X267" s="2"/>
      <c r="Y267" s="2"/>
      <c r="Z267" s="2">
        <v>0</v>
      </c>
      <c r="AA267" s="2" t="s">
        <v>39</v>
      </c>
      <c r="AB267" s="2">
        <v>118</v>
      </c>
      <c r="AC267" s="2">
        <v>0</v>
      </c>
      <c r="AD267" s="2">
        <v>2</v>
      </c>
      <c r="AE267" s="2" t="s">
        <v>40</v>
      </c>
      <c r="AF267" s="3">
        <v>42672</v>
      </c>
    </row>
    <row r="268" spans="1:32" x14ac:dyDescent="0.25">
      <c r="A268" s="2" t="s">
        <v>41</v>
      </c>
      <c r="B268" s="2">
        <v>0</v>
      </c>
      <c r="C268" s="2">
        <v>61</v>
      </c>
      <c r="D268" s="2">
        <v>2016</v>
      </c>
      <c r="E268" s="2" t="s">
        <v>54</v>
      </c>
      <c r="F268" s="2">
        <v>18</v>
      </c>
      <c r="G268" s="2">
        <v>30</v>
      </c>
      <c r="H268" s="2">
        <v>1</v>
      </c>
      <c r="I268" s="2">
        <v>1</v>
      </c>
      <c r="J268" s="2">
        <v>2</v>
      </c>
      <c r="K268" s="2">
        <v>0</v>
      </c>
      <c r="L268" s="2">
        <v>0</v>
      </c>
      <c r="M268" s="2" t="s">
        <v>34</v>
      </c>
      <c r="N268" s="2" t="s">
        <v>63</v>
      </c>
      <c r="O268" s="2" t="s">
        <v>49</v>
      </c>
      <c r="P268" s="2" t="s">
        <v>45</v>
      </c>
      <c r="Q268" s="2">
        <v>0</v>
      </c>
      <c r="R268" s="2">
        <v>0</v>
      </c>
      <c r="S268" s="2">
        <v>0</v>
      </c>
      <c r="T268" s="2" t="s">
        <v>46</v>
      </c>
      <c r="U268" s="2" t="s">
        <v>86</v>
      </c>
      <c r="V268" s="2">
        <v>1</v>
      </c>
      <c r="W268" s="2" t="s">
        <v>38</v>
      </c>
      <c r="X268" s="2">
        <v>85</v>
      </c>
      <c r="Y268" s="2"/>
      <c r="Z268" s="2">
        <v>0</v>
      </c>
      <c r="AA268" s="2" t="s">
        <v>39</v>
      </c>
      <c r="AB268" s="2">
        <v>89.75</v>
      </c>
      <c r="AC268" s="2">
        <v>0</v>
      </c>
      <c r="AD268" s="2">
        <v>1</v>
      </c>
      <c r="AE268" s="2" t="s">
        <v>40</v>
      </c>
      <c r="AF268" s="3">
        <v>42492</v>
      </c>
    </row>
    <row r="269" spans="1:32" x14ac:dyDescent="0.25">
      <c r="A269" s="2" t="s">
        <v>32</v>
      </c>
      <c r="B269" s="2">
        <v>0</v>
      </c>
      <c r="C269" s="2">
        <v>228</v>
      </c>
      <c r="D269" s="2">
        <v>2016</v>
      </c>
      <c r="E269" s="2" t="s">
        <v>62</v>
      </c>
      <c r="F269" s="2">
        <v>37</v>
      </c>
      <c r="G269" s="2">
        <v>5</v>
      </c>
      <c r="H269" s="2">
        <v>6</v>
      </c>
      <c r="I269" s="2">
        <v>15</v>
      </c>
      <c r="J269" s="2">
        <v>2</v>
      </c>
      <c r="K269" s="2">
        <v>0</v>
      </c>
      <c r="L269" s="2">
        <v>0</v>
      </c>
      <c r="M269" s="2" t="s">
        <v>60</v>
      </c>
      <c r="N269" s="2" t="s">
        <v>56</v>
      </c>
      <c r="O269" s="2" t="s">
        <v>36</v>
      </c>
      <c r="P269" s="2" t="s">
        <v>36</v>
      </c>
      <c r="Q269" s="2">
        <v>0</v>
      </c>
      <c r="R269" s="2">
        <v>0</v>
      </c>
      <c r="S269" s="2">
        <v>1</v>
      </c>
      <c r="T269" s="2" t="s">
        <v>57</v>
      </c>
      <c r="U269" s="2" t="s">
        <v>57</v>
      </c>
      <c r="V269" s="2">
        <v>0</v>
      </c>
      <c r="W269" s="2" t="s">
        <v>38</v>
      </c>
      <c r="X269" s="2"/>
      <c r="Y269" s="2"/>
      <c r="Z269" s="2">
        <v>0</v>
      </c>
      <c r="AA269" s="2" t="s">
        <v>39</v>
      </c>
      <c r="AB269" s="2">
        <v>88</v>
      </c>
      <c r="AC269" s="2">
        <v>0</v>
      </c>
      <c r="AD269" s="2">
        <v>1</v>
      </c>
      <c r="AE269" s="2" t="s">
        <v>40</v>
      </c>
      <c r="AF269" s="3">
        <v>42639</v>
      </c>
    </row>
    <row r="270" spans="1:32" x14ac:dyDescent="0.25">
      <c r="A270" s="2" t="s">
        <v>41</v>
      </c>
      <c r="B270" s="2">
        <v>1</v>
      </c>
      <c r="C270" s="2">
        <v>330</v>
      </c>
      <c r="D270" s="2">
        <v>2016</v>
      </c>
      <c r="E270" s="2" t="s">
        <v>83</v>
      </c>
      <c r="F270" s="2">
        <v>23</v>
      </c>
      <c r="G270" s="2">
        <v>2</v>
      </c>
      <c r="H270" s="2">
        <v>0</v>
      </c>
      <c r="I270" s="2">
        <v>2</v>
      </c>
      <c r="J270" s="2">
        <v>2</v>
      </c>
      <c r="K270" s="2">
        <v>0</v>
      </c>
      <c r="L270" s="2">
        <v>0</v>
      </c>
      <c r="M270" s="2" t="s">
        <v>34</v>
      </c>
      <c r="N270" s="2" t="s">
        <v>43</v>
      </c>
      <c r="O270" s="2" t="s">
        <v>64</v>
      </c>
      <c r="P270" s="2" t="s">
        <v>45</v>
      </c>
      <c r="Q270" s="2">
        <v>0</v>
      </c>
      <c r="R270" s="2">
        <v>0</v>
      </c>
      <c r="S270" s="2">
        <v>0</v>
      </c>
      <c r="T270" s="2" t="s">
        <v>46</v>
      </c>
      <c r="U270" s="2" t="s">
        <v>46</v>
      </c>
      <c r="V270" s="2">
        <v>0</v>
      </c>
      <c r="W270" s="2" t="s">
        <v>68</v>
      </c>
      <c r="X270" s="2">
        <v>1</v>
      </c>
      <c r="Y270" s="2"/>
      <c r="Z270" s="2">
        <v>0</v>
      </c>
      <c r="AA270" s="2" t="s">
        <v>39</v>
      </c>
      <c r="AB270" s="2">
        <v>62</v>
      </c>
      <c r="AC270" s="2">
        <v>0</v>
      </c>
      <c r="AD270" s="2">
        <v>0</v>
      </c>
      <c r="AE270" s="2" t="s">
        <v>47</v>
      </c>
      <c r="AF270" s="3">
        <v>42298</v>
      </c>
    </row>
    <row r="271" spans="1:32" x14ac:dyDescent="0.25">
      <c r="A271" s="2" t="s">
        <v>41</v>
      </c>
      <c r="B271" s="2">
        <v>1</v>
      </c>
      <c r="C271" s="2">
        <v>53</v>
      </c>
      <c r="D271" s="2">
        <v>2016</v>
      </c>
      <c r="E271" s="2" t="s">
        <v>69</v>
      </c>
      <c r="F271" s="2">
        <v>21</v>
      </c>
      <c r="G271" s="2">
        <v>18</v>
      </c>
      <c r="H271" s="2">
        <v>0</v>
      </c>
      <c r="I271" s="2">
        <v>2</v>
      </c>
      <c r="J271" s="2">
        <v>2</v>
      </c>
      <c r="K271" s="2">
        <v>0</v>
      </c>
      <c r="L271" s="2">
        <v>0</v>
      </c>
      <c r="M271" s="2" t="s">
        <v>34</v>
      </c>
      <c r="N271" s="2" t="s">
        <v>48</v>
      </c>
      <c r="O271" s="2" t="s">
        <v>44</v>
      </c>
      <c r="P271" s="2" t="s">
        <v>45</v>
      </c>
      <c r="Q271" s="2">
        <v>0</v>
      </c>
      <c r="R271" s="2">
        <v>0</v>
      </c>
      <c r="S271" s="2">
        <v>0</v>
      </c>
      <c r="T271" s="2" t="s">
        <v>46</v>
      </c>
      <c r="U271" s="2" t="s">
        <v>46</v>
      </c>
      <c r="V271" s="2">
        <v>0</v>
      </c>
      <c r="W271" s="2" t="s">
        <v>38</v>
      </c>
      <c r="X271" s="2">
        <v>9</v>
      </c>
      <c r="Y271" s="2"/>
      <c r="Z271" s="2">
        <v>0</v>
      </c>
      <c r="AA271" s="2" t="s">
        <v>39</v>
      </c>
      <c r="AB271" s="2">
        <v>126.9</v>
      </c>
      <c r="AC271" s="2">
        <v>0</v>
      </c>
      <c r="AD271" s="2">
        <v>0</v>
      </c>
      <c r="AE271" s="2" t="s">
        <v>47</v>
      </c>
      <c r="AF271" s="3">
        <v>42457</v>
      </c>
    </row>
    <row r="272" spans="1:32" x14ac:dyDescent="0.25">
      <c r="A272" s="2" t="s">
        <v>41</v>
      </c>
      <c r="B272" s="2">
        <v>0</v>
      </c>
      <c r="C272" s="2">
        <v>144</v>
      </c>
      <c r="D272" s="2">
        <v>2016</v>
      </c>
      <c r="E272" s="2" t="s">
        <v>83</v>
      </c>
      <c r="F272" s="2">
        <v>27</v>
      </c>
      <c r="G272" s="2">
        <v>26</v>
      </c>
      <c r="H272" s="2">
        <v>2</v>
      </c>
      <c r="I272" s="2">
        <v>0</v>
      </c>
      <c r="J272" s="2">
        <v>2</v>
      </c>
      <c r="K272" s="2">
        <v>0</v>
      </c>
      <c r="L272" s="2">
        <v>0</v>
      </c>
      <c r="M272" s="2" t="s">
        <v>55</v>
      </c>
      <c r="N272" s="2" t="s">
        <v>35</v>
      </c>
      <c r="O272" s="2" t="s">
        <v>44</v>
      </c>
      <c r="P272" s="2" t="s">
        <v>45</v>
      </c>
      <c r="Q272" s="2">
        <v>0</v>
      </c>
      <c r="R272" s="2">
        <v>0</v>
      </c>
      <c r="S272" s="2">
        <v>0</v>
      </c>
      <c r="T272" s="2" t="s">
        <v>46</v>
      </c>
      <c r="U272" s="2" t="s">
        <v>46</v>
      </c>
      <c r="V272" s="2">
        <v>0</v>
      </c>
      <c r="W272" s="2" t="s">
        <v>38</v>
      </c>
      <c r="X272" s="2">
        <v>9</v>
      </c>
      <c r="Y272" s="2"/>
      <c r="Z272" s="2">
        <v>0</v>
      </c>
      <c r="AA272" s="2" t="s">
        <v>51</v>
      </c>
      <c r="AB272" s="2">
        <v>85.5</v>
      </c>
      <c r="AC272" s="2">
        <v>0</v>
      </c>
      <c r="AD272" s="2">
        <v>1</v>
      </c>
      <c r="AE272" s="2" t="s">
        <v>40</v>
      </c>
      <c r="AF272" s="3">
        <v>42549</v>
      </c>
    </row>
    <row r="273" spans="1:32" x14ac:dyDescent="0.25">
      <c r="A273" s="2" t="s">
        <v>32</v>
      </c>
      <c r="B273" s="2">
        <v>1</v>
      </c>
      <c r="C273" s="2">
        <v>32</v>
      </c>
      <c r="D273" s="2">
        <v>2016</v>
      </c>
      <c r="E273" s="2" t="s">
        <v>54</v>
      </c>
      <c r="F273" s="2">
        <v>17</v>
      </c>
      <c r="G273" s="2">
        <v>19</v>
      </c>
      <c r="H273" s="2">
        <v>2</v>
      </c>
      <c r="I273" s="2">
        <v>5</v>
      </c>
      <c r="J273" s="2">
        <v>2</v>
      </c>
      <c r="K273" s="2">
        <v>0</v>
      </c>
      <c r="L273" s="2">
        <v>0</v>
      </c>
      <c r="M273" s="2" t="s">
        <v>60</v>
      </c>
      <c r="N273" s="2" t="s">
        <v>43</v>
      </c>
      <c r="O273" s="2" t="s">
        <v>64</v>
      </c>
      <c r="P273" s="2" t="s">
        <v>36</v>
      </c>
      <c r="Q273" s="2">
        <v>0</v>
      </c>
      <c r="R273" s="2">
        <v>0</v>
      </c>
      <c r="S273" s="2">
        <v>0</v>
      </c>
      <c r="T273" s="2" t="s">
        <v>57</v>
      </c>
      <c r="U273" s="2" t="s">
        <v>57</v>
      </c>
      <c r="V273" s="2">
        <v>0</v>
      </c>
      <c r="W273" s="2" t="s">
        <v>38</v>
      </c>
      <c r="X273" s="2">
        <v>273</v>
      </c>
      <c r="Y273" s="2"/>
      <c r="Z273" s="2">
        <v>0</v>
      </c>
      <c r="AA273" s="2" t="s">
        <v>51</v>
      </c>
      <c r="AB273" s="2">
        <v>69.36</v>
      </c>
      <c r="AC273" s="2">
        <v>0</v>
      </c>
      <c r="AD273" s="2">
        <v>0</v>
      </c>
      <c r="AE273" s="2" t="s">
        <v>47</v>
      </c>
      <c r="AF273" s="3">
        <v>42447</v>
      </c>
    </row>
    <row r="274" spans="1:32" x14ac:dyDescent="0.25">
      <c r="A274" s="2" t="s">
        <v>41</v>
      </c>
      <c r="B274" s="2">
        <v>1</v>
      </c>
      <c r="C274" s="2">
        <v>524</v>
      </c>
      <c r="D274" s="2">
        <v>2016</v>
      </c>
      <c r="E274" s="2" t="s">
        <v>33</v>
      </c>
      <c r="F274" s="2">
        <v>51</v>
      </c>
      <c r="G274" s="2">
        <v>15</v>
      </c>
      <c r="H274" s="2">
        <v>0</v>
      </c>
      <c r="I274" s="2">
        <v>2</v>
      </c>
      <c r="J274" s="2">
        <v>2</v>
      </c>
      <c r="K274" s="2">
        <v>0</v>
      </c>
      <c r="L274" s="2">
        <v>0</v>
      </c>
      <c r="M274" s="2" t="s">
        <v>34</v>
      </c>
      <c r="N274" s="2" t="s">
        <v>43</v>
      </c>
      <c r="O274" s="2" t="s">
        <v>64</v>
      </c>
      <c r="P274" s="2" t="s">
        <v>45</v>
      </c>
      <c r="Q274" s="2">
        <v>0</v>
      </c>
      <c r="R274" s="2">
        <v>0</v>
      </c>
      <c r="S274" s="2">
        <v>0</v>
      </c>
      <c r="T274" s="2" t="s">
        <v>46</v>
      </c>
      <c r="U274" s="2" t="s">
        <v>46</v>
      </c>
      <c r="V274" s="2">
        <v>0</v>
      </c>
      <c r="W274" s="2" t="s">
        <v>68</v>
      </c>
      <c r="X274" s="2">
        <v>1</v>
      </c>
      <c r="Y274" s="2"/>
      <c r="Z274" s="2">
        <v>0</v>
      </c>
      <c r="AA274" s="2" t="s">
        <v>39</v>
      </c>
      <c r="AB274" s="2">
        <v>62.8</v>
      </c>
      <c r="AC274" s="2">
        <v>0</v>
      </c>
      <c r="AD274" s="2">
        <v>0</v>
      </c>
      <c r="AE274" s="2" t="s">
        <v>47</v>
      </c>
      <c r="AF274" s="3">
        <v>42298</v>
      </c>
    </row>
    <row r="275" spans="1:32" x14ac:dyDescent="0.25">
      <c r="A275" s="2" t="s">
        <v>41</v>
      </c>
      <c r="B275" s="2">
        <v>1</v>
      </c>
      <c r="C275" s="2">
        <v>138</v>
      </c>
      <c r="D275" s="2">
        <v>2016</v>
      </c>
      <c r="E275" s="2" t="s">
        <v>67</v>
      </c>
      <c r="F275" s="2">
        <v>34</v>
      </c>
      <c r="G275" s="2">
        <v>18</v>
      </c>
      <c r="H275" s="2">
        <v>0</v>
      </c>
      <c r="I275" s="2">
        <v>2</v>
      </c>
      <c r="J275" s="2">
        <v>3</v>
      </c>
      <c r="K275" s="2">
        <v>0</v>
      </c>
      <c r="L275" s="2">
        <v>0</v>
      </c>
      <c r="M275" s="2" t="s">
        <v>34</v>
      </c>
      <c r="N275" s="2" t="s">
        <v>93</v>
      </c>
      <c r="O275" s="2" t="s">
        <v>44</v>
      </c>
      <c r="P275" s="2" t="s">
        <v>45</v>
      </c>
      <c r="Q275" s="2">
        <v>0</v>
      </c>
      <c r="R275" s="2">
        <v>0</v>
      </c>
      <c r="S275" s="2">
        <v>0</v>
      </c>
      <c r="T275" s="2" t="s">
        <v>57</v>
      </c>
      <c r="U275" s="2" t="s">
        <v>57</v>
      </c>
      <c r="V275" s="2">
        <v>0</v>
      </c>
      <c r="W275" s="2" t="s">
        <v>38</v>
      </c>
      <c r="X275" s="2">
        <v>9</v>
      </c>
      <c r="Y275" s="2"/>
      <c r="Z275" s="2">
        <v>0</v>
      </c>
      <c r="AA275" s="2" t="s">
        <v>39</v>
      </c>
      <c r="AB275" s="2">
        <v>142.19999999999999</v>
      </c>
      <c r="AC275" s="2">
        <v>0</v>
      </c>
      <c r="AD275" s="2">
        <v>0</v>
      </c>
      <c r="AE275" s="2" t="s">
        <v>47</v>
      </c>
      <c r="AF275" s="3">
        <v>42600</v>
      </c>
    </row>
    <row r="276" spans="1:32" x14ac:dyDescent="0.25">
      <c r="A276" s="2" t="s">
        <v>41</v>
      </c>
      <c r="B276" s="2">
        <v>0</v>
      </c>
      <c r="C276" s="2">
        <v>156</v>
      </c>
      <c r="D276" s="2">
        <v>2016</v>
      </c>
      <c r="E276" s="2" t="s">
        <v>67</v>
      </c>
      <c r="F276" s="2">
        <v>35</v>
      </c>
      <c r="G276" s="2">
        <v>21</v>
      </c>
      <c r="H276" s="2">
        <v>2</v>
      </c>
      <c r="I276" s="2">
        <v>1</v>
      </c>
      <c r="J276" s="2">
        <v>2</v>
      </c>
      <c r="K276" s="2">
        <v>0</v>
      </c>
      <c r="L276" s="2">
        <v>0</v>
      </c>
      <c r="M276" s="2" t="s">
        <v>55</v>
      </c>
      <c r="N276" s="2" t="s">
        <v>70</v>
      </c>
      <c r="O276" s="2" t="s">
        <v>44</v>
      </c>
      <c r="P276" s="2" t="s">
        <v>45</v>
      </c>
      <c r="Q276" s="2">
        <v>0</v>
      </c>
      <c r="R276" s="2">
        <v>0</v>
      </c>
      <c r="S276" s="2">
        <v>0</v>
      </c>
      <c r="T276" s="2" t="s">
        <v>46</v>
      </c>
      <c r="U276" s="2" t="s">
        <v>46</v>
      </c>
      <c r="V276" s="2">
        <v>0</v>
      </c>
      <c r="W276" s="2" t="s">
        <v>38</v>
      </c>
      <c r="X276" s="2">
        <v>9</v>
      </c>
      <c r="Y276" s="2"/>
      <c r="Z276" s="2">
        <v>0</v>
      </c>
      <c r="AA276" s="2" t="s">
        <v>39</v>
      </c>
      <c r="AB276" s="2">
        <v>103.5</v>
      </c>
      <c r="AC276" s="2">
        <v>1</v>
      </c>
      <c r="AD276" s="2">
        <v>0</v>
      </c>
      <c r="AE276" s="2" t="s">
        <v>40</v>
      </c>
      <c r="AF276" s="3">
        <v>42606</v>
      </c>
    </row>
    <row r="277" spans="1:32" x14ac:dyDescent="0.25">
      <c r="A277" s="2" t="s">
        <v>32</v>
      </c>
      <c r="B277" s="2">
        <v>0</v>
      </c>
      <c r="C277" s="2">
        <v>2</v>
      </c>
      <c r="D277" s="2">
        <v>2016</v>
      </c>
      <c r="E277" s="2" t="s">
        <v>61</v>
      </c>
      <c r="F277" s="2">
        <v>47</v>
      </c>
      <c r="G277" s="2">
        <v>18</v>
      </c>
      <c r="H277" s="2">
        <v>0</v>
      </c>
      <c r="I277" s="2">
        <v>2</v>
      </c>
      <c r="J277" s="2">
        <v>2</v>
      </c>
      <c r="K277" s="2">
        <v>0</v>
      </c>
      <c r="L277" s="2">
        <v>0</v>
      </c>
      <c r="M277" s="2" t="s">
        <v>60</v>
      </c>
      <c r="N277" s="2" t="s">
        <v>56</v>
      </c>
      <c r="O277" s="2" t="s">
        <v>36</v>
      </c>
      <c r="P277" s="2" t="s">
        <v>45</v>
      </c>
      <c r="Q277" s="2">
        <v>0</v>
      </c>
      <c r="R277" s="2">
        <v>0</v>
      </c>
      <c r="S277" s="2">
        <v>0</v>
      </c>
      <c r="T277" s="2" t="s">
        <v>46</v>
      </c>
      <c r="U277" s="2" t="s">
        <v>57</v>
      </c>
      <c r="V277" s="2">
        <v>0</v>
      </c>
      <c r="W277" s="2" t="s">
        <v>38</v>
      </c>
      <c r="X277" s="2"/>
      <c r="Y277" s="2"/>
      <c r="Z277" s="2">
        <v>0</v>
      </c>
      <c r="AA277" s="2" t="s">
        <v>39</v>
      </c>
      <c r="AB277" s="2">
        <v>73.8</v>
      </c>
      <c r="AC277" s="2">
        <v>0</v>
      </c>
      <c r="AD277" s="2">
        <v>2</v>
      </c>
      <c r="AE277" s="2" t="s">
        <v>40</v>
      </c>
      <c r="AF277" s="3">
        <v>42694</v>
      </c>
    </row>
    <row r="278" spans="1:32" x14ac:dyDescent="0.25">
      <c r="A278" s="2" t="s">
        <v>41</v>
      </c>
      <c r="B278" s="2">
        <v>1</v>
      </c>
      <c r="C278" s="2">
        <v>391</v>
      </c>
      <c r="D278" s="2">
        <v>2016</v>
      </c>
      <c r="E278" s="2" t="s">
        <v>42</v>
      </c>
      <c r="F278" s="2">
        <v>31</v>
      </c>
      <c r="G278" s="2">
        <v>27</v>
      </c>
      <c r="H278" s="2">
        <v>0</v>
      </c>
      <c r="I278" s="2">
        <v>2</v>
      </c>
      <c r="J278" s="2">
        <v>2</v>
      </c>
      <c r="K278" s="2">
        <v>0</v>
      </c>
      <c r="L278" s="2">
        <v>0</v>
      </c>
      <c r="M278" s="2" t="s">
        <v>34</v>
      </c>
      <c r="N278" s="2" t="s">
        <v>43</v>
      </c>
      <c r="O278" s="2" t="s">
        <v>64</v>
      </c>
      <c r="P278" s="2" t="s">
        <v>45</v>
      </c>
      <c r="Q278" s="2">
        <v>0</v>
      </c>
      <c r="R278" s="2">
        <v>0</v>
      </c>
      <c r="S278" s="2">
        <v>0</v>
      </c>
      <c r="T278" s="2" t="s">
        <v>46</v>
      </c>
      <c r="U278" s="2" t="s">
        <v>46</v>
      </c>
      <c r="V278" s="2">
        <v>0</v>
      </c>
      <c r="W278" s="2" t="s">
        <v>68</v>
      </c>
      <c r="X278" s="2">
        <v>1</v>
      </c>
      <c r="Y278" s="2"/>
      <c r="Z278" s="2">
        <v>0</v>
      </c>
      <c r="AA278" s="2" t="s">
        <v>39</v>
      </c>
      <c r="AB278" s="2">
        <v>65</v>
      </c>
      <c r="AC278" s="2">
        <v>0</v>
      </c>
      <c r="AD278" s="2">
        <v>0</v>
      </c>
      <c r="AE278" s="2" t="s">
        <v>47</v>
      </c>
      <c r="AF278" s="3">
        <v>42347</v>
      </c>
    </row>
    <row r="279" spans="1:32" x14ac:dyDescent="0.25">
      <c r="A279" s="2" t="s">
        <v>41</v>
      </c>
      <c r="B279" s="2">
        <v>0</v>
      </c>
      <c r="C279" s="2">
        <v>66</v>
      </c>
      <c r="D279" s="2">
        <v>2016</v>
      </c>
      <c r="E279" s="2" t="s">
        <v>61</v>
      </c>
      <c r="F279" s="2">
        <v>48</v>
      </c>
      <c r="G279" s="2">
        <v>24</v>
      </c>
      <c r="H279" s="2">
        <v>0</v>
      </c>
      <c r="I279" s="2">
        <v>3</v>
      </c>
      <c r="J279" s="2">
        <v>2</v>
      </c>
      <c r="K279" s="2">
        <v>0</v>
      </c>
      <c r="L279" s="2">
        <v>0</v>
      </c>
      <c r="M279" s="2" t="s">
        <v>34</v>
      </c>
      <c r="N279" s="2" t="s">
        <v>70</v>
      </c>
      <c r="O279" s="2" t="s">
        <v>49</v>
      </c>
      <c r="P279" s="2" t="s">
        <v>45</v>
      </c>
      <c r="Q279" s="2">
        <v>0</v>
      </c>
      <c r="R279" s="2">
        <v>0</v>
      </c>
      <c r="S279" s="2">
        <v>0</v>
      </c>
      <c r="T279" s="2" t="s">
        <v>46</v>
      </c>
      <c r="U279" s="2" t="s">
        <v>57</v>
      </c>
      <c r="V279" s="2">
        <v>0</v>
      </c>
      <c r="W279" s="2" t="s">
        <v>38</v>
      </c>
      <c r="X279" s="2">
        <v>28</v>
      </c>
      <c r="Y279" s="2"/>
      <c r="Z279" s="2">
        <v>0</v>
      </c>
      <c r="AA279" s="2" t="s">
        <v>39</v>
      </c>
      <c r="AB279" s="2">
        <v>75</v>
      </c>
      <c r="AC279" s="2">
        <v>0</v>
      </c>
      <c r="AD279" s="2">
        <v>0</v>
      </c>
      <c r="AE279" s="2" t="s">
        <v>40</v>
      </c>
      <c r="AF279" s="3">
        <v>42701</v>
      </c>
    </row>
    <row r="280" spans="1:32" x14ac:dyDescent="0.25">
      <c r="A280" s="2" t="s">
        <v>41</v>
      </c>
      <c r="B280" s="2">
        <v>0</v>
      </c>
      <c r="C280" s="2">
        <v>256</v>
      </c>
      <c r="D280" s="2">
        <v>2016</v>
      </c>
      <c r="E280" s="2" t="s">
        <v>67</v>
      </c>
      <c r="F280" s="2">
        <v>36</v>
      </c>
      <c r="G280" s="2">
        <v>31</v>
      </c>
      <c r="H280" s="2">
        <v>0</v>
      </c>
      <c r="I280" s="2">
        <v>4</v>
      </c>
      <c r="J280" s="2">
        <v>2</v>
      </c>
      <c r="K280" s="2">
        <v>0</v>
      </c>
      <c r="L280" s="2">
        <v>0</v>
      </c>
      <c r="M280" s="2" t="s">
        <v>34</v>
      </c>
      <c r="N280" s="2" t="s">
        <v>56</v>
      </c>
      <c r="O280" s="2" t="s">
        <v>44</v>
      </c>
      <c r="P280" s="2" t="s">
        <v>45</v>
      </c>
      <c r="Q280" s="2">
        <v>0</v>
      </c>
      <c r="R280" s="2">
        <v>0</v>
      </c>
      <c r="S280" s="2">
        <v>0</v>
      </c>
      <c r="T280" s="2" t="s">
        <v>46</v>
      </c>
      <c r="U280" s="2" t="s">
        <v>46</v>
      </c>
      <c r="V280" s="2">
        <v>0</v>
      </c>
      <c r="W280" s="2" t="s">
        <v>38</v>
      </c>
      <c r="X280" s="2">
        <v>9</v>
      </c>
      <c r="Y280" s="2"/>
      <c r="Z280" s="2">
        <v>0</v>
      </c>
      <c r="AA280" s="2" t="s">
        <v>51</v>
      </c>
      <c r="AB280" s="2">
        <v>90.95</v>
      </c>
      <c r="AC280" s="2">
        <v>0</v>
      </c>
      <c r="AD280" s="2">
        <v>0</v>
      </c>
      <c r="AE280" s="2" t="s">
        <v>40</v>
      </c>
      <c r="AF280" s="3">
        <v>42617</v>
      </c>
    </row>
    <row r="281" spans="1:32" x14ac:dyDescent="0.25">
      <c r="A281" s="2" t="s">
        <v>41</v>
      </c>
      <c r="B281" s="2">
        <v>1</v>
      </c>
      <c r="C281" s="2">
        <v>94</v>
      </c>
      <c r="D281" s="2">
        <v>2016</v>
      </c>
      <c r="E281" s="2" t="s">
        <v>67</v>
      </c>
      <c r="F281" s="2">
        <v>35</v>
      </c>
      <c r="G281" s="2">
        <v>23</v>
      </c>
      <c r="H281" s="2">
        <v>0</v>
      </c>
      <c r="I281" s="2">
        <v>2</v>
      </c>
      <c r="J281" s="2">
        <v>2</v>
      </c>
      <c r="K281" s="2">
        <v>0</v>
      </c>
      <c r="L281" s="2">
        <v>0</v>
      </c>
      <c r="M281" s="2" t="s">
        <v>34</v>
      </c>
      <c r="N281" s="2" t="s">
        <v>35</v>
      </c>
      <c r="O281" s="2" t="s">
        <v>44</v>
      </c>
      <c r="P281" s="2" t="s">
        <v>45</v>
      </c>
      <c r="Q281" s="2">
        <v>0</v>
      </c>
      <c r="R281" s="2">
        <v>0</v>
      </c>
      <c r="S281" s="2">
        <v>0</v>
      </c>
      <c r="T281" s="2" t="s">
        <v>46</v>
      </c>
      <c r="U281" s="2" t="s">
        <v>46</v>
      </c>
      <c r="V281" s="2">
        <v>0</v>
      </c>
      <c r="W281" s="2" t="s">
        <v>38</v>
      </c>
      <c r="X281" s="2">
        <v>9</v>
      </c>
      <c r="Y281" s="2"/>
      <c r="Z281" s="2">
        <v>0</v>
      </c>
      <c r="AA281" s="2" t="s">
        <v>39</v>
      </c>
      <c r="AB281" s="2">
        <v>117.9</v>
      </c>
      <c r="AC281" s="2">
        <v>0</v>
      </c>
      <c r="AD281" s="2">
        <v>0</v>
      </c>
      <c r="AE281" s="2" t="s">
        <v>47</v>
      </c>
      <c r="AF281" s="3">
        <v>42512</v>
      </c>
    </row>
    <row r="282" spans="1:32" x14ac:dyDescent="0.25">
      <c r="A282" s="2" t="s">
        <v>41</v>
      </c>
      <c r="B282" s="2">
        <v>0</v>
      </c>
      <c r="C282" s="2">
        <v>56</v>
      </c>
      <c r="D282" s="2">
        <v>2016</v>
      </c>
      <c r="E282" s="2" t="s">
        <v>52</v>
      </c>
      <c r="F282" s="2">
        <v>10</v>
      </c>
      <c r="G282" s="2">
        <v>3</v>
      </c>
      <c r="H282" s="2">
        <v>1</v>
      </c>
      <c r="I282" s="2">
        <v>3</v>
      </c>
      <c r="J282" s="2">
        <v>2</v>
      </c>
      <c r="K282" s="2">
        <v>0</v>
      </c>
      <c r="L282" s="2">
        <v>0</v>
      </c>
      <c r="M282" s="2" t="s">
        <v>34</v>
      </c>
      <c r="N282" s="2" t="s">
        <v>63</v>
      </c>
      <c r="O282" s="2" t="s">
        <v>64</v>
      </c>
      <c r="P282" s="2" t="s">
        <v>76</v>
      </c>
      <c r="Q282" s="2">
        <v>0</v>
      </c>
      <c r="R282" s="2">
        <v>0</v>
      </c>
      <c r="S282" s="2">
        <v>0</v>
      </c>
      <c r="T282" s="2" t="s">
        <v>46</v>
      </c>
      <c r="U282" s="2" t="s">
        <v>46</v>
      </c>
      <c r="V282" s="2">
        <v>0</v>
      </c>
      <c r="W282" s="2" t="s">
        <v>38</v>
      </c>
      <c r="X282" s="2"/>
      <c r="Y282" s="2"/>
      <c r="Z282" s="2">
        <v>0</v>
      </c>
      <c r="AA282" s="2" t="s">
        <v>51</v>
      </c>
      <c r="AB282" s="2">
        <v>72</v>
      </c>
      <c r="AC282" s="2">
        <v>0</v>
      </c>
      <c r="AD282" s="2">
        <v>0</v>
      </c>
      <c r="AE282" s="2" t="s">
        <v>40</v>
      </c>
      <c r="AF282" s="3">
        <v>42436</v>
      </c>
    </row>
    <row r="283" spans="1:32" x14ac:dyDescent="0.25">
      <c r="A283" s="2" t="s">
        <v>32</v>
      </c>
      <c r="B283" s="2">
        <v>1</v>
      </c>
      <c r="C283" s="2">
        <v>9</v>
      </c>
      <c r="D283" s="2">
        <v>2016</v>
      </c>
      <c r="E283" s="2" t="s">
        <v>42</v>
      </c>
      <c r="F283" s="2">
        <v>27</v>
      </c>
      <c r="G283" s="2">
        <v>1</v>
      </c>
      <c r="H283" s="2">
        <v>0</v>
      </c>
      <c r="I283" s="2">
        <v>2</v>
      </c>
      <c r="J283" s="2">
        <v>2</v>
      </c>
      <c r="K283" s="2">
        <v>0</v>
      </c>
      <c r="L283" s="2">
        <v>0</v>
      </c>
      <c r="M283" s="2" t="s">
        <v>34</v>
      </c>
      <c r="N283" s="2" t="s">
        <v>43</v>
      </c>
      <c r="O283" s="2" t="s">
        <v>44</v>
      </c>
      <c r="P283" s="2" t="s">
        <v>45</v>
      </c>
      <c r="Q283" s="2">
        <v>0</v>
      </c>
      <c r="R283" s="2">
        <v>0</v>
      </c>
      <c r="S283" s="2">
        <v>0</v>
      </c>
      <c r="T283" s="2" t="s">
        <v>37</v>
      </c>
      <c r="U283" s="2" t="s">
        <v>37</v>
      </c>
      <c r="V283" s="2">
        <v>0</v>
      </c>
      <c r="W283" s="2" t="s">
        <v>38</v>
      </c>
      <c r="X283" s="2">
        <v>242</v>
      </c>
      <c r="Y283" s="2"/>
      <c r="Z283" s="2">
        <v>0</v>
      </c>
      <c r="AA283" s="2" t="s">
        <v>39</v>
      </c>
      <c r="AB283" s="2">
        <v>169</v>
      </c>
      <c r="AC283" s="2">
        <v>0</v>
      </c>
      <c r="AD283" s="2">
        <v>1</v>
      </c>
      <c r="AE283" s="2" t="s">
        <v>89</v>
      </c>
      <c r="AF283" s="3">
        <v>42552</v>
      </c>
    </row>
    <row r="284" spans="1:32" x14ac:dyDescent="0.25">
      <c r="A284" s="2" t="s">
        <v>41</v>
      </c>
      <c r="B284" s="2">
        <v>0</v>
      </c>
      <c r="C284" s="2">
        <v>81</v>
      </c>
      <c r="D284" s="2">
        <v>2016</v>
      </c>
      <c r="E284" s="2" t="s">
        <v>59</v>
      </c>
      <c r="F284" s="2">
        <v>45</v>
      </c>
      <c r="G284" s="2">
        <v>30</v>
      </c>
      <c r="H284" s="2">
        <v>2</v>
      </c>
      <c r="I284" s="2">
        <v>1</v>
      </c>
      <c r="J284" s="2">
        <v>2</v>
      </c>
      <c r="K284" s="2">
        <v>0</v>
      </c>
      <c r="L284" s="2">
        <v>0</v>
      </c>
      <c r="M284" s="2" t="s">
        <v>34</v>
      </c>
      <c r="N284" s="2" t="s">
        <v>95</v>
      </c>
      <c r="O284" s="2" t="s">
        <v>36</v>
      </c>
      <c r="P284" s="2" t="s">
        <v>36</v>
      </c>
      <c r="Q284" s="2">
        <v>0</v>
      </c>
      <c r="R284" s="2">
        <v>0</v>
      </c>
      <c r="S284" s="2">
        <v>0</v>
      </c>
      <c r="T284" s="2" t="s">
        <v>46</v>
      </c>
      <c r="U284" s="2" t="s">
        <v>46</v>
      </c>
      <c r="V284" s="2">
        <v>0</v>
      </c>
      <c r="W284" s="2" t="s">
        <v>38</v>
      </c>
      <c r="X284" s="2">
        <v>14</v>
      </c>
      <c r="Y284" s="2"/>
      <c r="Z284" s="2">
        <v>0</v>
      </c>
      <c r="AA284" s="2" t="s">
        <v>39</v>
      </c>
      <c r="AB284" s="2">
        <v>79.8</v>
      </c>
      <c r="AC284" s="2">
        <v>0</v>
      </c>
      <c r="AD284" s="2">
        <v>0</v>
      </c>
      <c r="AE284" s="2" t="s">
        <v>40</v>
      </c>
      <c r="AF284" s="3">
        <v>42676</v>
      </c>
    </row>
    <row r="285" spans="1:32" x14ac:dyDescent="0.25">
      <c r="A285" s="2" t="s">
        <v>41</v>
      </c>
      <c r="B285" s="2">
        <v>1</v>
      </c>
      <c r="C285" s="2">
        <v>150</v>
      </c>
      <c r="D285" s="2">
        <v>2016</v>
      </c>
      <c r="E285" s="2" t="s">
        <v>74</v>
      </c>
      <c r="F285" s="2">
        <v>4</v>
      </c>
      <c r="G285" s="2">
        <v>18</v>
      </c>
      <c r="H285" s="2">
        <v>1</v>
      </c>
      <c r="I285" s="2">
        <v>4</v>
      </c>
      <c r="J285" s="2">
        <v>1</v>
      </c>
      <c r="K285" s="2">
        <v>0</v>
      </c>
      <c r="L285" s="2">
        <v>0</v>
      </c>
      <c r="M285" s="2" t="s">
        <v>34</v>
      </c>
      <c r="N285" s="2" t="s">
        <v>43</v>
      </c>
      <c r="O285" s="2" t="s">
        <v>49</v>
      </c>
      <c r="P285" s="2" t="s">
        <v>45</v>
      </c>
      <c r="Q285" s="2">
        <v>0</v>
      </c>
      <c r="R285" s="2">
        <v>0</v>
      </c>
      <c r="S285" s="2">
        <v>0</v>
      </c>
      <c r="T285" s="2" t="s">
        <v>46</v>
      </c>
      <c r="U285" s="2" t="s">
        <v>46</v>
      </c>
      <c r="V285" s="2">
        <v>1</v>
      </c>
      <c r="W285" s="2" t="s">
        <v>38</v>
      </c>
      <c r="X285" s="2">
        <v>19</v>
      </c>
      <c r="Y285" s="2"/>
      <c r="Z285" s="2">
        <v>63</v>
      </c>
      <c r="AA285" s="2" t="s">
        <v>51</v>
      </c>
      <c r="AB285" s="2">
        <v>80</v>
      </c>
      <c r="AC285" s="2">
        <v>0</v>
      </c>
      <c r="AD285" s="2">
        <v>0</v>
      </c>
      <c r="AE285" s="2" t="s">
        <v>47</v>
      </c>
      <c r="AF285" s="3">
        <v>42352</v>
      </c>
    </row>
    <row r="286" spans="1:32" x14ac:dyDescent="0.25">
      <c r="A286" s="2" t="s">
        <v>41</v>
      </c>
      <c r="B286" s="2">
        <v>0</v>
      </c>
      <c r="C286" s="2">
        <v>152</v>
      </c>
      <c r="D286" s="2">
        <v>2016</v>
      </c>
      <c r="E286" s="2" t="s">
        <v>42</v>
      </c>
      <c r="F286" s="2">
        <v>29</v>
      </c>
      <c r="G286" s="2">
        <v>10</v>
      </c>
      <c r="H286" s="2">
        <v>2</v>
      </c>
      <c r="I286" s="2">
        <v>2</v>
      </c>
      <c r="J286" s="2">
        <v>2</v>
      </c>
      <c r="K286" s="2">
        <v>0</v>
      </c>
      <c r="L286" s="2">
        <v>0</v>
      </c>
      <c r="M286" s="2" t="s">
        <v>34</v>
      </c>
      <c r="N286" s="2" t="s">
        <v>43</v>
      </c>
      <c r="O286" s="2" t="s">
        <v>44</v>
      </c>
      <c r="P286" s="2" t="s">
        <v>45</v>
      </c>
      <c r="Q286" s="2">
        <v>0</v>
      </c>
      <c r="R286" s="2">
        <v>0</v>
      </c>
      <c r="S286" s="2">
        <v>0</v>
      </c>
      <c r="T286" s="2" t="s">
        <v>57</v>
      </c>
      <c r="U286" s="2" t="s">
        <v>57</v>
      </c>
      <c r="V286" s="2">
        <v>3</v>
      </c>
      <c r="W286" s="2" t="s">
        <v>38</v>
      </c>
      <c r="X286" s="2">
        <v>9</v>
      </c>
      <c r="Y286" s="2"/>
      <c r="Z286" s="2">
        <v>0</v>
      </c>
      <c r="AA286" s="2" t="s">
        <v>39</v>
      </c>
      <c r="AB286" s="2">
        <v>134.30000000000001</v>
      </c>
      <c r="AC286" s="2">
        <v>0</v>
      </c>
      <c r="AD286" s="2">
        <v>3</v>
      </c>
      <c r="AE286" s="2" t="s">
        <v>40</v>
      </c>
      <c r="AF286" s="3">
        <v>42565</v>
      </c>
    </row>
    <row r="287" spans="1:32" x14ac:dyDescent="0.25">
      <c r="A287" s="2" t="s">
        <v>41</v>
      </c>
      <c r="B287" s="2">
        <v>0</v>
      </c>
      <c r="C287" s="2">
        <v>36</v>
      </c>
      <c r="D287" s="2">
        <v>2016</v>
      </c>
      <c r="E287" s="2" t="s">
        <v>62</v>
      </c>
      <c r="F287" s="2">
        <v>40</v>
      </c>
      <c r="G287" s="2">
        <v>28</v>
      </c>
      <c r="H287" s="2">
        <v>0</v>
      </c>
      <c r="I287" s="2">
        <v>3</v>
      </c>
      <c r="J287" s="2">
        <v>2</v>
      </c>
      <c r="K287" s="2">
        <v>0</v>
      </c>
      <c r="L287" s="2">
        <v>0</v>
      </c>
      <c r="M287" s="2" t="s">
        <v>34</v>
      </c>
      <c r="N287" s="2" t="s">
        <v>56</v>
      </c>
      <c r="O287" s="2" t="s">
        <v>64</v>
      </c>
      <c r="P287" s="2" t="s">
        <v>45</v>
      </c>
      <c r="Q287" s="2">
        <v>0</v>
      </c>
      <c r="R287" s="2">
        <v>0</v>
      </c>
      <c r="S287" s="2">
        <v>0</v>
      </c>
      <c r="T287" s="2" t="s">
        <v>46</v>
      </c>
      <c r="U287" s="2" t="s">
        <v>86</v>
      </c>
      <c r="V287" s="2">
        <v>0</v>
      </c>
      <c r="W287" s="2" t="s">
        <v>38</v>
      </c>
      <c r="X287" s="2">
        <v>21</v>
      </c>
      <c r="Y287" s="2"/>
      <c r="Z287" s="2">
        <v>0</v>
      </c>
      <c r="AA287" s="2" t="s">
        <v>51</v>
      </c>
      <c r="AB287" s="2">
        <v>87</v>
      </c>
      <c r="AC287" s="2">
        <v>0</v>
      </c>
      <c r="AD287" s="2">
        <v>0</v>
      </c>
      <c r="AE287" s="2" t="s">
        <v>40</v>
      </c>
      <c r="AF287" s="3">
        <v>42644</v>
      </c>
    </row>
    <row r="288" spans="1:32" x14ac:dyDescent="0.25">
      <c r="A288" s="2" t="s">
        <v>41</v>
      </c>
      <c r="B288" s="2">
        <v>0</v>
      </c>
      <c r="C288" s="2">
        <v>70</v>
      </c>
      <c r="D288" s="2">
        <v>2016</v>
      </c>
      <c r="E288" s="2" t="s">
        <v>74</v>
      </c>
      <c r="F288" s="2">
        <v>5</v>
      </c>
      <c r="G288" s="2">
        <v>27</v>
      </c>
      <c r="H288" s="2">
        <v>2</v>
      </c>
      <c r="I288" s="2">
        <v>5</v>
      </c>
      <c r="J288" s="2">
        <v>2</v>
      </c>
      <c r="K288" s="2">
        <v>0</v>
      </c>
      <c r="L288" s="2">
        <v>0</v>
      </c>
      <c r="M288" s="2" t="s">
        <v>34</v>
      </c>
      <c r="N288" s="2" t="s">
        <v>56</v>
      </c>
      <c r="O288" s="2" t="s">
        <v>49</v>
      </c>
      <c r="P288" s="2" t="s">
        <v>45</v>
      </c>
      <c r="Q288" s="2">
        <v>0</v>
      </c>
      <c r="R288" s="2">
        <v>0</v>
      </c>
      <c r="S288" s="2">
        <v>0</v>
      </c>
      <c r="T288" s="2" t="s">
        <v>57</v>
      </c>
      <c r="U288" s="2" t="s">
        <v>57</v>
      </c>
      <c r="V288" s="2">
        <v>0</v>
      </c>
      <c r="W288" s="2" t="s">
        <v>38</v>
      </c>
      <c r="X288" s="2">
        <v>27</v>
      </c>
      <c r="Y288" s="2"/>
      <c r="Z288" s="2">
        <v>0</v>
      </c>
      <c r="AA288" s="2" t="s">
        <v>39</v>
      </c>
      <c r="AB288" s="2">
        <v>52</v>
      </c>
      <c r="AC288" s="2">
        <v>0</v>
      </c>
      <c r="AD288" s="2">
        <v>0</v>
      </c>
      <c r="AE288" s="2" t="s">
        <v>40</v>
      </c>
      <c r="AF288" s="3">
        <v>42403</v>
      </c>
    </row>
    <row r="289" spans="1:32" x14ac:dyDescent="0.25">
      <c r="A289" s="2" t="s">
        <v>32</v>
      </c>
      <c r="B289" s="2">
        <v>0</v>
      </c>
      <c r="C289" s="2">
        <v>236</v>
      </c>
      <c r="D289" s="2">
        <v>2016</v>
      </c>
      <c r="E289" s="2" t="s">
        <v>69</v>
      </c>
      <c r="F289" s="2">
        <v>20</v>
      </c>
      <c r="G289" s="2">
        <v>12</v>
      </c>
      <c r="H289" s="2">
        <v>0</v>
      </c>
      <c r="I289" s="2">
        <v>3</v>
      </c>
      <c r="J289" s="2">
        <v>2</v>
      </c>
      <c r="K289" s="2">
        <v>0</v>
      </c>
      <c r="L289" s="2">
        <v>0</v>
      </c>
      <c r="M289" s="2" t="s">
        <v>34</v>
      </c>
      <c r="N289" s="2" t="s">
        <v>35</v>
      </c>
      <c r="O289" s="2" t="s">
        <v>64</v>
      </c>
      <c r="P289" s="2" t="s">
        <v>45</v>
      </c>
      <c r="Q289" s="2">
        <v>0</v>
      </c>
      <c r="R289" s="2">
        <v>0</v>
      </c>
      <c r="S289" s="2">
        <v>0</v>
      </c>
      <c r="T289" s="2" t="s">
        <v>46</v>
      </c>
      <c r="U289" s="2" t="s">
        <v>96</v>
      </c>
      <c r="V289" s="2">
        <v>0</v>
      </c>
      <c r="W289" s="2" t="s">
        <v>38</v>
      </c>
      <c r="X289" s="2">
        <v>315</v>
      </c>
      <c r="Y289" s="2"/>
      <c r="Z289" s="2">
        <v>0</v>
      </c>
      <c r="AA289" s="2" t="s">
        <v>51</v>
      </c>
      <c r="AB289" s="2">
        <v>54</v>
      </c>
      <c r="AC289" s="2">
        <v>1</v>
      </c>
      <c r="AD289" s="2">
        <v>0</v>
      </c>
      <c r="AE289" s="2" t="s">
        <v>40</v>
      </c>
      <c r="AF289" s="3">
        <v>42505</v>
      </c>
    </row>
    <row r="290" spans="1:32" x14ac:dyDescent="0.25">
      <c r="A290" s="2" t="s">
        <v>41</v>
      </c>
      <c r="B290" s="2">
        <v>1</v>
      </c>
      <c r="C290" s="2">
        <v>277</v>
      </c>
      <c r="D290" s="2">
        <v>2016</v>
      </c>
      <c r="E290" s="2" t="s">
        <v>61</v>
      </c>
      <c r="F290" s="2">
        <v>46</v>
      </c>
      <c r="G290" s="2">
        <v>7</v>
      </c>
      <c r="H290" s="2">
        <v>1</v>
      </c>
      <c r="I290" s="2">
        <v>2</v>
      </c>
      <c r="J290" s="2">
        <v>2</v>
      </c>
      <c r="K290" s="2">
        <v>0</v>
      </c>
      <c r="L290" s="2">
        <v>0</v>
      </c>
      <c r="M290" s="2" t="s">
        <v>34</v>
      </c>
      <c r="N290" s="2" t="s">
        <v>43</v>
      </c>
      <c r="O290" s="2" t="s">
        <v>64</v>
      </c>
      <c r="P290" s="2" t="s">
        <v>45</v>
      </c>
      <c r="Q290" s="2">
        <v>0</v>
      </c>
      <c r="R290" s="2">
        <v>0</v>
      </c>
      <c r="S290" s="2">
        <v>0</v>
      </c>
      <c r="T290" s="2" t="s">
        <v>46</v>
      </c>
      <c r="U290" s="2" t="s">
        <v>46</v>
      </c>
      <c r="V290" s="2">
        <v>0</v>
      </c>
      <c r="W290" s="2" t="s">
        <v>68</v>
      </c>
      <c r="X290" s="2"/>
      <c r="Y290" s="2"/>
      <c r="Z290" s="2">
        <v>0</v>
      </c>
      <c r="AA290" s="2" t="s">
        <v>39</v>
      </c>
      <c r="AB290" s="2">
        <v>100</v>
      </c>
      <c r="AC290" s="2">
        <v>0</v>
      </c>
      <c r="AD290" s="2">
        <v>0</v>
      </c>
      <c r="AE290" s="2" t="s">
        <v>47</v>
      </c>
      <c r="AF290" s="3">
        <v>42464</v>
      </c>
    </row>
    <row r="291" spans="1:32" x14ac:dyDescent="0.25">
      <c r="A291" s="2" t="s">
        <v>41</v>
      </c>
      <c r="B291" s="2">
        <v>0</v>
      </c>
      <c r="C291" s="2">
        <v>4</v>
      </c>
      <c r="D291" s="2">
        <v>2016</v>
      </c>
      <c r="E291" s="2" t="s">
        <v>66</v>
      </c>
      <c r="F291" s="2">
        <v>7</v>
      </c>
      <c r="G291" s="2">
        <v>7</v>
      </c>
      <c r="H291" s="2">
        <v>2</v>
      </c>
      <c r="I291" s="2">
        <v>2</v>
      </c>
      <c r="J291" s="2">
        <v>1</v>
      </c>
      <c r="K291" s="2">
        <v>0</v>
      </c>
      <c r="L291" s="2">
        <v>0</v>
      </c>
      <c r="M291" s="2" t="s">
        <v>34</v>
      </c>
      <c r="N291" s="2" t="s">
        <v>70</v>
      </c>
      <c r="O291" s="2" t="s">
        <v>44</v>
      </c>
      <c r="P291" s="2" t="s">
        <v>45</v>
      </c>
      <c r="Q291" s="2">
        <v>0</v>
      </c>
      <c r="R291" s="2">
        <v>0</v>
      </c>
      <c r="S291" s="2">
        <v>0</v>
      </c>
      <c r="T291" s="2" t="s">
        <v>46</v>
      </c>
      <c r="U291" s="2" t="s">
        <v>46</v>
      </c>
      <c r="V291" s="2">
        <v>0</v>
      </c>
      <c r="W291" s="2" t="s">
        <v>38</v>
      </c>
      <c r="X291" s="2">
        <v>7</v>
      </c>
      <c r="Y291" s="2"/>
      <c r="Z291" s="2">
        <v>0</v>
      </c>
      <c r="AA291" s="2" t="s">
        <v>39</v>
      </c>
      <c r="AB291" s="2">
        <v>76.22</v>
      </c>
      <c r="AC291" s="2">
        <v>1</v>
      </c>
      <c r="AD291" s="2">
        <v>1</v>
      </c>
      <c r="AE291" s="2" t="s">
        <v>40</v>
      </c>
      <c r="AF291" s="3">
        <v>42411</v>
      </c>
    </row>
    <row r="292" spans="1:32" x14ac:dyDescent="0.25">
      <c r="A292" s="2" t="s">
        <v>41</v>
      </c>
      <c r="B292" s="2">
        <v>1</v>
      </c>
      <c r="C292" s="2">
        <v>56</v>
      </c>
      <c r="D292" s="2">
        <v>2016</v>
      </c>
      <c r="E292" s="2" t="s">
        <v>83</v>
      </c>
      <c r="F292" s="2">
        <v>24</v>
      </c>
      <c r="G292" s="2">
        <v>8</v>
      </c>
      <c r="H292" s="2">
        <v>0</v>
      </c>
      <c r="I292" s="2">
        <v>1</v>
      </c>
      <c r="J292" s="2">
        <v>2</v>
      </c>
      <c r="K292" s="2">
        <v>0</v>
      </c>
      <c r="L292" s="2">
        <v>0</v>
      </c>
      <c r="M292" s="2" t="s">
        <v>34</v>
      </c>
      <c r="N292" s="2" t="s">
        <v>43</v>
      </c>
      <c r="O292" s="2" t="s">
        <v>49</v>
      </c>
      <c r="P292" s="2" t="s">
        <v>76</v>
      </c>
      <c r="Q292" s="2">
        <v>0</v>
      </c>
      <c r="R292" s="2">
        <v>0</v>
      </c>
      <c r="S292" s="2">
        <v>0</v>
      </c>
      <c r="T292" s="2" t="s">
        <v>46</v>
      </c>
      <c r="U292" s="2" t="s">
        <v>46</v>
      </c>
      <c r="V292" s="2">
        <v>0</v>
      </c>
      <c r="W292" s="2" t="s">
        <v>38</v>
      </c>
      <c r="X292" s="2">
        <v>191</v>
      </c>
      <c r="Y292" s="2"/>
      <c r="Z292" s="2">
        <v>0</v>
      </c>
      <c r="AA292" s="2" t="s">
        <v>51</v>
      </c>
      <c r="AB292" s="2">
        <v>120</v>
      </c>
      <c r="AC292" s="2">
        <v>0</v>
      </c>
      <c r="AD292" s="2">
        <v>0</v>
      </c>
      <c r="AE292" s="2" t="s">
        <v>47</v>
      </c>
      <c r="AF292" s="3">
        <v>42523</v>
      </c>
    </row>
    <row r="293" spans="1:32" x14ac:dyDescent="0.25">
      <c r="A293" s="2" t="s">
        <v>41</v>
      </c>
      <c r="B293" s="2">
        <v>1</v>
      </c>
      <c r="C293" s="2">
        <v>253</v>
      </c>
      <c r="D293" s="2">
        <v>2016</v>
      </c>
      <c r="E293" s="2" t="s">
        <v>62</v>
      </c>
      <c r="F293" s="2">
        <v>40</v>
      </c>
      <c r="G293" s="2">
        <v>26</v>
      </c>
      <c r="H293" s="2">
        <v>1</v>
      </c>
      <c r="I293" s="2">
        <v>2</v>
      </c>
      <c r="J293" s="2">
        <v>1</v>
      </c>
      <c r="K293" s="2">
        <v>0</v>
      </c>
      <c r="L293" s="2">
        <v>0</v>
      </c>
      <c r="M293" s="2" t="s">
        <v>34</v>
      </c>
      <c r="N293" s="2" t="s">
        <v>71</v>
      </c>
      <c r="O293" s="2" t="s">
        <v>44</v>
      </c>
      <c r="P293" s="2" t="s">
        <v>45</v>
      </c>
      <c r="Q293" s="2">
        <v>0</v>
      </c>
      <c r="R293" s="2">
        <v>0</v>
      </c>
      <c r="S293" s="2">
        <v>0</v>
      </c>
      <c r="T293" s="2" t="s">
        <v>46</v>
      </c>
      <c r="U293" s="2" t="s">
        <v>46</v>
      </c>
      <c r="V293" s="2">
        <v>1</v>
      </c>
      <c r="W293" s="2" t="s">
        <v>38</v>
      </c>
      <c r="X293" s="2">
        <v>9</v>
      </c>
      <c r="Y293" s="2"/>
      <c r="Z293" s="2">
        <v>0</v>
      </c>
      <c r="AA293" s="2" t="s">
        <v>39</v>
      </c>
      <c r="AB293" s="2">
        <v>2</v>
      </c>
      <c r="AC293" s="2">
        <v>0</v>
      </c>
      <c r="AD293" s="2">
        <v>0</v>
      </c>
      <c r="AE293" s="2" t="s">
        <v>47</v>
      </c>
      <c r="AF293" s="3">
        <v>42387</v>
      </c>
    </row>
    <row r="294" spans="1:32" x14ac:dyDescent="0.25">
      <c r="A294" s="2" t="s">
        <v>32</v>
      </c>
      <c r="B294" s="2">
        <v>0</v>
      </c>
      <c r="C294" s="2">
        <v>207</v>
      </c>
      <c r="D294" s="2">
        <v>2016</v>
      </c>
      <c r="E294" s="2" t="s">
        <v>59</v>
      </c>
      <c r="F294" s="2">
        <v>41</v>
      </c>
      <c r="G294" s="2">
        <v>4</v>
      </c>
      <c r="H294" s="2">
        <v>1</v>
      </c>
      <c r="I294" s="2">
        <v>5</v>
      </c>
      <c r="J294" s="2">
        <v>2</v>
      </c>
      <c r="K294" s="2">
        <v>0</v>
      </c>
      <c r="L294" s="2">
        <v>0</v>
      </c>
      <c r="M294" s="2" t="s">
        <v>60</v>
      </c>
      <c r="N294" s="2" t="s">
        <v>35</v>
      </c>
      <c r="O294" s="2" t="s">
        <v>49</v>
      </c>
      <c r="P294" s="2" t="s">
        <v>45</v>
      </c>
      <c r="Q294" s="2">
        <v>0</v>
      </c>
      <c r="R294" s="2">
        <v>0</v>
      </c>
      <c r="S294" s="2">
        <v>0</v>
      </c>
      <c r="T294" s="2" t="s">
        <v>46</v>
      </c>
      <c r="U294" s="2" t="s">
        <v>46</v>
      </c>
      <c r="V294" s="2">
        <v>1</v>
      </c>
      <c r="W294" s="2" t="s">
        <v>38</v>
      </c>
      <c r="X294" s="2">
        <v>243</v>
      </c>
      <c r="Y294" s="2"/>
      <c r="Z294" s="2">
        <v>0</v>
      </c>
      <c r="AA294" s="2" t="s">
        <v>39</v>
      </c>
      <c r="AB294" s="2">
        <v>70</v>
      </c>
      <c r="AC294" s="2">
        <v>0</v>
      </c>
      <c r="AD294" s="2">
        <v>0</v>
      </c>
      <c r="AE294" s="2" t="s">
        <v>40</v>
      </c>
      <c r="AF294" s="3">
        <v>42653</v>
      </c>
    </row>
    <row r="295" spans="1:32" x14ac:dyDescent="0.25">
      <c r="A295" s="2" t="s">
        <v>41</v>
      </c>
      <c r="B295" s="2">
        <v>1</v>
      </c>
      <c r="C295" s="2">
        <v>344</v>
      </c>
      <c r="D295" s="2">
        <v>2016</v>
      </c>
      <c r="E295" s="2" t="s">
        <v>83</v>
      </c>
      <c r="F295" s="2">
        <v>25</v>
      </c>
      <c r="G295" s="2">
        <v>16</v>
      </c>
      <c r="H295" s="2">
        <v>0</v>
      </c>
      <c r="I295" s="2">
        <v>2</v>
      </c>
      <c r="J295" s="2">
        <v>2</v>
      </c>
      <c r="K295" s="2">
        <v>0</v>
      </c>
      <c r="L295" s="2">
        <v>0</v>
      </c>
      <c r="M295" s="2" t="s">
        <v>34</v>
      </c>
      <c r="N295" s="2" t="s">
        <v>43</v>
      </c>
      <c r="O295" s="2" t="s">
        <v>64</v>
      </c>
      <c r="P295" s="2" t="s">
        <v>45</v>
      </c>
      <c r="Q295" s="2">
        <v>0</v>
      </c>
      <c r="R295" s="2">
        <v>0</v>
      </c>
      <c r="S295" s="2">
        <v>0</v>
      </c>
      <c r="T295" s="2" t="s">
        <v>46</v>
      </c>
      <c r="U295" s="2" t="s">
        <v>46</v>
      </c>
      <c r="V295" s="2">
        <v>0</v>
      </c>
      <c r="W295" s="2" t="s">
        <v>68</v>
      </c>
      <c r="X295" s="2">
        <v>1</v>
      </c>
      <c r="Y295" s="2"/>
      <c r="Z295" s="2">
        <v>0</v>
      </c>
      <c r="AA295" s="2" t="s">
        <v>39</v>
      </c>
      <c r="AB295" s="2">
        <v>62</v>
      </c>
      <c r="AC295" s="2">
        <v>0</v>
      </c>
      <c r="AD295" s="2">
        <v>0</v>
      </c>
      <c r="AE295" s="2" t="s">
        <v>47</v>
      </c>
      <c r="AF295" s="3">
        <v>42298</v>
      </c>
    </row>
    <row r="296" spans="1:32" x14ac:dyDescent="0.25">
      <c r="A296" s="2" t="s">
        <v>41</v>
      </c>
      <c r="B296" s="2">
        <v>1</v>
      </c>
      <c r="C296" s="2">
        <v>43</v>
      </c>
      <c r="D296" s="2">
        <v>2016</v>
      </c>
      <c r="E296" s="2" t="s">
        <v>61</v>
      </c>
      <c r="F296" s="2">
        <v>49</v>
      </c>
      <c r="G296" s="2">
        <v>29</v>
      </c>
      <c r="H296" s="2">
        <v>4</v>
      </c>
      <c r="I296" s="2">
        <v>11</v>
      </c>
      <c r="J296" s="2">
        <v>1</v>
      </c>
      <c r="K296" s="2">
        <v>0</v>
      </c>
      <c r="L296" s="2">
        <v>0</v>
      </c>
      <c r="M296" s="2" t="s">
        <v>34</v>
      </c>
      <c r="N296" s="2" t="s">
        <v>97</v>
      </c>
      <c r="O296" s="2" t="s">
        <v>44</v>
      </c>
      <c r="P296" s="2" t="s">
        <v>45</v>
      </c>
      <c r="Q296" s="2">
        <v>0</v>
      </c>
      <c r="R296" s="2">
        <v>0</v>
      </c>
      <c r="S296" s="2">
        <v>0</v>
      </c>
      <c r="T296" s="2" t="s">
        <v>46</v>
      </c>
      <c r="U296" s="2" t="s">
        <v>46</v>
      </c>
      <c r="V296" s="2">
        <v>0</v>
      </c>
      <c r="W296" s="2" t="s">
        <v>38</v>
      </c>
      <c r="X296" s="2">
        <v>9</v>
      </c>
      <c r="Y296" s="2"/>
      <c r="Z296" s="2">
        <v>0</v>
      </c>
      <c r="AA296" s="2" t="s">
        <v>39</v>
      </c>
      <c r="AB296" s="2">
        <v>74.8</v>
      </c>
      <c r="AC296" s="2">
        <v>0</v>
      </c>
      <c r="AD296" s="2">
        <v>1</v>
      </c>
      <c r="AE296" s="2" t="s">
        <v>47</v>
      </c>
      <c r="AF296" s="3">
        <v>42688</v>
      </c>
    </row>
    <row r="297" spans="1:32" x14ac:dyDescent="0.25">
      <c r="A297" s="2" t="s">
        <v>32</v>
      </c>
      <c r="B297" s="2">
        <v>1</v>
      </c>
      <c r="C297" s="2">
        <v>208</v>
      </c>
      <c r="D297" s="2">
        <v>2016</v>
      </c>
      <c r="E297" s="2" t="s">
        <v>54</v>
      </c>
      <c r="F297" s="2">
        <v>17</v>
      </c>
      <c r="G297" s="2">
        <v>19</v>
      </c>
      <c r="H297" s="2">
        <v>2</v>
      </c>
      <c r="I297" s="2">
        <v>5</v>
      </c>
      <c r="J297" s="2">
        <v>2</v>
      </c>
      <c r="K297" s="2">
        <v>0</v>
      </c>
      <c r="L297" s="2">
        <v>0</v>
      </c>
      <c r="M297" s="2" t="s">
        <v>60</v>
      </c>
      <c r="N297" s="2" t="s">
        <v>43</v>
      </c>
      <c r="O297" s="2" t="s">
        <v>64</v>
      </c>
      <c r="P297" s="2" t="s">
        <v>36</v>
      </c>
      <c r="Q297" s="2">
        <v>0</v>
      </c>
      <c r="R297" s="2">
        <v>0</v>
      </c>
      <c r="S297" s="2">
        <v>0</v>
      </c>
      <c r="T297" s="2" t="s">
        <v>72</v>
      </c>
      <c r="U297" s="2" t="s">
        <v>72</v>
      </c>
      <c r="V297" s="2">
        <v>0</v>
      </c>
      <c r="W297" s="2" t="s">
        <v>68</v>
      </c>
      <c r="X297" s="2">
        <v>273</v>
      </c>
      <c r="Y297" s="2"/>
      <c r="Z297" s="2">
        <v>0</v>
      </c>
      <c r="AA297" s="2" t="s">
        <v>39</v>
      </c>
      <c r="AB297" s="2">
        <v>60.3</v>
      </c>
      <c r="AC297" s="2">
        <v>0</v>
      </c>
      <c r="AD297" s="2">
        <v>0</v>
      </c>
      <c r="AE297" s="2" t="s">
        <v>47</v>
      </c>
      <c r="AF297" s="3">
        <v>42447</v>
      </c>
    </row>
    <row r="298" spans="1:32" x14ac:dyDescent="0.25">
      <c r="A298" s="2" t="s">
        <v>32</v>
      </c>
      <c r="B298" s="2">
        <v>1</v>
      </c>
      <c r="C298" s="2">
        <v>199</v>
      </c>
      <c r="D298" s="2">
        <v>2016</v>
      </c>
      <c r="E298" s="2" t="s">
        <v>69</v>
      </c>
      <c r="F298" s="2">
        <v>19</v>
      </c>
      <c r="G298" s="2">
        <v>2</v>
      </c>
      <c r="H298" s="2">
        <v>1</v>
      </c>
      <c r="I298" s="2">
        <v>1</v>
      </c>
      <c r="J298" s="2">
        <v>2</v>
      </c>
      <c r="K298" s="2">
        <v>0</v>
      </c>
      <c r="L298" s="2">
        <v>0</v>
      </c>
      <c r="M298" s="2" t="s">
        <v>60</v>
      </c>
      <c r="N298" s="2" t="s">
        <v>43</v>
      </c>
      <c r="O298" s="2" t="s">
        <v>64</v>
      </c>
      <c r="P298" s="2" t="s">
        <v>45</v>
      </c>
      <c r="Q298" s="2">
        <v>0</v>
      </c>
      <c r="R298" s="2">
        <v>0</v>
      </c>
      <c r="S298" s="2">
        <v>0</v>
      </c>
      <c r="T298" s="2" t="s">
        <v>46</v>
      </c>
      <c r="U298" s="2" t="s">
        <v>46</v>
      </c>
      <c r="V298" s="2">
        <v>0</v>
      </c>
      <c r="W298" s="2" t="s">
        <v>38</v>
      </c>
      <c r="X298" s="2">
        <v>298</v>
      </c>
      <c r="Y298" s="2"/>
      <c r="Z298" s="2">
        <v>0</v>
      </c>
      <c r="AA298" s="2" t="s">
        <v>51</v>
      </c>
      <c r="AB298" s="2">
        <v>85</v>
      </c>
      <c r="AC298" s="2">
        <v>0</v>
      </c>
      <c r="AD298" s="2">
        <v>0</v>
      </c>
      <c r="AE298" s="2" t="s">
        <v>47</v>
      </c>
      <c r="AF298" s="3">
        <v>42478</v>
      </c>
    </row>
    <row r="299" spans="1:32" x14ac:dyDescent="0.25">
      <c r="A299" s="2" t="s">
        <v>32</v>
      </c>
      <c r="B299" s="2">
        <v>1</v>
      </c>
      <c r="C299" s="2">
        <v>40</v>
      </c>
      <c r="D299" s="2">
        <v>2016</v>
      </c>
      <c r="E299" s="2" t="s">
        <v>42</v>
      </c>
      <c r="F299" s="2">
        <v>30</v>
      </c>
      <c r="G299" s="2">
        <v>22</v>
      </c>
      <c r="H299" s="2">
        <v>2</v>
      </c>
      <c r="I299" s="2">
        <v>4</v>
      </c>
      <c r="J299" s="2">
        <v>2</v>
      </c>
      <c r="K299" s="2">
        <v>0</v>
      </c>
      <c r="L299" s="2">
        <v>0</v>
      </c>
      <c r="M299" s="2" t="s">
        <v>34</v>
      </c>
      <c r="N299" s="2" t="s">
        <v>101</v>
      </c>
      <c r="O299" s="2" t="s">
        <v>44</v>
      </c>
      <c r="P299" s="2" t="s">
        <v>45</v>
      </c>
      <c r="Q299" s="2">
        <v>0</v>
      </c>
      <c r="R299" s="2">
        <v>0</v>
      </c>
      <c r="S299" s="2">
        <v>0</v>
      </c>
      <c r="T299" s="2" t="s">
        <v>57</v>
      </c>
      <c r="U299" s="2" t="s">
        <v>57</v>
      </c>
      <c r="V299" s="2">
        <v>0</v>
      </c>
      <c r="W299" s="2" t="s">
        <v>38</v>
      </c>
      <c r="X299" s="2">
        <v>240</v>
      </c>
      <c r="Y299" s="2"/>
      <c r="Z299" s="2">
        <v>0</v>
      </c>
      <c r="AA299" s="2" t="s">
        <v>39</v>
      </c>
      <c r="AB299" s="2">
        <v>194</v>
      </c>
      <c r="AC299" s="2">
        <v>0</v>
      </c>
      <c r="AD299" s="2">
        <v>0</v>
      </c>
      <c r="AE299" s="2" t="s">
        <v>47</v>
      </c>
      <c r="AF299" s="3">
        <v>42533</v>
      </c>
    </row>
    <row r="300" spans="1:32" x14ac:dyDescent="0.25">
      <c r="A300" s="2" t="s">
        <v>41</v>
      </c>
      <c r="B300" s="2">
        <v>1</v>
      </c>
      <c r="C300" s="2">
        <v>2</v>
      </c>
      <c r="D300" s="2">
        <v>2016</v>
      </c>
      <c r="E300" s="2" t="s">
        <v>61</v>
      </c>
      <c r="F300" s="2">
        <v>45</v>
      </c>
      <c r="G300" s="2">
        <v>2</v>
      </c>
      <c r="H300" s="2">
        <v>0</v>
      </c>
      <c r="I300" s="2">
        <v>2</v>
      </c>
      <c r="J300" s="2">
        <v>1</v>
      </c>
      <c r="K300" s="2">
        <v>0</v>
      </c>
      <c r="L300" s="2">
        <v>0</v>
      </c>
      <c r="M300" s="2" t="s">
        <v>34</v>
      </c>
      <c r="N300" s="2" t="s">
        <v>43</v>
      </c>
      <c r="O300" s="2" t="s">
        <v>102</v>
      </c>
      <c r="P300" s="2" t="s">
        <v>76</v>
      </c>
      <c r="Q300" s="2">
        <v>0</v>
      </c>
      <c r="R300" s="2">
        <v>0</v>
      </c>
      <c r="S300" s="2">
        <v>0</v>
      </c>
      <c r="T300" s="2" t="s">
        <v>57</v>
      </c>
      <c r="U300" s="2" t="s">
        <v>57</v>
      </c>
      <c r="V300" s="2">
        <v>0</v>
      </c>
      <c r="W300" s="2" t="s">
        <v>38</v>
      </c>
      <c r="X300" s="2"/>
      <c r="Y300" s="2">
        <v>153</v>
      </c>
      <c r="Z300" s="2">
        <v>0</v>
      </c>
      <c r="AA300" s="2" t="s">
        <v>39</v>
      </c>
      <c r="AB300" s="2">
        <v>94</v>
      </c>
      <c r="AC300" s="2">
        <v>0</v>
      </c>
      <c r="AD300" s="2">
        <v>0</v>
      </c>
      <c r="AE300" s="2" t="s">
        <v>47</v>
      </c>
      <c r="AF300" s="3">
        <v>42676</v>
      </c>
    </row>
    <row r="301" spans="1:32" x14ac:dyDescent="0.25">
      <c r="A301" s="2" t="s">
        <v>41</v>
      </c>
      <c r="B301" s="2">
        <v>0</v>
      </c>
      <c r="C301" s="2">
        <v>13</v>
      </c>
      <c r="D301" s="2">
        <v>2016</v>
      </c>
      <c r="E301" s="2" t="s">
        <v>52</v>
      </c>
      <c r="F301" s="2">
        <v>14</v>
      </c>
      <c r="G301" s="2">
        <v>27</v>
      </c>
      <c r="H301" s="2">
        <v>2</v>
      </c>
      <c r="I301" s="2">
        <v>2</v>
      </c>
      <c r="J301" s="2">
        <v>2</v>
      </c>
      <c r="K301" s="2">
        <v>0</v>
      </c>
      <c r="L301" s="2">
        <v>0</v>
      </c>
      <c r="M301" s="2" t="s">
        <v>34</v>
      </c>
      <c r="N301" s="2" t="s">
        <v>56</v>
      </c>
      <c r="O301" s="2" t="s">
        <v>49</v>
      </c>
      <c r="P301" s="2" t="s">
        <v>45</v>
      </c>
      <c r="Q301" s="2">
        <v>0</v>
      </c>
      <c r="R301" s="2">
        <v>0</v>
      </c>
      <c r="S301" s="2">
        <v>0</v>
      </c>
      <c r="T301" s="2" t="s">
        <v>46</v>
      </c>
      <c r="U301" s="2" t="s">
        <v>46</v>
      </c>
      <c r="V301" s="2">
        <v>0</v>
      </c>
      <c r="W301" s="2" t="s">
        <v>38</v>
      </c>
      <c r="X301" s="2">
        <v>138</v>
      </c>
      <c r="Y301" s="2"/>
      <c r="Z301" s="2">
        <v>0</v>
      </c>
      <c r="AA301" s="2" t="s">
        <v>39</v>
      </c>
      <c r="AB301" s="2">
        <v>79.150000000000006</v>
      </c>
      <c r="AC301" s="2">
        <v>0</v>
      </c>
      <c r="AD301" s="2">
        <v>0</v>
      </c>
      <c r="AE301" s="2" t="s">
        <v>40</v>
      </c>
      <c r="AF301" s="3">
        <v>42460</v>
      </c>
    </row>
    <row r="302" spans="1:32" x14ac:dyDescent="0.25">
      <c r="A302" s="2" t="s">
        <v>41</v>
      </c>
      <c r="B302" s="2">
        <v>0</v>
      </c>
      <c r="C302" s="2">
        <v>5</v>
      </c>
      <c r="D302" s="2">
        <v>2016</v>
      </c>
      <c r="E302" s="2" t="s">
        <v>61</v>
      </c>
      <c r="F302" s="2">
        <v>46</v>
      </c>
      <c r="G302" s="2">
        <v>6</v>
      </c>
      <c r="H302" s="2">
        <v>2</v>
      </c>
      <c r="I302" s="2">
        <v>3</v>
      </c>
      <c r="J302" s="2">
        <v>2</v>
      </c>
      <c r="K302" s="2">
        <v>0</v>
      </c>
      <c r="L302" s="2">
        <v>0</v>
      </c>
      <c r="M302" s="2" t="s">
        <v>55</v>
      </c>
      <c r="N302" s="2" t="s">
        <v>71</v>
      </c>
      <c r="O302" s="2" t="s">
        <v>44</v>
      </c>
      <c r="P302" s="2" t="s">
        <v>45</v>
      </c>
      <c r="Q302" s="2">
        <v>0</v>
      </c>
      <c r="R302" s="2">
        <v>0</v>
      </c>
      <c r="S302" s="2">
        <v>0</v>
      </c>
      <c r="T302" s="2" t="s">
        <v>46</v>
      </c>
      <c r="U302" s="2" t="s">
        <v>46</v>
      </c>
      <c r="V302" s="2">
        <v>0</v>
      </c>
      <c r="W302" s="2" t="s">
        <v>38</v>
      </c>
      <c r="X302" s="2">
        <v>7</v>
      </c>
      <c r="Y302" s="2"/>
      <c r="Z302" s="2">
        <v>0</v>
      </c>
      <c r="AA302" s="2" t="s">
        <v>39</v>
      </c>
      <c r="AB302" s="2">
        <v>106.68</v>
      </c>
      <c r="AC302" s="2">
        <v>0</v>
      </c>
      <c r="AD302" s="2">
        <v>1</v>
      </c>
      <c r="AE302" s="2" t="s">
        <v>40</v>
      </c>
      <c r="AF302" s="3">
        <v>42685</v>
      </c>
    </row>
    <row r="303" spans="1:32" x14ac:dyDescent="0.25">
      <c r="A303" s="2" t="s">
        <v>41</v>
      </c>
      <c r="B303" s="2">
        <v>0</v>
      </c>
      <c r="C303" s="2">
        <v>54</v>
      </c>
      <c r="D303" s="2">
        <v>2016</v>
      </c>
      <c r="E303" s="2" t="s">
        <v>66</v>
      </c>
      <c r="F303" s="2">
        <v>7</v>
      </c>
      <c r="G303" s="2">
        <v>8</v>
      </c>
      <c r="H303" s="2">
        <v>1</v>
      </c>
      <c r="I303" s="2">
        <v>4</v>
      </c>
      <c r="J303" s="2">
        <v>2</v>
      </c>
      <c r="K303" s="2">
        <v>0</v>
      </c>
      <c r="L303" s="2">
        <v>0</v>
      </c>
      <c r="M303" s="2" t="s">
        <v>34</v>
      </c>
      <c r="N303" s="2" t="s">
        <v>56</v>
      </c>
      <c r="O303" s="2" t="s">
        <v>44</v>
      </c>
      <c r="P303" s="2" t="s">
        <v>45</v>
      </c>
      <c r="Q303" s="2">
        <v>0</v>
      </c>
      <c r="R303" s="2">
        <v>0</v>
      </c>
      <c r="S303" s="2">
        <v>0</v>
      </c>
      <c r="T303" s="2" t="s">
        <v>46</v>
      </c>
      <c r="U303" s="2" t="s">
        <v>46</v>
      </c>
      <c r="V303" s="2">
        <v>0</v>
      </c>
      <c r="W303" s="2" t="s">
        <v>38</v>
      </c>
      <c r="X303" s="2">
        <v>9</v>
      </c>
      <c r="Y303" s="2"/>
      <c r="Z303" s="2">
        <v>0</v>
      </c>
      <c r="AA303" s="2" t="s">
        <v>39</v>
      </c>
      <c r="AB303" s="2">
        <v>75.95</v>
      </c>
      <c r="AC303" s="2">
        <v>0</v>
      </c>
      <c r="AD303" s="2">
        <v>1</v>
      </c>
      <c r="AE303" s="2" t="s">
        <v>40</v>
      </c>
      <c r="AF303" s="3">
        <v>42413</v>
      </c>
    </row>
    <row r="304" spans="1:32" x14ac:dyDescent="0.25">
      <c r="A304" s="2" t="s">
        <v>32</v>
      </c>
      <c r="B304" s="2">
        <v>1</v>
      </c>
      <c r="C304" s="2">
        <v>23</v>
      </c>
      <c r="D304" s="2">
        <v>2016</v>
      </c>
      <c r="E304" s="2" t="s">
        <v>67</v>
      </c>
      <c r="F304" s="2">
        <v>32</v>
      </c>
      <c r="G304" s="2">
        <v>4</v>
      </c>
      <c r="H304" s="2">
        <v>0</v>
      </c>
      <c r="I304" s="2">
        <v>3</v>
      </c>
      <c r="J304" s="2">
        <v>2</v>
      </c>
      <c r="K304" s="2">
        <v>1</v>
      </c>
      <c r="L304" s="2">
        <v>0</v>
      </c>
      <c r="M304" s="2" t="s">
        <v>60</v>
      </c>
      <c r="N304" s="2" t="s">
        <v>43</v>
      </c>
      <c r="O304" s="2" t="s">
        <v>44</v>
      </c>
      <c r="P304" s="2" t="s">
        <v>45</v>
      </c>
      <c r="Q304" s="2">
        <v>0</v>
      </c>
      <c r="R304" s="2">
        <v>0</v>
      </c>
      <c r="S304" s="2">
        <v>0</v>
      </c>
      <c r="T304" s="2" t="s">
        <v>46</v>
      </c>
      <c r="U304" s="2" t="s">
        <v>46</v>
      </c>
      <c r="V304" s="2">
        <v>0</v>
      </c>
      <c r="W304" s="2" t="s">
        <v>38</v>
      </c>
      <c r="X304" s="2">
        <v>242</v>
      </c>
      <c r="Y304" s="2"/>
      <c r="Z304" s="2">
        <v>0</v>
      </c>
      <c r="AA304" s="2" t="s">
        <v>39</v>
      </c>
      <c r="AB304" s="2">
        <v>272.7</v>
      </c>
      <c r="AC304" s="2">
        <v>0</v>
      </c>
      <c r="AD304" s="2">
        <v>0</v>
      </c>
      <c r="AE304" s="2" t="s">
        <v>47</v>
      </c>
      <c r="AF304" s="3">
        <v>42581</v>
      </c>
    </row>
    <row r="305" spans="1:32" x14ac:dyDescent="0.25">
      <c r="A305" s="2" t="s">
        <v>41</v>
      </c>
      <c r="B305" s="2">
        <v>0</v>
      </c>
      <c r="C305" s="2">
        <v>235</v>
      </c>
      <c r="D305" s="2">
        <v>2016</v>
      </c>
      <c r="E305" s="2" t="s">
        <v>67</v>
      </c>
      <c r="F305" s="2">
        <v>32</v>
      </c>
      <c r="G305" s="2">
        <v>6</v>
      </c>
      <c r="H305" s="2">
        <v>1</v>
      </c>
      <c r="I305" s="2">
        <v>1</v>
      </c>
      <c r="J305" s="2">
        <v>2</v>
      </c>
      <c r="K305" s="2">
        <v>0</v>
      </c>
      <c r="L305" s="2">
        <v>0</v>
      </c>
      <c r="M305" s="2" t="s">
        <v>34</v>
      </c>
      <c r="N305" s="2" t="s">
        <v>43</v>
      </c>
      <c r="O305" s="2" t="s">
        <v>44</v>
      </c>
      <c r="P305" s="2" t="s">
        <v>45</v>
      </c>
      <c r="Q305" s="2">
        <v>0</v>
      </c>
      <c r="R305" s="2">
        <v>0</v>
      </c>
      <c r="S305" s="2">
        <v>0</v>
      </c>
      <c r="T305" s="2" t="s">
        <v>46</v>
      </c>
      <c r="U305" s="2" t="s">
        <v>46</v>
      </c>
      <c r="V305" s="2">
        <v>0</v>
      </c>
      <c r="W305" s="2" t="s">
        <v>38</v>
      </c>
      <c r="X305" s="2">
        <v>9</v>
      </c>
      <c r="Y305" s="2"/>
      <c r="Z305" s="2">
        <v>0</v>
      </c>
      <c r="AA305" s="2" t="s">
        <v>51</v>
      </c>
      <c r="AB305" s="2">
        <v>105.3</v>
      </c>
      <c r="AC305" s="2">
        <v>1</v>
      </c>
      <c r="AD305" s="2">
        <v>2</v>
      </c>
      <c r="AE305" s="2" t="s">
        <v>40</v>
      </c>
      <c r="AF305" s="3">
        <v>42590</v>
      </c>
    </row>
    <row r="306" spans="1:32" x14ac:dyDescent="0.25">
      <c r="A306" s="2" t="s">
        <v>41</v>
      </c>
      <c r="B306" s="2">
        <v>0</v>
      </c>
      <c r="C306" s="2">
        <v>242</v>
      </c>
      <c r="D306" s="2">
        <v>2016</v>
      </c>
      <c r="E306" s="2" t="s">
        <v>59</v>
      </c>
      <c r="F306" s="2">
        <v>44</v>
      </c>
      <c r="G306" s="2">
        <v>28</v>
      </c>
      <c r="H306" s="2">
        <v>2</v>
      </c>
      <c r="I306" s="2">
        <v>2</v>
      </c>
      <c r="J306" s="2">
        <v>2</v>
      </c>
      <c r="K306" s="2">
        <v>1</v>
      </c>
      <c r="L306" s="2">
        <v>0</v>
      </c>
      <c r="M306" s="2" t="s">
        <v>34</v>
      </c>
      <c r="N306" s="2" t="s">
        <v>70</v>
      </c>
      <c r="O306" s="2" t="s">
        <v>44</v>
      </c>
      <c r="P306" s="2" t="s">
        <v>45</v>
      </c>
      <c r="Q306" s="2">
        <v>0</v>
      </c>
      <c r="R306" s="2">
        <v>0</v>
      </c>
      <c r="S306" s="2">
        <v>0</v>
      </c>
      <c r="T306" s="2" t="s">
        <v>57</v>
      </c>
      <c r="U306" s="2" t="s">
        <v>57</v>
      </c>
      <c r="V306" s="2">
        <v>0</v>
      </c>
      <c r="W306" s="2" t="s">
        <v>38</v>
      </c>
      <c r="X306" s="2">
        <v>7</v>
      </c>
      <c r="Y306" s="2"/>
      <c r="Z306" s="2">
        <v>0</v>
      </c>
      <c r="AA306" s="2" t="s">
        <v>39</v>
      </c>
      <c r="AB306" s="2">
        <v>95.13</v>
      </c>
      <c r="AC306" s="2">
        <v>0</v>
      </c>
      <c r="AD306" s="2">
        <v>1</v>
      </c>
      <c r="AE306" s="2" t="s">
        <v>40</v>
      </c>
      <c r="AF306" s="3">
        <v>42675</v>
      </c>
    </row>
    <row r="307" spans="1:32" x14ac:dyDescent="0.25">
      <c r="A307" s="2" t="s">
        <v>41</v>
      </c>
      <c r="B307" s="2">
        <v>1</v>
      </c>
      <c r="C307" s="2">
        <v>16</v>
      </c>
      <c r="D307" s="2">
        <v>2016</v>
      </c>
      <c r="E307" s="2" t="s">
        <v>59</v>
      </c>
      <c r="F307" s="2">
        <v>44</v>
      </c>
      <c r="G307" s="2">
        <v>29</v>
      </c>
      <c r="H307" s="2">
        <v>2</v>
      </c>
      <c r="I307" s="2">
        <v>1</v>
      </c>
      <c r="J307" s="2">
        <v>2</v>
      </c>
      <c r="K307" s="2">
        <v>0</v>
      </c>
      <c r="L307" s="2">
        <v>0</v>
      </c>
      <c r="M307" s="2" t="s">
        <v>34</v>
      </c>
      <c r="N307" s="2" t="s">
        <v>63</v>
      </c>
      <c r="O307" s="2" t="s">
        <v>44</v>
      </c>
      <c r="P307" s="2" t="s">
        <v>45</v>
      </c>
      <c r="Q307" s="2">
        <v>0</v>
      </c>
      <c r="R307" s="2">
        <v>0</v>
      </c>
      <c r="S307" s="2">
        <v>0</v>
      </c>
      <c r="T307" s="2" t="s">
        <v>46</v>
      </c>
      <c r="U307" s="2" t="s">
        <v>46</v>
      </c>
      <c r="V307" s="2">
        <v>0</v>
      </c>
      <c r="W307" s="2" t="s">
        <v>38</v>
      </c>
      <c r="X307" s="2">
        <v>9</v>
      </c>
      <c r="Y307" s="2"/>
      <c r="Z307" s="2">
        <v>0</v>
      </c>
      <c r="AA307" s="2" t="s">
        <v>39</v>
      </c>
      <c r="AB307" s="2">
        <v>140</v>
      </c>
      <c r="AC307" s="2">
        <v>0</v>
      </c>
      <c r="AD307" s="2">
        <v>2</v>
      </c>
      <c r="AE307" s="2" t="s">
        <v>47</v>
      </c>
      <c r="AF307" s="3">
        <v>42667</v>
      </c>
    </row>
    <row r="308" spans="1:32" x14ac:dyDescent="0.25">
      <c r="A308" s="2" t="s">
        <v>41</v>
      </c>
      <c r="B308" s="2">
        <v>1</v>
      </c>
      <c r="C308" s="2">
        <v>158</v>
      </c>
      <c r="D308" s="2">
        <v>2016</v>
      </c>
      <c r="E308" s="2" t="s">
        <v>69</v>
      </c>
      <c r="F308" s="2">
        <v>22</v>
      </c>
      <c r="G308" s="2">
        <v>24</v>
      </c>
      <c r="H308" s="2">
        <v>0</v>
      </c>
      <c r="I308" s="2">
        <v>2</v>
      </c>
      <c r="J308" s="2">
        <v>1</v>
      </c>
      <c r="K308" s="2">
        <v>0</v>
      </c>
      <c r="L308" s="2">
        <v>0</v>
      </c>
      <c r="M308" s="2" t="s">
        <v>34</v>
      </c>
      <c r="N308" s="2" t="s">
        <v>43</v>
      </c>
      <c r="O308" s="2" t="s">
        <v>64</v>
      </c>
      <c r="P308" s="2" t="s">
        <v>45</v>
      </c>
      <c r="Q308" s="2">
        <v>0</v>
      </c>
      <c r="R308" s="2">
        <v>0</v>
      </c>
      <c r="S308" s="2">
        <v>0</v>
      </c>
      <c r="T308" s="2" t="s">
        <v>46</v>
      </c>
      <c r="U308" s="2" t="s">
        <v>46</v>
      </c>
      <c r="V308" s="2">
        <v>0</v>
      </c>
      <c r="W308" s="2" t="s">
        <v>68</v>
      </c>
      <c r="X308" s="2">
        <v>37</v>
      </c>
      <c r="Y308" s="2"/>
      <c r="Z308" s="2">
        <v>31</v>
      </c>
      <c r="AA308" s="2" t="s">
        <v>39</v>
      </c>
      <c r="AB308" s="2">
        <v>130</v>
      </c>
      <c r="AC308" s="2">
        <v>0</v>
      </c>
      <c r="AD308" s="2">
        <v>0</v>
      </c>
      <c r="AE308" s="2" t="s">
        <v>47</v>
      </c>
      <c r="AF308" s="3">
        <v>42387</v>
      </c>
    </row>
    <row r="309" spans="1:32" x14ac:dyDescent="0.25">
      <c r="A309" s="2" t="s">
        <v>32</v>
      </c>
      <c r="B309" s="2">
        <v>0</v>
      </c>
      <c r="C309" s="2">
        <v>1</v>
      </c>
      <c r="D309" s="2">
        <v>2016</v>
      </c>
      <c r="E309" s="2" t="s">
        <v>67</v>
      </c>
      <c r="F309" s="2">
        <v>33</v>
      </c>
      <c r="G309" s="2">
        <v>11</v>
      </c>
      <c r="H309" s="2">
        <v>0</v>
      </c>
      <c r="I309" s="2">
        <v>1</v>
      </c>
      <c r="J309" s="2">
        <v>1</v>
      </c>
      <c r="K309" s="2">
        <v>0</v>
      </c>
      <c r="L309" s="2">
        <v>0</v>
      </c>
      <c r="M309" s="2" t="s">
        <v>34</v>
      </c>
      <c r="N309" s="2" t="s">
        <v>43</v>
      </c>
      <c r="O309" s="2" t="s">
        <v>36</v>
      </c>
      <c r="P309" s="2" t="s">
        <v>36</v>
      </c>
      <c r="Q309" s="2">
        <v>0</v>
      </c>
      <c r="R309" s="2">
        <v>0</v>
      </c>
      <c r="S309" s="2">
        <v>0</v>
      </c>
      <c r="T309" s="2" t="s">
        <v>46</v>
      </c>
      <c r="U309" s="2" t="s">
        <v>46</v>
      </c>
      <c r="V309" s="2">
        <v>0</v>
      </c>
      <c r="W309" s="2" t="s">
        <v>38</v>
      </c>
      <c r="X309" s="2">
        <v>250</v>
      </c>
      <c r="Y309" s="2"/>
      <c r="Z309" s="2">
        <v>0</v>
      </c>
      <c r="AA309" s="2" t="s">
        <v>39</v>
      </c>
      <c r="AB309" s="2">
        <v>149</v>
      </c>
      <c r="AC309" s="2">
        <v>0</v>
      </c>
      <c r="AD309" s="2">
        <v>0</v>
      </c>
      <c r="AE309" s="2" t="s">
        <v>40</v>
      </c>
      <c r="AF309" s="3">
        <v>42594</v>
      </c>
    </row>
    <row r="310" spans="1:32" x14ac:dyDescent="0.25">
      <c r="A310" s="2" t="s">
        <v>32</v>
      </c>
      <c r="B310" s="2">
        <v>0</v>
      </c>
      <c r="C310" s="2">
        <v>81</v>
      </c>
      <c r="D310" s="2">
        <v>2016</v>
      </c>
      <c r="E310" s="2" t="s">
        <v>54</v>
      </c>
      <c r="F310" s="2">
        <v>15</v>
      </c>
      <c r="G310" s="2">
        <v>3</v>
      </c>
      <c r="H310" s="2">
        <v>2</v>
      </c>
      <c r="I310" s="2">
        <v>3</v>
      </c>
      <c r="J310" s="2">
        <v>2</v>
      </c>
      <c r="K310" s="2">
        <v>0</v>
      </c>
      <c r="L310" s="2">
        <v>0</v>
      </c>
      <c r="M310" s="2" t="s">
        <v>34</v>
      </c>
      <c r="N310" s="2" t="s">
        <v>43</v>
      </c>
      <c r="O310" s="2" t="s">
        <v>44</v>
      </c>
      <c r="P310" s="2" t="s">
        <v>45</v>
      </c>
      <c r="Q310" s="2">
        <v>0</v>
      </c>
      <c r="R310" s="2">
        <v>0</v>
      </c>
      <c r="S310" s="2">
        <v>0</v>
      </c>
      <c r="T310" s="2" t="s">
        <v>46</v>
      </c>
      <c r="U310" s="2" t="s">
        <v>46</v>
      </c>
      <c r="V310" s="2">
        <v>0</v>
      </c>
      <c r="W310" s="2" t="s">
        <v>38</v>
      </c>
      <c r="X310" s="2">
        <v>240</v>
      </c>
      <c r="Y310" s="2"/>
      <c r="Z310" s="2">
        <v>0</v>
      </c>
      <c r="AA310" s="2" t="s">
        <v>39</v>
      </c>
      <c r="AB310" s="2">
        <v>52.2</v>
      </c>
      <c r="AC310" s="2">
        <v>0</v>
      </c>
      <c r="AD310" s="2">
        <v>1</v>
      </c>
      <c r="AE310" s="2" t="s">
        <v>40</v>
      </c>
      <c r="AF310" s="3">
        <v>42468</v>
      </c>
    </row>
    <row r="311" spans="1:32" x14ac:dyDescent="0.25">
      <c r="A311" s="2" t="s">
        <v>41</v>
      </c>
      <c r="B311" s="2">
        <v>0</v>
      </c>
      <c r="C311" s="2">
        <v>122</v>
      </c>
      <c r="D311" s="2">
        <v>2016</v>
      </c>
      <c r="E311" s="2" t="s">
        <v>54</v>
      </c>
      <c r="F311" s="2">
        <v>16</v>
      </c>
      <c r="G311" s="2">
        <v>15</v>
      </c>
      <c r="H311" s="2">
        <v>0</v>
      </c>
      <c r="I311" s="2">
        <v>2</v>
      </c>
      <c r="J311" s="2">
        <v>2</v>
      </c>
      <c r="K311" s="2">
        <v>0</v>
      </c>
      <c r="L311" s="2">
        <v>0</v>
      </c>
      <c r="M311" s="2" t="s">
        <v>34</v>
      </c>
      <c r="N311" s="2" t="s">
        <v>43</v>
      </c>
      <c r="O311" s="2" t="s">
        <v>49</v>
      </c>
      <c r="P311" s="2" t="s">
        <v>45</v>
      </c>
      <c r="Q311" s="2">
        <v>0</v>
      </c>
      <c r="R311" s="2">
        <v>0</v>
      </c>
      <c r="S311" s="2">
        <v>0</v>
      </c>
      <c r="T311" s="2" t="s">
        <v>46</v>
      </c>
      <c r="U311" s="2" t="s">
        <v>46</v>
      </c>
      <c r="V311" s="2">
        <v>0</v>
      </c>
      <c r="W311" s="2" t="s">
        <v>38</v>
      </c>
      <c r="X311" s="2">
        <v>151</v>
      </c>
      <c r="Y311" s="2"/>
      <c r="Z311" s="2">
        <v>56</v>
      </c>
      <c r="AA311" s="2" t="s">
        <v>51</v>
      </c>
      <c r="AB311" s="2">
        <v>85</v>
      </c>
      <c r="AC311" s="2">
        <v>0</v>
      </c>
      <c r="AD311" s="2">
        <v>0</v>
      </c>
      <c r="AE311" s="2" t="s">
        <v>40</v>
      </c>
      <c r="AF311" s="3">
        <v>42477</v>
      </c>
    </row>
    <row r="312" spans="1:32" x14ac:dyDescent="0.25">
      <c r="A312" s="2" t="s">
        <v>41</v>
      </c>
      <c r="B312" s="2">
        <v>1</v>
      </c>
      <c r="C312" s="2">
        <v>143</v>
      </c>
      <c r="D312" s="2">
        <v>2016</v>
      </c>
      <c r="E312" s="2" t="s">
        <v>61</v>
      </c>
      <c r="F312" s="2">
        <v>47</v>
      </c>
      <c r="G312" s="2">
        <v>17</v>
      </c>
      <c r="H312" s="2">
        <v>0</v>
      </c>
      <c r="I312" s="2">
        <v>1</v>
      </c>
      <c r="J312" s="2">
        <v>1</v>
      </c>
      <c r="K312" s="2">
        <v>0</v>
      </c>
      <c r="L312" s="2">
        <v>0</v>
      </c>
      <c r="M312" s="2" t="s">
        <v>34</v>
      </c>
      <c r="N312" s="2" t="s">
        <v>48</v>
      </c>
      <c r="O312" s="2" t="s">
        <v>44</v>
      </c>
      <c r="P312" s="2" t="s">
        <v>45</v>
      </c>
      <c r="Q312" s="2">
        <v>0</v>
      </c>
      <c r="R312" s="2">
        <v>0</v>
      </c>
      <c r="S312" s="2">
        <v>0</v>
      </c>
      <c r="T312" s="2" t="s">
        <v>46</v>
      </c>
      <c r="U312" s="2" t="s">
        <v>46</v>
      </c>
      <c r="V312" s="2">
        <v>0</v>
      </c>
      <c r="W312" s="2" t="s">
        <v>38</v>
      </c>
      <c r="X312" s="2">
        <v>9</v>
      </c>
      <c r="Y312" s="2"/>
      <c r="Z312" s="2">
        <v>0</v>
      </c>
      <c r="AA312" s="2" t="s">
        <v>39</v>
      </c>
      <c r="AB312" s="2">
        <v>84.6</v>
      </c>
      <c r="AC312" s="2">
        <v>0</v>
      </c>
      <c r="AD312" s="2">
        <v>1</v>
      </c>
      <c r="AE312" s="2" t="s">
        <v>47</v>
      </c>
      <c r="AF312" s="3">
        <v>42597</v>
      </c>
    </row>
    <row r="313" spans="1:32" x14ac:dyDescent="0.25">
      <c r="A313" s="2" t="s">
        <v>41</v>
      </c>
      <c r="B313" s="2">
        <v>1</v>
      </c>
      <c r="C313" s="2">
        <v>113</v>
      </c>
      <c r="D313" s="2">
        <v>2016</v>
      </c>
      <c r="E313" s="2" t="s">
        <v>66</v>
      </c>
      <c r="F313" s="2">
        <v>9</v>
      </c>
      <c r="G313" s="2">
        <v>25</v>
      </c>
      <c r="H313" s="2">
        <v>0</v>
      </c>
      <c r="I313" s="2">
        <v>3</v>
      </c>
      <c r="J313" s="2">
        <v>2</v>
      </c>
      <c r="K313" s="2">
        <v>0</v>
      </c>
      <c r="L313" s="2">
        <v>0</v>
      </c>
      <c r="M313" s="2" t="s">
        <v>34</v>
      </c>
      <c r="N313" s="2" t="s">
        <v>43</v>
      </c>
      <c r="O313" s="2" t="s">
        <v>49</v>
      </c>
      <c r="P313" s="2" t="s">
        <v>45</v>
      </c>
      <c r="Q313" s="2">
        <v>0</v>
      </c>
      <c r="R313" s="2">
        <v>1</v>
      </c>
      <c r="S313" s="2">
        <v>0</v>
      </c>
      <c r="T313" s="2" t="s">
        <v>46</v>
      </c>
      <c r="U313" s="2" t="s">
        <v>46</v>
      </c>
      <c r="V313" s="2">
        <v>0</v>
      </c>
      <c r="W313" s="2" t="s">
        <v>68</v>
      </c>
      <c r="X313" s="2">
        <v>19</v>
      </c>
      <c r="Y313" s="2"/>
      <c r="Z313" s="2">
        <v>44</v>
      </c>
      <c r="AA313" s="2" t="s">
        <v>39</v>
      </c>
      <c r="AB313" s="2">
        <v>75</v>
      </c>
      <c r="AC313" s="2">
        <v>0</v>
      </c>
      <c r="AD313" s="2">
        <v>0</v>
      </c>
      <c r="AE313" s="2" t="s">
        <v>47</v>
      </c>
      <c r="AF313" s="3">
        <v>42356</v>
      </c>
    </row>
    <row r="314" spans="1:32" x14ac:dyDescent="0.25">
      <c r="A314" s="2" t="s">
        <v>41</v>
      </c>
      <c r="B314" s="2">
        <v>1</v>
      </c>
      <c r="C314" s="2">
        <v>395</v>
      </c>
      <c r="D314" s="2">
        <v>2016</v>
      </c>
      <c r="E314" s="2" t="s">
        <v>52</v>
      </c>
      <c r="F314" s="2">
        <v>13</v>
      </c>
      <c r="G314" s="2">
        <v>21</v>
      </c>
      <c r="H314" s="2">
        <v>1</v>
      </c>
      <c r="I314" s="2">
        <v>2</v>
      </c>
      <c r="J314" s="2">
        <v>2</v>
      </c>
      <c r="K314" s="2">
        <v>0</v>
      </c>
      <c r="L314" s="2">
        <v>0</v>
      </c>
      <c r="M314" s="2" t="s">
        <v>34</v>
      </c>
      <c r="N314" s="2" t="s">
        <v>43</v>
      </c>
      <c r="O314" s="2" t="s">
        <v>64</v>
      </c>
      <c r="P314" s="2" t="s">
        <v>45</v>
      </c>
      <c r="Q314" s="2">
        <v>0</v>
      </c>
      <c r="R314" s="2">
        <v>1</v>
      </c>
      <c r="S314" s="2">
        <v>0</v>
      </c>
      <c r="T314" s="2" t="s">
        <v>46</v>
      </c>
      <c r="U314" s="2" t="s">
        <v>46</v>
      </c>
      <c r="V314" s="2">
        <v>0</v>
      </c>
      <c r="W314" s="2" t="s">
        <v>68</v>
      </c>
      <c r="X314" s="2">
        <v>1</v>
      </c>
      <c r="Y314" s="2"/>
      <c r="Z314" s="2">
        <v>0</v>
      </c>
      <c r="AA314" s="2" t="s">
        <v>39</v>
      </c>
      <c r="AB314" s="2">
        <v>62.8</v>
      </c>
      <c r="AC314" s="2">
        <v>0</v>
      </c>
      <c r="AD314" s="2">
        <v>0</v>
      </c>
      <c r="AE314" s="2" t="s">
        <v>47</v>
      </c>
      <c r="AF314" s="3">
        <v>42226</v>
      </c>
    </row>
    <row r="315" spans="1:32" x14ac:dyDescent="0.25">
      <c r="A315" s="2" t="s">
        <v>41</v>
      </c>
      <c r="B315" s="2">
        <v>1</v>
      </c>
      <c r="C315" s="2">
        <v>391</v>
      </c>
      <c r="D315" s="2">
        <v>2016</v>
      </c>
      <c r="E315" s="2" t="s">
        <v>67</v>
      </c>
      <c r="F315" s="2">
        <v>32</v>
      </c>
      <c r="G315" s="2">
        <v>4</v>
      </c>
      <c r="H315" s="2">
        <v>0</v>
      </c>
      <c r="I315" s="2">
        <v>1</v>
      </c>
      <c r="J315" s="2">
        <v>1</v>
      </c>
      <c r="K315" s="2">
        <v>0</v>
      </c>
      <c r="L315" s="2">
        <v>0</v>
      </c>
      <c r="M315" s="2" t="s">
        <v>34</v>
      </c>
      <c r="N315" s="2" t="s">
        <v>43</v>
      </c>
      <c r="O315" s="2" t="s">
        <v>64</v>
      </c>
      <c r="P315" s="2" t="s">
        <v>45</v>
      </c>
      <c r="Q315" s="2">
        <v>0</v>
      </c>
      <c r="R315" s="2">
        <v>0</v>
      </c>
      <c r="S315" s="2">
        <v>0</v>
      </c>
      <c r="T315" s="2" t="s">
        <v>46</v>
      </c>
      <c r="U315" s="2" t="s">
        <v>46</v>
      </c>
      <c r="V315" s="2">
        <v>0</v>
      </c>
      <c r="W315" s="2" t="s">
        <v>68</v>
      </c>
      <c r="X315" s="2">
        <v>1</v>
      </c>
      <c r="Y315" s="2"/>
      <c r="Z315" s="2">
        <v>0</v>
      </c>
      <c r="AA315" s="2" t="s">
        <v>39</v>
      </c>
      <c r="AB315" s="2">
        <v>59</v>
      </c>
      <c r="AC315" s="2">
        <v>0</v>
      </c>
      <c r="AD315" s="2">
        <v>0</v>
      </c>
      <c r="AE315" s="2" t="s">
        <v>47</v>
      </c>
      <c r="AF315" s="3">
        <v>42298</v>
      </c>
    </row>
    <row r="316" spans="1:32" x14ac:dyDescent="0.25">
      <c r="A316" s="2" t="s">
        <v>41</v>
      </c>
      <c r="B316" s="2">
        <v>1</v>
      </c>
      <c r="C316" s="2">
        <v>277</v>
      </c>
      <c r="D316" s="2">
        <v>2016</v>
      </c>
      <c r="E316" s="2" t="s">
        <v>61</v>
      </c>
      <c r="F316" s="2">
        <v>46</v>
      </c>
      <c r="G316" s="2">
        <v>7</v>
      </c>
      <c r="H316" s="2">
        <v>1</v>
      </c>
      <c r="I316" s="2">
        <v>2</v>
      </c>
      <c r="J316" s="2">
        <v>2</v>
      </c>
      <c r="K316" s="2">
        <v>0</v>
      </c>
      <c r="L316" s="2">
        <v>0</v>
      </c>
      <c r="M316" s="2" t="s">
        <v>34</v>
      </c>
      <c r="N316" s="2" t="s">
        <v>43</v>
      </c>
      <c r="O316" s="2" t="s">
        <v>64</v>
      </c>
      <c r="P316" s="2" t="s">
        <v>45</v>
      </c>
      <c r="Q316" s="2">
        <v>0</v>
      </c>
      <c r="R316" s="2">
        <v>0</v>
      </c>
      <c r="S316" s="2">
        <v>0</v>
      </c>
      <c r="T316" s="2" t="s">
        <v>46</v>
      </c>
      <c r="U316" s="2" t="s">
        <v>46</v>
      </c>
      <c r="V316" s="2">
        <v>0</v>
      </c>
      <c r="W316" s="2" t="s">
        <v>68</v>
      </c>
      <c r="X316" s="2"/>
      <c r="Y316" s="2"/>
      <c r="Z316" s="2">
        <v>0</v>
      </c>
      <c r="AA316" s="2" t="s">
        <v>39</v>
      </c>
      <c r="AB316" s="2">
        <v>100</v>
      </c>
      <c r="AC316" s="2">
        <v>0</v>
      </c>
      <c r="AD316" s="2">
        <v>0</v>
      </c>
      <c r="AE316" s="2" t="s">
        <v>47</v>
      </c>
      <c r="AF316" s="3">
        <v>42464</v>
      </c>
    </row>
    <row r="317" spans="1:32" x14ac:dyDescent="0.25">
      <c r="A317" s="2" t="s">
        <v>41</v>
      </c>
      <c r="B317" s="2">
        <v>0</v>
      </c>
      <c r="C317" s="2">
        <v>158</v>
      </c>
      <c r="D317" s="2">
        <v>2016</v>
      </c>
      <c r="E317" s="2" t="s">
        <v>69</v>
      </c>
      <c r="F317" s="2">
        <v>22</v>
      </c>
      <c r="G317" s="2">
        <v>25</v>
      </c>
      <c r="H317" s="2">
        <v>0</v>
      </c>
      <c r="I317" s="2">
        <v>4</v>
      </c>
      <c r="J317" s="2">
        <v>2</v>
      </c>
      <c r="K317" s="2">
        <v>1</v>
      </c>
      <c r="L317" s="2">
        <v>0</v>
      </c>
      <c r="M317" s="2" t="s">
        <v>34</v>
      </c>
      <c r="N317" s="2" t="s">
        <v>82</v>
      </c>
      <c r="O317" s="2" t="s">
        <v>44</v>
      </c>
      <c r="P317" s="2" t="s">
        <v>45</v>
      </c>
      <c r="Q317" s="2">
        <v>0</v>
      </c>
      <c r="R317" s="2">
        <v>0</v>
      </c>
      <c r="S317" s="2">
        <v>0</v>
      </c>
      <c r="T317" s="2" t="s">
        <v>46</v>
      </c>
      <c r="U317" s="2" t="s">
        <v>57</v>
      </c>
      <c r="V317" s="2">
        <v>13</v>
      </c>
      <c r="W317" s="2" t="s">
        <v>38</v>
      </c>
      <c r="X317" s="2">
        <v>9</v>
      </c>
      <c r="Y317" s="2"/>
      <c r="Z317" s="2">
        <v>0</v>
      </c>
      <c r="AA317" s="2" t="s">
        <v>39</v>
      </c>
      <c r="AB317" s="2">
        <v>114.75</v>
      </c>
      <c r="AC317" s="2">
        <v>0</v>
      </c>
      <c r="AD317" s="2">
        <v>1</v>
      </c>
      <c r="AE317" s="2" t="s">
        <v>40</v>
      </c>
      <c r="AF317" s="3">
        <v>42519</v>
      </c>
    </row>
    <row r="318" spans="1:32" x14ac:dyDescent="0.25">
      <c r="A318" s="2" t="s">
        <v>32</v>
      </c>
      <c r="B318" s="2">
        <v>1</v>
      </c>
      <c r="C318" s="2">
        <v>50</v>
      </c>
      <c r="D318" s="2">
        <v>2016</v>
      </c>
      <c r="E318" s="2" t="s">
        <v>59</v>
      </c>
      <c r="F318" s="2">
        <v>44</v>
      </c>
      <c r="G318" s="2">
        <v>29</v>
      </c>
      <c r="H318" s="2">
        <v>0</v>
      </c>
      <c r="I318" s="2">
        <v>1</v>
      </c>
      <c r="J318" s="2">
        <v>2</v>
      </c>
      <c r="K318" s="2">
        <v>0</v>
      </c>
      <c r="L318" s="2">
        <v>0</v>
      </c>
      <c r="M318" s="2" t="s">
        <v>34</v>
      </c>
      <c r="N318" s="2" t="s">
        <v>63</v>
      </c>
      <c r="O318" s="2" t="s">
        <v>44</v>
      </c>
      <c r="P318" s="2" t="s">
        <v>45</v>
      </c>
      <c r="Q318" s="2">
        <v>0</v>
      </c>
      <c r="R318" s="2">
        <v>0</v>
      </c>
      <c r="S318" s="2">
        <v>0</v>
      </c>
      <c r="T318" s="2" t="s">
        <v>72</v>
      </c>
      <c r="U318" s="2" t="s">
        <v>72</v>
      </c>
      <c r="V318" s="2">
        <v>0</v>
      </c>
      <c r="W318" s="2" t="s">
        <v>38</v>
      </c>
      <c r="X318" s="2">
        <v>240</v>
      </c>
      <c r="Y318" s="2"/>
      <c r="Z318" s="2">
        <v>0</v>
      </c>
      <c r="AA318" s="2" t="s">
        <v>39</v>
      </c>
      <c r="AB318" s="2">
        <v>88</v>
      </c>
      <c r="AC318" s="2">
        <v>0</v>
      </c>
      <c r="AD318" s="2">
        <v>1</v>
      </c>
      <c r="AE318" s="2" t="s">
        <v>47</v>
      </c>
      <c r="AF318" s="3">
        <v>42662</v>
      </c>
    </row>
    <row r="319" spans="1:32" x14ac:dyDescent="0.25">
      <c r="A319" s="2" t="s">
        <v>41</v>
      </c>
      <c r="B319" s="2">
        <v>0</v>
      </c>
      <c r="C319" s="2">
        <v>0</v>
      </c>
      <c r="D319" s="2">
        <v>2016</v>
      </c>
      <c r="E319" s="2" t="s">
        <v>54</v>
      </c>
      <c r="F319" s="2">
        <v>18</v>
      </c>
      <c r="G319" s="2">
        <v>28</v>
      </c>
      <c r="H319" s="2">
        <v>0</v>
      </c>
      <c r="I319" s="2">
        <v>1</v>
      </c>
      <c r="J319" s="2">
        <v>1</v>
      </c>
      <c r="K319" s="2">
        <v>0</v>
      </c>
      <c r="L319" s="2">
        <v>0</v>
      </c>
      <c r="M319" s="2" t="s">
        <v>34</v>
      </c>
      <c r="N319" s="2" t="s">
        <v>35</v>
      </c>
      <c r="O319" s="2" t="s">
        <v>49</v>
      </c>
      <c r="P319" s="2" t="s">
        <v>45</v>
      </c>
      <c r="Q319" s="2">
        <v>0</v>
      </c>
      <c r="R319" s="2">
        <v>0</v>
      </c>
      <c r="S319" s="2">
        <v>0</v>
      </c>
      <c r="T319" s="2" t="s">
        <v>46</v>
      </c>
      <c r="U319" s="2" t="s">
        <v>72</v>
      </c>
      <c r="V319" s="2">
        <v>0</v>
      </c>
      <c r="W319" s="2" t="s">
        <v>38</v>
      </c>
      <c r="X319" s="2">
        <v>94</v>
      </c>
      <c r="Y319" s="2"/>
      <c r="Z319" s="2">
        <v>0</v>
      </c>
      <c r="AA319" s="2" t="s">
        <v>51</v>
      </c>
      <c r="AB319" s="2">
        <v>45</v>
      </c>
      <c r="AC319" s="2">
        <v>0</v>
      </c>
      <c r="AD319" s="2">
        <v>2</v>
      </c>
      <c r="AE319" s="2" t="s">
        <v>40</v>
      </c>
      <c r="AF319" s="3">
        <v>42489</v>
      </c>
    </row>
    <row r="320" spans="1:32" x14ac:dyDescent="0.25">
      <c r="A320" s="2" t="s">
        <v>41</v>
      </c>
      <c r="B320" s="2">
        <v>1</v>
      </c>
      <c r="C320" s="2">
        <v>316</v>
      </c>
      <c r="D320" s="2">
        <v>2016</v>
      </c>
      <c r="E320" s="2" t="s">
        <v>69</v>
      </c>
      <c r="F320" s="2">
        <v>21</v>
      </c>
      <c r="G320" s="2">
        <v>19</v>
      </c>
      <c r="H320" s="2">
        <v>0</v>
      </c>
      <c r="I320" s="2">
        <v>2</v>
      </c>
      <c r="J320" s="2">
        <v>2</v>
      </c>
      <c r="K320" s="2">
        <v>0</v>
      </c>
      <c r="L320" s="2">
        <v>0</v>
      </c>
      <c r="M320" s="2" t="s">
        <v>34</v>
      </c>
      <c r="N320" s="2" t="s">
        <v>43</v>
      </c>
      <c r="O320" s="2" t="s">
        <v>64</v>
      </c>
      <c r="P320" s="2" t="s">
        <v>45</v>
      </c>
      <c r="Q320" s="2">
        <v>0</v>
      </c>
      <c r="R320" s="2">
        <v>0</v>
      </c>
      <c r="S320" s="2">
        <v>0</v>
      </c>
      <c r="T320" s="2" t="s">
        <v>46</v>
      </c>
      <c r="U320" s="2" t="s">
        <v>46</v>
      </c>
      <c r="V320" s="2">
        <v>0</v>
      </c>
      <c r="W320" s="2" t="s">
        <v>68</v>
      </c>
      <c r="X320" s="2">
        <v>1</v>
      </c>
      <c r="Y320" s="2"/>
      <c r="Z320" s="2">
        <v>0</v>
      </c>
      <c r="AA320" s="2" t="s">
        <v>39</v>
      </c>
      <c r="AB320" s="2">
        <v>62</v>
      </c>
      <c r="AC320" s="2">
        <v>0</v>
      </c>
      <c r="AD320" s="2">
        <v>0</v>
      </c>
      <c r="AE320" s="2" t="s">
        <v>47</v>
      </c>
      <c r="AF320" s="3">
        <v>42299</v>
      </c>
    </row>
    <row r="321" spans="1:32" x14ac:dyDescent="0.25">
      <c r="A321" s="2" t="s">
        <v>32</v>
      </c>
      <c r="B321" s="2">
        <v>1</v>
      </c>
      <c r="C321" s="2">
        <v>219</v>
      </c>
      <c r="D321" s="2">
        <v>2016</v>
      </c>
      <c r="E321" s="2" t="s">
        <v>52</v>
      </c>
      <c r="F321" s="2">
        <v>10</v>
      </c>
      <c r="G321" s="2">
        <v>2</v>
      </c>
      <c r="H321" s="2">
        <v>2</v>
      </c>
      <c r="I321" s="2">
        <v>5</v>
      </c>
      <c r="J321" s="2">
        <v>2</v>
      </c>
      <c r="K321" s="2">
        <v>0</v>
      </c>
      <c r="L321" s="2">
        <v>0</v>
      </c>
      <c r="M321" s="2" t="s">
        <v>60</v>
      </c>
      <c r="N321" s="2" t="s">
        <v>43</v>
      </c>
      <c r="O321" s="2" t="s">
        <v>49</v>
      </c>
      <c r="P321" s="2" t="s">
        <v>45</v>
      </c>
      <c r="Q321" s="2">
        <v>0</v>
      </c>
      <c r="R321" s="2">
        <v>0</v>
      </c>
      <c r="S321" s="2">
        <v>0</v>
      </c>
      <c r="T321" s="2" t="s">
        <v>46</v>
      </c>
      <c r="U321" s="2" t="s">
        <v>46</v>
      </c>
      <c r="V321" s="2">
        <v>0</v>
      </c>
      <c r="W321" s="2" t="s">
        <v>68</v>
      </c>
      <c r="X321" s="2">
        <v>310</v>
      </c>
      <c r="Y321" s="2"/>
      <c r="Z321" s="2">
        <v>0</v>
      </c>
      <c r="AA321" s="2" t="s">
        <v>39</v>
      </c>
      <c r="AB321" s="2">
        <v>52</v>
      </c>
      <c r="AC321" s="2">
        <v>0</v>
      </c>
      <c r="AD321" s="2">
        <v>0</v>
      </c>
      <c r="AE321" s="2" t="s">
        <v>47</v>
      </c>
      <c r="AF321" s="3">
        <v>42328</v>
      </c>
    </row>
    <row r="322" spans="1:32" x14ac:dyDescent="0.25">
      <c r="A322" s="2" t="s">
        <v>41</v>
      </c>
      <c r="B322" s="2">
        <v>1</v>
      </c>
      <c r="C322" s="2">
        <v>288</v>
      </c>
      <c r="D322" s="2">
        <v>2016</v>
      </c>
      <c r="E322" s="2" t="s">
        <v>69</v>
      </c>
      <c r="F322" s="2">
        <v>19</v>
      </c>
      <c r="G322" s="2">
        <v>5</v>
      </c>
      <c r="H322" s="2">
        <v>0</v>
      </c>
      <c r="I322" s="2">
        <v>3</v>
      </c>
      <c r="J322" s="2">
        <v>2</v>
      </c>
      <c r="K322" s="2">
        <v>0</v>
      </c>
      <c r="L322" s="2">
        <v>0</v>
      </c>
      <c r="M322" s="2" t="s">
        <v>34</v>
      </c>
      <c r="N322" s="2" t="s">
        <v>43</v>
      </c>
      <c r="O322" s="2" t="s">
        <v>64</v>
      </c>
      <c r="P322" s="2" t="s">
        <v>45</v>
      </c>
      <c r="Q322" s="2">
        <v>0</v>
      </c>
      <c r="R322" s="2">
        <v>0</v>
      </c>
      <c r="S322" s="2">
        <v>0</v>
      </c>
      <c r="T322" s="2" t="s">
        <v>46</v>
      </c>
      <c r="U322" s="2" t="s">
        <v>46</v>
      </c>
      <c r="V322" s="2">
        <v>0</v>
      </c>
      <c r="W322" s="2" t="s">
        <v>38</v>
      </c>
      <c r="X322" s="2">
        <v>1</v>
      </c>
      <c r="Y322" s="2"/>
      <c r="Z322" s="2">
        <v>236</v>
      </c>
      <c r="AA322" s="2" t="s">
        <v>51</v>
      </c>
      <c r="AB322" s="2">
        <v>65</v>
      </c>
      <c r="AC322" s="2">
        <v>0</v>
      </c>
      <c r="AD322" s="2">
        <v>0</v>
      </c>
      <c r="AE322" s="2" t="s">
        <v>47</v>
      </c>
      <c r="AF322" s="3">
        <v>42443</v>
      </c>
    </row>
    <row r="323" spans="1:32" x14ac:dyDescent="0.25">
      <c r="A323" s="2" t="s">
        <v>32</v>
      </c>
      <c r="B323" s="2">
        <v>0</v>
      </c>
      <c r="C323" s="2">
        <v>162</v>
      </c>
      <c r="D323" s="2">
        <v>2016</v>
      </c>
      <c r="E323" s="2" t="s">
        <v>52</v>
      </c>
      <c r="F323" s="2">
        <v>13</v>
      </c>
      <c r="G323" s="2">
        <v>24</v>
      </c>
      <c r="H323" s="2">
        <v>0</v>
      </c>
      <c r="I323" s="2">
        <v>3</v>
      </c>
      <c r="J323" s="2">
        <v>2</v>
      </c>
      <c r="K323" s="2">
        <v>0</v>
      </c>
      <c r="L323" s="2">
        <v>0</v>
      </c>
      <c r="M323" s="2" t="s">
        <v>77</v>
      </c>
      <c r="N323" s="2" t="s">
        <v>63</v>
      </c>
      <c r="O323" s="2" t="s">
        <v>64</v>
      </c>
      <c r="P323" s="2" t="s">
        <v>45</v>
      </c>
      <c r="Q323" s="2">
        <v>0</v>
      </c>
      <c r="R323" s="2">
        <v>0</v>
      </c>
      <c r="S323" s="2">
        <v>0</v>
      </c>
      <c r="T323" s="2" t="s">
        <v>46</v>
      </c>
      <c r="U323" s="2" t="s">
        <v>46</v>
      </c>
      <c r="V323" s="2">
        <v>0</v>
      </c>
      <c r="W323" s="2" t="s">
        <v>38</v>
      </c>
      <c r="X323" s="2"/>
      <c r="Y323" s="2"/>
      <c r="Z323" s="2">
        <v>0</v>
      </c>
      <c r="AA323" s="2" t="s">
        <v>51</v>
      </c>
      <c r="AB323" s="2">
        <v>84</v>
      </c>
      <c r="AC323" s="2">
        <v>0</v>
      </c>
      <c r="AD323" s="2">
        <v>0</v>
      </c>
      <c r="AE323" s="2" t="s">
        <v>40</v>
      </c>
      <c r="AF323" s="3">
        <v>42456</v>
      </c>
    </row>
    <row r="324" spans="1:32" x14ac:dyDescent="0.25">
      <c r="A324" s="2" t="s">
        <v>41</v>
      </c>
      <c r="B324" s="2">
        <v>0</v>
      </c>
      <c r="C324" s="2">
        <v>97</v>
      </c>
      <c r="D324" s="2">
        <v>2016</v>
      </c>
      <c r="E324" s="2" t="s">
        <v>67</v>
      </c>
      <c r="F324" s="2">
        <v>32</v>
      </c>
      <c r="G324" s="2">
        <v>5</v>
      </c>
      <c r="H324" s="2">
        <v>1</v>
      </c>
      <c r="I324" s="2">
        <v>2</v>
      </c>
      <c r="J324" s="2">
        <v>3</v>
      </c>
      <c r="K324" s="2">
        <v>0</v>
      </c>
      <c r="L324" s="2">
        <v>0</v>
      </c>
      <c r="M324" s="2" t="s">
        <v>34</v>
      </c>
      <c r="N324" s="2" t="s">
        <v>95</v>
      </c>
      <c r="O324" s="2" t="s">
        <v>44</v>
      </c>
      <c r="P324" s="2" t="s">
        <v>45</v>
      </c>
      <c r="Q324" s="2">
        <v>0</v>
      </c>
      <c r="R324" s="2">
        <v>0</v>
      </c>
      <c r="S324" s="2">
        <v>0</v>
      </c>
      <c r="T324" s="2" t="s">
        <v>57</v>
      </c>
      <c r="U324" s="2" t="s">
        <v>57</v>
      </c>
      <c r="V324" s="2">
        <v>0</v>
      </c>
      <c r="W324" s="2" t="s">
        <v>38</v>
      </c>
      <c r="X324" s="2">
        <v>9</v>
      </c>
      <c r="Y324" s="2"/>
      <c r="Z324" s="2">
        <v>0</v>
      </c>
      <c r="AA324" s="2" t="s">
        <v>39</v>
      </c>
      <c r="AB324" s="2">
        <v>150.30000000000001</v>
      </c>
      <c r="AC324" s="2">
        <v>0</v>
      </c>
      <c r="AD324" s="2">
        <v>1</v>
      </c>
      <c r="AE324" s="2" t="s">
        <v>40</v>
      </c>
      <c r="AF324" s="3">
        <v>42590</v>
      </c>
    </row>
    <row r="325" spans="1:32" x14ac:dyDescent="0.25">
      <c r="A325" s="2" t="s">
        <v>41</v>
      </c>
      <c r="B325" s="2">
        <v>0</v>
      </c>
      <c r="C325" s="2">
        <v>214</v>
      </c>
      <c r="D325" s="2">
        <v>2016</v>
      </c>
      <c r="E325" s="2" t="s">
        <v>61</v>
      </c>
      <c r="F325" s="2">
        <v>48</v>
      </c>
      <c r="G325" s="2">
        <v>20</v>
      </c>
      <c r="H325" s="2">
        <v>2</v>
      </c>
      <c r="I325" s="2">
        <v>1</v>
      </c>
      <c r="J325" s="2">
        <v>1</v>
      </c>
      <c r="K325" s="2">
        <v>0</v>
      </c>
      <c r="L325" s="2">
        <v>0</v>
      </c>
      <c r="M325" s="2" t="s">
        <v>34</v>
      </c>
      <c r="N325" s="2" t="s">
        <v>63</v>
      </c>
      <c r="O325" s="2" t="s">
        <v>64</v>
      </c>
      <c r="P325" s="2" t="s">
        <v>76</v>
      </c>
      <c r="Q325" s="2">
        <v>0</v>
      </c>
      <c r="R325" s="2">
        <v>0</v>
      </c>
      <c r="S325" s="2">
        <v>0</v>
      </c>
      <c r="T325" s="2" t="s">
        <v>46</v>
      </c>
      <c r="U325" s="2" t="s">
        <v>57</v>
      </c>
      <c r="V325" s="2">
        <v>2</v>
      </c>
      <c r="W325" s="2" t="s">
        <v>38</v>
      </c>
      <c r="X325" s="2"/>
      <c r="Y325" s="2">
        <v>233</v>
      </c>
      <c r="Z325" s="2">
        <v>0</v>
      </c>
      <c r="AA325" s="2" t="s">
        <v>39</v>
      </c>
      <c r="AB325" s="2">
        <v>75</v>
      </c>
      <c r="AC325" s="2">
        <v>0</v>
      </c>
      <c r="AD325" s="2">
        <v>0</v>
      </c>
      <c r="AE325" s="2" t="s">
        <v>40</v>
      </c>
      <c r="AF325" s="3">
        <v>42697</v>
      </c>
    </row>
    <row r="326" spans="1:32" x14ac:dyDescent="0.25">
      <c r="A326" s="2" t="s">
        <v>41</v>
      </c>
      <c r="B326" s="2">
        <v>0</v>
      </c>
      <c r="C326" s="2">
        <v>1</v>
      </c>
      <c r="D326" s="2">
        <v>2016</v>
      </c>
      <c r="E326" s="2" t="s">
        <v>33</v>
      </c>
      <c r="F326" s="2">
        <v>53</v>
      </c>
      <c r="G326" s="2">
        <v>29</v>
      </c>
      <c r="H326" s="2">
        <v>0</v>
      </c>
      <c r="I326" s="2">
        <v>2</v>
      </c>
      <c r="J326" s="2">
        <v>2</v>
      </c>
      <c r="K326" s="2">
        <v>0</v>
      </c>
      <c r="L326" s="2">
        <v>0</v>
      </c>
      <c r="M326" s="2" t="s">
        <v>55</v>
      </c>
      <c r="N326" s="2" t="s">
        <v>71</v>
      </c>
      <c r="O326" s="2" t="s">
        <v>44</v>
      </c>
      <c r="P326" s="2" t="s">
        <v>45</v>
      </c>
      <c r="Q326" s="2">
        <v>0</v>
      </c>
      <c r="R326" s="2">
        <v>0</v>
      </c>
      <c r="S326" s="2">
        <v>0</v>
      </c>
      <c r="T326" s="2" t="s">
        <v>46</v>
      </c>
      <c r="U326" s="2" t="s">
        <v>46</v>
      </c>
      <c r="V326" s="2">
        <v>1</v>
      </c>
      <c r="W326" s="2" t="s">
        <v>38</v>
      </c>
      <c r="X326" s="2">
        <v>9</v>
      </c>
      <c r="Y326" s="2"/>
      <c r="Z326" s="2">
        <v>0</v>
      </c>
      <c r="AA326" s="2" t="s">
        <v>39</v>
      </c>
      <c r="AB326" s="2">
        <v>120</v>
      </c>
      <c r="AC326" s="2">
        <v>0</v>
      </c>
      <c r="AD326" s="2">
        <v>1</v>
      </c>
      <c r="AE326" s="2" t="s">
        <v>40</v>
      </c>
      <c r="AF326" s="3">
        <v>42735</v>
      </c>
    </row>
    <row r="327" spans="1:32" x14ac:dyDescent="0.25">
      <c r="A327" s="2" t="s">
        <v>41</v>
      </c>
      <c r="B327" s="2">
        <v>0</v>
      </c>
      <c r="C327" s="2">
        <v>142</v>
      </c>
      <c r="D327" s="2">
        <v>2016</v>
      </c>
      <c r="E327" s="2" t="s">
        <v>69</v>
      </c>
      <c r="F327" s="2">
        <v>19</v>
      </c>
      <c r="G327" s="2">
        <v>6</v>
      </c>
      <c r="H327" s="2">
        <v>1</v>
      </c>
      <c r="I327" s="2">
        <v>2</v>
      </c>
      <c r="J327" s="2">
        <v>2</v>
      </c>
      <c r="K327" s="2">
        <v>0</v>
      </c>
      <c r="L327" s="2">
        <v>0</v>
      </c>
      <c r="M327" s="2" t="s">
        <v>34</v>
      </c>
      <c r="N327" s="2" t="s">
        <v>70</v>
      </c>
      <c r="O327" s="2" t="s">
        <v>44</v>
      </c>
      <c r="P327" s="2" t="s">
        <v>45</v>
      </c>
      <c r="Q327" s="2">
        <v>0</v>
      </c>
      <c r="R327" s="2">
        <v>0</v>
      </c>
      <c r="S327" s="2">
        <v>0</v>
      </c>
      <c r="T327" s="2" t="s">
        <v>57</v>
      </c>
      <c r="U327" s="2" t="s">
        <v>57</v>
      </c>
      <c r="V327" s="2">
        <v>0</v>
      </c>
      <c r="W327" s="2" t="s">
        <v>38</v>
      </c>
      <c r="X327" s="2">
        <v>9</v>
      </c>
      <c r="Y327" s="2"/>
      <c r="Z327" s="2">
        <v>0</v>
      </c>
      <c r="AA327" s="2" t="s">
        <v>39</v>
      </c>
      <c r="AB327" s="2">
        <v>114.3</v>
      </c>
      <c r="AC327" s="2">
        <v>0</v>
      </c>
      <c r="AD327" s="2">
        <v>0</v>
      </c>
      <c r="AE327" s="2" t="s">
        <v>40</v>
      </c>
      <c r="AF327" s="3">
        <v>42499</v>
      </c>
    </row>
    <row r="328" spans="1:32" x14ac:dyDescent="0.25">
      <c r="A328" s="2" t="s">
        <v>41</v>
      </c>
      <c r="B328" s="2">
        <v>1</v>
      </c>
      <c r="C328" s="2">
        <v>211</v>
      </c>
      <c r="D328" s="2">
        <v>2016</v>
      </c>
      <c r="E328" s="2" t="s">
        <v>69</v>
      </c>
      <c r="F328" s="2">
        <v>21</v>
      </c>
      <c r="G328" s="2">
        <v>20</v>
      </c>
      <c r="H328" s="2">
        <v>0</v>
      </c>
      <c r="I328" s="2">
        <v>2</v>
      </c>
      <c r="J328" s="2">
        <v>2</v>
      </c>
      <c r="K328" s="2">
        <v>0</v>
      </c>
      <c r="L328" s="2">
        <v>0</v>
      </c>
      <c r="M328" s="2" t="s">
        <v>34</v>
      </c>
      <c r="N328" s="2" t="s">
        <v>43</v>
      </c>
      <c r="O328" s="2" t="s">
        <v>49</v>
      </c>
      <c r="P328" s="2" t="s">
        <v>45</v>
      </c>
      <c r="Q328" s="2">
        <v>0</v>
      </c>
      <c r="R328" s="2">
        <v>0</v>
      </c>
      <c r="S328" s="2">
        <v>0</v>
      </c>
      <c r="T328" s="2" t="s">
        <v>46</v>
      </c>
      <c r="U328" s="2" t="s">
        <v>46</v>
      </c>
      <c r="V328" s="2">
        <v>0</v>
      </c>
      <c r="W328" s="2" t="s">
        <v>68</v>
      </c>
      <c r="X328" s="2">
        <v>6</v>
      </c>
      <c r="Y328" s="2"/>
      <c r="Z328" s="2">
        <v>111</v>
      </c>
      <c r="AA328" s="2" t="s">
        <v>39</v>
      </c>
      <c r="AB328" s="2">
        <v>100</v>
      </c>
      <c r="AC328" s="2">
        <v>0</v>
      </c>
      <c r="AD328" s="2">
        <v>0</v>
      </c>
      <c r="AE328" s="2" t="s">
        <v>47</v>
      </c>
      <c r="AF328" s="3">
        <v>42447</v>
      </c>
    </row>
    <row r="329" spans="1:32" x14ac:dyDescent="0.25">
      <c r="A329" s="2" t="s">
        <v>32</v>
      </c>
      <c r="B329" s="2">
        <v>1</v>
      </c>
      <c r="C329" s="2">
        <v>198</v>
      </c>
      <c r="D329" s="2">
        <v>2016</v>
      </c>
      <c r="E329" s="2" t="s">
        <v>59</v>
      </c>
      <c r="F329" s="2">
        <v>42</v>
      </c>
      <c r="G329" s="2">
        <v>15</v>
      </c>
      <c r="H329" s="2">
        <v>2</v>
      </c>
      <c r="I329" s="2">
        <v>5</v>
      </c>
      <c r="J329" s="2">
        <v>2</v>
      </c>
      <c r="K329" s="2">
        <v>0</v>
      </c>
      <c r="L329" s="2">
        <v>0</v>
      </c>
      <c r="M329" s="2" t="s">
        <v>34</v>
      </c>
      <c r="N329" s="2" t="s">
        <v>82</v>
      </c>
      <c r="O329" s="2" t="s">
        <v>44</v>
      </c>
      <c r="P329" s="2" t="s">
        <v>45</v>
      </c>
      <c r="Q329" s="2">
        <v>0</v>
      </c>
      <c r="R329" s="2">
        <v>0</v>
      </c>
      <c r="S329" s="2">
        <v>0</v>
      </c>
      <c r="T329" s="2" t="s">
        <v>57</v>
      </c>
      <c r="U329" s="2" t="s">
        <v>57</v>
      </c>
      <c r="V329" s="2">
        <v>1</v>
      </c>
      <c r="W329" s="2" t="s">
        <v>38</v>
      </c>
      <c r="X329" s="2">
        <v>240</v>
      </c>
      <c r="Y329" s="2"/>
      <c r="Z329" s="2">
        <v>0</v>
      </c>
      <c r="AA329" s="2" t="s">
        <v>51</v>
      </c>
      <c r="AB329" s="2">
        <v>68</v>
      </c>
      <c r="AC329" s="2">
        <v>0</v>
      </c>
      <c r="AD329" s="2">
        <v>0</v>
      </c>
      <c r="AE329" s="2" t="s">
        <v>47</v>
      </c>
      <c r="AF329" s="3">
        <v>42584</v>
      </c>
    </row>
    <row r="330" spans="1:32" x14ac:dyDescent="0.25">
      <c r="A330" s="2" t="s">
        <v>41</v>
      </c>
      <c r="B330" s="2">
        <v>0</v>
      </c>
      <c r="C330" s="2">
        <v>37</v>
      </c>
      <c r="D330" s="2">
        <v>2016</v>
      </c>
      <c r="E330" s="2" t="s">
        <v>83</v>
      </c>
      <c r="F330" s="2">
        <v>27</v>
      </c>
      <c r="G330" s="2">
        <v>29</v>
      </c>
      <c r="H330" s="2">
        <v>0</v>
      </c>
      <c r="I330" s="2">
        <v>1</v>
      </c>
      <c r="J330" s="2">
        <v>3</v>
      </c>
      <c r="K330" s="2">
        <v>0</v>
      </c>
      <c r="L330" s="2">
        <v>0</v>
      </c>
      <c r="M330" s="2" t="s">
        <v>34</v>
      </c>
      <c r="N330" s="2" t="s">
        <v>35</v>
      </c>
      <c r="O330" s="2" t="s">
        <v>49</v>
      </c>
      <c r="P330" s="2" t="s">
        <v>45</v>
      </c>
      <c r="Q330" s="2">
        <v>0</v>
      </c>
      <c r="R330" s="2">
        <v>0</v>
      </c>
      <c r="S330" s="2">
        <v>0</v>
      </c>
      <c r="T330" s="2" t="s">
        <v>46</v>
      </c>
      <c r="U330" s="2" t="s">
        <v>84</v>
      </c>
      <c r="V330" s="2">
        <v>0</v>
      </c>
      <c r="W330" s="2" t="s">
        <v>38</v>
      </c>
      <c r="X330" s="2">
        <v>22</v>
      </c>
      <c r="Y330" s="2"/>
      <c r="Z330" s="2">
        <v>0</v>
      </c>
      <c r="AA330" s="2" t="s">
        <v>39</v>
      </c>
      <c r="AB330" s="2">
        <v>111.6</v>
      </c>
      <c r="AC330" s="2">
        <v>0</v>
      </c>
      <c r="AD330" s="2">
        <v>1</v>
      </c>
      <c r="AE330" s="2" t="s">
        <v>40</v>
      </c>
      <c r="AF330" s="3">
        <v>42551</v>
      </c>
    </row>
    <row r="331" spans="1:32" x14ac:dyDescent="0.25">
      <c r="A331" s="2" t="s">
        <v>41</v>
      </c>
      <c r="B331" s="2">
        <v>0</v>
      </c>
      <c r="C331" s="2">
        <v>152</v>
      </c>
      <c r="D331" s="2">
        <v>2016</v>
      </c>
      <c r="E331" s="2" t="s">
        <v>42</v>
      </c>
      <c r="F331" s="2">
        <v>29</v>
      </c>
      <c r="G331" s="2">
        <v>11</v>
      </c>
      <c r="H331" s="2">
        <v>1</v>
      </c>
      <c r="I331" s="2">
        <v>1</v>
      </c>
      <c r="J331" s="2">
        <v>2</v>
      </c>
      <c r="K331" s="2">
        <v>0</v>
      </c>
      <c r="L331" s="2">
        <v>0</v>
      </c>
      <c r="M331" s="2" t="s">
        <v>34</v>
      </c>
      <c r="N331" s="2" t="s">
        <v>43</v>
      </c>
      <c r="O331" s="2" t="s">
        <v>44</v>
      </c>
      <c r="P331" s="2" t="s">
        <v>45</v>
      </c>
      <c r="Q331" s="2">
        <v>0</v>
      </c>
      <c r="R331" s="2">
        <v>0</v>
      </c>
      <c r="S331" s="2">
        <v>0</v>
      </c>
      <c r="T331" s="2" t="s">
        <v>46</v>
      </c>
      <c r="U331" s="2" t="s">
        <v>46</v>
      </c>
      <c r="V331" s="2">
        <v>2</v>
      </c>
      <c r="W331" s="2" t="s">
        <v>38</v>
      </c>
      <c r="X331" s="2">
        <v>9</v>
      </c>
      <c r="Y331" s="2"/>
      <c r="Z331" s="2">
        <v>0</v>
      </c>
      <c r="AA331" s="2" t="s">
        <v>51</v>
      </c>
      <c r="AB331" s="2">
        <v>99</v>
      </c>
      <c r="AC331" s="2">
        <v>0</v>
      </c>
      <c r="AD331" s="2">
        <v>2</v>
      </c>
      <c r="AE331" s="2" t="s">
        <v>40</v>
      </c>
      <c r="AF331" s="3">
        <v>42564</v>
      </c>
    </row>
    <row r="332" spans="1:32" x14ac:dyDescent="0.25">
      <c r="A332" s="2" t="s">
        <v>41</v>
      </c>
      <c r="B332" s="2">
        <v>0</v>
      </c>
      <c r="C332" s="2">
        <v>19</v>
      </c>
      <c r="D332" s="2">
        <v>2016</v>
      </c>
      <c r="E332" s="2" t="s">
        <v>66</v>
      </c>
      <c r="F332" s="2">
        <v>7</v>
      </c>
      <c r="G332" s="2">
        <v>13</v>
      </c>
      <c r="H332" s="2">
        <v>0</v>
      </c>
      <c r="I332" s="2">
        <v>1</v>
      </c>
      <c r="J332" s="2">
        <v>2</v>
      </c>
      <c r="K332" s="2">
        <v>0</v>
      </c>
      <c r="L332" s="2">
        <v>0</v>
      </c>
      <c r="M332" s="2" t="s">
        <v>34</v>
      </c>
      <c r="N332" s="2" t="s">
        <v>43</v>
      </c>
      <c r="O332" s="2" t="s">
        <v>36</v>
      </c>
      <c r="P332" s="2" t="s">
        <v>36</v>
      </c>
      <c r="Q332" s="2">
        <v>0</v>
      </c>
      <c r="R332" s="2">
        <v>0</v>
      </c>
      <c r="S332" s="2">
        <v>0</v>
      </c>
      <c r="T332" s="2" t="s">
        <v>57</v>
      </c>
      <c r="U332" s="2" t="s">
        <v>57</v>
      </c>
      <c r="V332" s="2">
        <v>0</v>
      </c>
      <c r="W332" s="2" t="s">
        <v>38</v>
      </c>
      <c r="X332" s="2"/>
      <c r="Y332" s="2"/>
      <c r="Z332" s="2">
        <v>0</v>
      </c>
      <c r="AA332" s="2" t="s">
        <v>39</v>
      </c>
      <c r="AB332" s="2">
        <v>100.5</v>
      </c>
      <c r="AC332" s="2">
        <v>0</v>
      </c>
      <c r="AD332" s="2">
        <v>2</v>
      </c>
      <c r="AE332" s="2" t="s">
        <v>40</v>
      </c>
      <c r="AF332" s="3">
        <v>42414</v>
      </c>
    </row>
    <row r="333" spans="1:32" x14ac:dyDescent="0.25">
      <c r="A333" s="2" t="s">
        <v>41</v>
      </c>
      <c r="B333" s="2">
        <v>0</v>
      </c>
      <c r="C333" s="2">
        <v>107</v>
      </c>
      <c r="D333" s="2">
        <v>2016</v>
      </c>
      <c r="E333" s="2" t="s">
        <v>83</v>
      </c>
      <c r="F333" s="2">
        <v>24</v>
      </c>
      <c r="G333" s="2">
        <v>10</v>
      </c>
      <c r="H333" s="2">
        <v>0</v>
      </c>
      <c r="I333" s="2">
        <v>2</v>
      </c>
      <c r="J333" s="2">
        <v>1</v>
      </c>
      <c r="K333" s="2">
        <v>0</v>
      </c>
      <c r="L333" s="2">
        <v>0</v>
      </c>
      <c r="M333" s="2" t="s">
        <v>34</v>
      </c>
      <c r="N333" s="2" t="s">
        <v>63</v>
      </c>
      <c r="O333" s="2" t="s">
        <v>49</v>
      </c>
      <c r="P333" s="2" t="s">
        <v>45</v>
      </c>
      <c r="Q333" s="2">
        <v>0</v>
      </c>
      <c r="R333" s="2">
        <v>0</v>
      </c>
      <c r="S333" s="2">
        <v>0</v>
      </c>
      <c r="T333" s="2" t="s">
        <v>46</v>
      </c>
      <c r="U333" s="2" t="s">
        <v>46</v>
      </c>
      <c r="V333" s="2">
        <v>1</v>
      </c>
      <c r="W333" s="2" t="s">
        <v>38</v>
      </c>
      <c r="X333" s="2">
        <v>187</v>
      </c>
      <c r="Y333" s="2"/>
      <c r="Z333" s="2">
        <v>0</v>
      </c>
      <c r="AA333" s="2" t="s">
        <v>51</v>
      </c>
      <c r="AB333" s="2">
        <v>120</v>
      </c>
      <c r="AC333" s="2">
        <v>0</v>
      </c>
      <c r="AD333" s="2">
        <v>0</v>
      </c>
      <c r="AE333" s="2" t="s">
        <v>40</v>
      </c>
      <c r="AF333" s="3">
        <v>42533</v>
      </c>
    </row>
    <row r="334" spans="1:32" x14ac:dyDescent="0.25">
      <c r="A334" s="2" t="s">
        <v>41</v>
      </c>
      <c r="B334" s="2">
        <v>1</v>
      </c>
      <c r="C334" s="2">
        <v>16</v>
      </c>
      <c r="D334" s="2">
        <v>2016</v>
      </c>
      <c r="E334" s="2" t="s">
        <v>66</v>
      </c>
      <c r="F334" s="2">
        <v>9</v>
      </c>
      <c r="G334" s="2">
        <v>27</v>
      </c>
      <c r="H334" s="2">
        <v>2</v>
      </c>
      <c r="I334" s="2">
        <v>5</v>
      </c>
      <c r="J334" s="2">
        <v>1</v>
      </c>
      <c r="K334" s="2">
        <v>0</v>
      </c>
      <c r="L334" s="2">
        <v>0</v>
      </c>
      <c r="M334" s="2" t="s">
        <v>34</v>
      </c>
      <c r="N334" s="2" t="s">
        <v>107</v>
      </c>
      <c r="O334" s="2" t="s">
        <v>36</v>
      </c>
      <c r="P334" s="2" t="s">
        <v>36</v>
      </c>
      <c r="Q334" s="2">
        <v>0</v>
      </c>
      <c r="R334" s="2">
        <v>0</v>
      </c>
      <c r="S334" s="2">
        <v>0</v>
      </c>
      <c r="T334" s="2" t="s">
        <v>57</v>
      </c>
      <c r="U334" s="2" t="s">
        <v>57</v>
      </c>
      <c r="V334" s="2">
        <v>0</v>
      </c>
      <c r="W334" s="2" t="s">
        <v>38</v>
      </c>
      <c r="X334" s="2">
        <v>14</v>
      </c>
      <c r="Y334" s="2"/>
      <c r="Z334" s="2">
        <v>0</v>
      </c>
      <c r="AA334" s="2" t="s">
        <v>39</v>
      </c>
      <c r="AB334" s="2">
        <v>101</v>
      </c>
      <c r="AC334" s="2">
        <v>0</v>
      </c>
      <c r="AD334" s="2">
        <v>0</v>
      </c>
      <c r="AE334" s="2" t="s">
        <v>89</v>
      </c>
      <c r="AF334" s="3">
        <v>42427</v>
      </c>
    </row>
    <row r="335" spans="1:32" x14ac:dyDescent="0.25">
      <c r="A335" s="2" t="s">
        <v>41</v>
      </c>
      <c r="B335" s="2">
        <v>1</v>
      </c>
      <c r="C335" s="2">
        <v>281</v>
      </c>
      <c r="D335" s="2">
        <v>2016</v>
      </c>
      <c r="E335" s="2" t="s">
        <v>54</v>
      </c>
      <c r="F335" s="2">
        <v>16</v>
      </c>
      <c r="G335" s="2">
        <v>14</v>
      </c>
      <c r="H335" s="2">
        <v>0</v>
      </c>
      <c r="I335" s="2">
        <v>2</v>
      </c>
      <c r="J335" s="2">
        <v>2</v>
      </c>
      <c r="K335" s="2">
        <v>0</v>
      </c>
      <c r="L335" s="2">
        <v>0</v>
      </c>
      <c r="M335" s="2" t="s">
        <v>34</v>
      </c>
      <c r="N335" s="2" t="s">
        <v>43</v>
      </c>
      <c r="O335" s="2" t="s">
        <v>64</v>
      </c>
      <c r="P335" s="2" t="s">
        <v>45</v>
      </c>
      <c r="Q335" s="2">
        <v>0</v>
      </c>
      <c r="R335" s="2">
        <v>0</v>
      </c>
      <c r="S335" s="2">
        <v>0</v>
      </c>
      <c r="T335" s="2" t="s">
        <v>46</v>
      </c>
      <c r="U335" s="2" t="s">
        <v>46</v>
      </c>
      <c r="V335" s="2">
        <v>0</v>
      </c>
      <c r="W335" s="2" t="s">
        <v>68</v>
      </c>
      <c r="X335" s="2">
        <v>1</v>
      </c>
      <c r="Y335" s="2"/>
      <c r="Z335" s="2">
        <v>0</v>
      </c>
      <c r="AA335" s="2" t="s">
        <v>39</v>
      </c>
      <c r="AB335" s="2">
        <v>62</v>
      </c>
      <c r="AC335" s="2">
        <v>0</v>
      </c>
      <c r="AD335" s="2">
        <v>0</v>
      </c>
      <c r="AE335" s="2" t="s">
        <v>47</v>
      </c>
      <c r="AF335" s="3">
        <v>42298</v>
      </c>
    </row>
    <row r="336" spans="1:32" x14ac:dyDescent="0.25">
      <c r="A336" s="2" t="s">
        <v>32</v>
      </c>
      <c r="B336" s="2">
        <v>0</v>
      </c>
      <c r="C336" s="2">
        <v>4</v>
      </c>
      <c r="D336" s="2">
        <v>2016</v>
      </c>
      <c r="E336" s="2" t="s">
        <v>67</v>
      </c>
      <c r="F336" s="2">
        <v>35</v>
      </c>
      <c r="G336" s="2">
        <v>23</v>
      </c>
      <c r="H336" s="2">
        <v>0</v>
      </c>
      <c r="I336" s="2">
        <v>1</v>
      </c>
      <c r="J336" s="2">
        <v>1</v>
      </c>
      <c r="K336" s="2">
        <v>0</v>
      </c>
      <c r="L336" s="2">
        <v>0</v>
      </c>
      <c r="M336" s="2" t="s">
        <v>34</v>
      </c>
      <c r="N336" s="2" t="s">
        <v>43</v>
      </c>
      <c r="O336" s="2" t="s">
        <v>76</v>
      </c>
      <c r="P336" s="2" t="s">
        <v>76</v>
      </c>
      <c r="Q336" s="2">
        <v>0</v>
      </c>
      <c r="R336" s="2">
        <v>0</v>
      </c>
      <c r="S336" s="2">
        <v>0</v>
      </c>
      <c r="T336" s="2" t="s">
        <v>46</v>
      </c>
      <c r="U336" s="2" t="s">
        <v>57</v>
      </c>
      <c r="V336" s="2">
        <v>0</v>
      </c>
      <c r="W336" s="2" t="s">
        <v>38</v>
      </c>
      <c r="X336" s="2"/>
      <c r="Y336" s="2">
        <v>42</v>
      </c>
      <c r="Z336" s="2">
        <v>0</v>
      </c>
      <c r="AA336" s="2" t="s">
        <v>39</v>
      </c>
      <c r="AB336" s="2">
        <v>138</v>
      </c>
      <c r="AC336" s="2">
        <v>1</v>
      </c>
      <c r="AD336" s="2">
        <v>0</v>
      </c>
      <c r="AE336" s="2" t="s">
        <v>40</v>
      </c>
      <c r="AF336" s="3">
        <v>42606</v>
      </c>
    </row>
    <row r="337" spans="1:32" x14ac:dyDescent="0.25">
      <c r="A337" s="2" t="s">
        <v>32</v>
      </c>
      <c r="B337" s="2">
        <v>0</v>
      </c>
      <c r="C337" s="2">
        <v>240</v>
      </c>
      <c r="D337" s="2">
        <v>2016</v>
      </c>
      <c r="E337" s="2" t="s">
        <v>59</v>
      </c>
      <c r="F337" s="2">
        <v>43</v>
      </c>
      <c r="G337" s="2">
        <v>21</v>
      </c>
      <c r="H337" s="2">
        <v>2</v>
      </c>
      <c r="I337" s="2">
        <v>5</v>
      </c>
      <c r="J337" s="2">
        <v>2</v>
      </c>
      <c r="K337" s="2">
        <v>0</v>
      </c>
      <c r="L337" s="2">
        <v>0</v>
      </c>
      <c r="M337" s="2" t="s">
        <v>60</v>
      </c>
      <c r="N337" s="2" t="s">
        <v>35</v>
      </c>
      <c r="O337" s="2" t="s">
        <v>49</v>
      </c>
      <c r="P337" s="2" t="s">
        <v>45</v>
      </c>
      <c r="Q337" s="2">
        <v>0</v>
      </c>
      <c r="R337" s="2">
        <v>0</v>
      </c>
      <c r="S337" s="2">
        <v>0</v>
      </c>
      <c r="T337" s="2" t="s">
        <v>72</v>
      </c>
      <c r="U337" s="2" t="s">
        <v>72</v>
      </c>
      <c r="V337" s="2">
        <v>0</v>
      </c>
      <c r="W337" s="2" t="s">
        <v>38</v>
      </c>
      <c r="X337" s="2">
        <v>2</v>
      </c>
      <c r="Y337" s="2"/>
      <c r="Z337" s="2">
        <v>0</v>
      </c>
      <c r="AA337" s="2" t="s">
        <v>73</v>
      </c>
      <c r="AB337" s="2">
        <v>84.95</v>
      </c>
      <c r="AC337" s="2">
        <v>1</v>
      </c>
      <c r="AD337" s="2">
        <v>2</v>
      </c>
      <c r="AE337" s="2" t="s">
        <v>40</v>
      </c>
      <c r="AF337" s="3">
        <v>42671</v>
      </c>
    </row>
    <row r="338" spans="1:32" x14ac:dyDescent="0.25">
      <c r="A338" s="2" t="s">
        <v>41</v>
      </c>
      <c r="B338" s="2">
        <v>0</v>
      </c>
      <c r="C338" s="2">
        <v>64</v>
      </c>
      <c r="D338" s="2">
        <v>2016</v>
      </c>
      <c r="E338" s="2" t="s">
        <v>59</v>
      </c>
      <c r="F338" s="2">
        <v>45</v>
      </c>
      <c r="G338" s="2">
        <v>31</v>
      </c>
      <c r="H338" s="2">
        <v>1</v>
      </c>
      <c r="I338" s="2">
        <v>2</v>
      </c>
      <c r="J338" s="2">
        <v>2</v>
      </c>
      <c r="K338" s="2">
        <v>0</v>
      </c>
      <c r="L338" s="2">
        <v>0</v>
      </c>
      <c r="M338" s="2" t="s">
        <v>34</v>
      </c>
      <c r="N338" s="2" t="s">
        <v>65</v>
      </c>
      <c r="O338" s="2" t="s">
        <v>44</v>
      </c>
      <c r="P338" s="2" t="s">
        <v>45</v>
      </c>
      <c r="Q338" s="2">
        <v>0</v>
      </c>
      <c r="R338" s="2">
        <v>0</v>
      </c>
      <c r="S338" s="2">
        <v>0</v>
      </c>
      <c r="T338" s="2" t="s">
        <v>57</v>
      </c>
      <c r="U338" s="2" t="s">
        <v>57</v>
      </c>
      <c r="V338" s="2">
        <v>0</v>
      </c>
      <c r="W338" s="2" t="s">
        <v>38</v>
      </c>
      <c r="X338" s="2">
        <v>9</v>
      </c>
      <c r="Y338" s="2"/>
      <c r="Z338" s="2">
        <v>0</v>
      </c>
      <c r="AA338" s="2" t="s">
        <v>39</v>
      </c>
      <c r="AB338" s="2">
        <v>105.6</v>
      </c>
      <c r="AC338" s="2">
        <v>0</v>
      </c>
      <c r="AD338" s="2">
        <v>4</v>
      </c>
      <c r="AE338" s="2" t="s">
        <v>40</v>
      </c>
      <c r="AF338" s="3">
        <v>42677</v>
      </c>
    </row>
    <row r="339" spans="1:32" x14ac:dyDescent="0.25">
      <c r="A339" s="2" t="s">
        <v>41</v>
      </c>
      <c r="B339" s="2">
        <v>1</v>
      </c>
      <c r="C339" s="2">
        <v>23</v>
      </c>
      <c r="D339" s="2">
        <v>2016</v>
      </c>
      <c r="E339" s="2" t="s">
        <v>66</v>
      </c>
      <c r="F339" s="2">
        <v>7</v>
      </c>
      <c r="G339" s="2">
        <v>12</v>
      </c>
      <c r="H339" s="2">
        <v>1</v>
      </c>
      <c r="I339" s="2">
        <v>2</v>
      </c>
      <c r="J339" s="2">
        <v>2</v>
      </c>
      <c r="K339" s="2">
        <v>0</v>
      </c>
      <c r="L339" s="2">
        <v>0</v>
      </c>
      <c r="M339" s="2" t="s">
        <v>34</v>
      </c>
      <c r="N339" s="2" t="s">
        <v>78</v>
      </c>
      <c r="O339" s="2" t="s">
        <v>44</v>
      </c>
      <c r="P339" s="2" t="s">
        <v>45</v>
      </c>
      <c r="Q339" s="2">
        <v>0</v>
      </c>
      <c r="R339" s="2">
        <v>0</v>
      </c>
      <c r="S339" s="2">
        <v>0</v>
      </c>
      <c r="T339" s="2" t="s">
        <v>46</v>
      </c>
      <c r="U339" s="2" t="s">
        <v>46</v>
      </c>
      <c r="V339" s="2">
        <v>0</v>
      </c>
      <c r="W339" s="2" t="s">
        <v>38</v>
      </c>
      <c r="X339" s="2">
        <v>9</v>
      </c>
      <c r="Y339" s="2"/>
      <c r="Z339" s="2">
        <v>0</v>
      </c>
      <c r="AA339" s="2" t="s">
        <v>39</v>
      </c>
      <c r="AB339" s="2">
        <v>72.8</v>
      </c>
      <c r="AC339" s="2">
        <v>0</v>
      </c>
      <c r="AD339" s="2">
        <v>0</v>
      </c>
      <c r="AE339" s="2" t="s">
        <v>47</v>
      </c>
      <c r="AF339" s="3">
        <v>42393</v>
      </c>
    </row>
    <row r="340" spans="1:32" x14ac:dyDescent="0.25">
      <c r="A340" s="2" t="s">
        <v>41</v>
      </c>
      <c r="B340" s="2">
        <v>1</v>
      </c>
      <c r="C340" s="2">
        <v>92</v>
      </c>
      <c r="D340" s="2">
        <v>2016</v>
      </c>
      <c r="E340" s="2" t="s">
        <v>61</v>
      </c>
      <c r="F340" s="2">
        <v>49</v>
      </c>
      <c r="G340" s="2">
        <v>29</v>
      </c>
      <c r="H340" s="2">
        <v>0</v>
      </c>
      <c r="I340" s="2">
        <v>3</v>
      </c>
      <c r="J340" s="2">
        <v>2</v>
      </c>
      <c r="K340" s="2">
        <v>0</v>
      </c>
      <c r="L340" s="2">
        <v>0</v>
      </c>
      <c r="M340" s="2" t="s">
        <v>34</v>
      </c>
      <c r="N340" s="2" t="s">
        <v>43</v>
      </c>
      <c r="O340" s="2" t="s">
        <v>64</v>
      </c>
      <c r="P340" s="2" t="s">
        <v>45</v>
      </c>
      <c r="Q340" s="2">
        <v>0</v>
      </c>
      <c r="R340" s="2">
        <v>0</v>
      </c>
      <c r="S340" s="2">
        <v>0</v>
      </c>
      <c r="T340" s="2" t="s">
        <v>46</v>
      </c>
      <c r="U340" s="2" t="s">
        <v>46</v>
      </c>
      <c r="V340" s="2">
        <v>0</v>
      </c>
      <c r="W340" s="2" t="s">
        <v>68</v>
      </c>
      <c r="X340" s="2"/>
      <c r="Y340" s="2">
        <v>348</v>
      </c>
      <c r="Z340" s="2">
        <v>50</v>
      </c>
      <c r="AA340" s="2" t="s">
        <v>39</v>
      </c>
      <c r="AB340" s="2">
        <v>90</v>
      </c>
      <c r="AC340" s="2">
        <v>0</v>
      </c>
      <c r="AD340" s="2">
        <v>0</v>
      </c>
      <c r="AE340" s="2" t="s">
        <v>47</v>
      </c>
      <c r="AF340" s="3">
        <v>42689</v>
      </c>
    </row>
    <row r="341" spans="1:32" x14ac:dyDescent="0.25">
      <c r="A341" s="2" t="s">
        <v>41</v>
      </c>
      <c r="B341" s="2">
        <v>0</v>
      </c>
      <c r="C341" s="2">
        <v>4</v>
      </c>
      <c r="D341" s="2">
        <v>2016</v>
      </c>
      <c r="E341" s="2" t="s">
        <v>62</v>
      </c>
      <c r="F341" s="2">
        <v>38</v>
      </c>
      <c r="G341" s="2">
        <v>13</v>
      </c>
      <c r="H341" s="2">
        <v>0</v>
      </c>
      <c r="I341" s="2">
        <v>3</v>
      </c>
      <c r="J341" s="2">
        <v>2</v>
      </c>
      <c r="K341" s="2">
        <v>0</v>
      </c>
      <c r="L341" s="2">
        <v>0</v>
      </c>
      <c r="M341" s="2" t="s">
        <v>34</v>
      </c>
      <c r="N341" s="2" t="s">
        <v>70</v>
      </c>
      <c r="O341" s="2" t="s">
        <v>44</v>
      </c>
      <c r="P341" s="2" t="s">
        <v>45</v>
      </c>
      <c r="Q341" s="2">
        <v>0</v>
      </c>
      <c r="R341" s="2">
        <v>0</v>
      </c>
      <c r="S341" s="2">
        <v>0</v>
      </c>
      <c r="T341" s="2" t="s">
        <v>57</v>
      </c>
      <c r="U341" s="2" t="s">
        <v>57</v>
      </c>
      <c r="V341" s="2">
        <v>0</v>
      </c>
      <c r="W341" s="2" t="s">
        <v>38</v>
      </c>
      <c r="X341" s="2">
        <v>9</v>
      </c>
      <c r="Y341" s="2"/>
      <c r="Z341" s="2">
        <v>0</v>
      </c>
      <c r="AA341" s="2" t="s">
        <v>39</v>
      </c>
      <c r="AB341" s="2">
        <v>174.67</v>
      </c>
      <c r="AC341" s="2">
        <v>0</v>
      </c>
      <c r="AD341" s="2">
        <v>1</v>
      </c>
      <c r="AE341" s="2" t="s">
        <v>40</v>
      </c>
      <c r="AF341" s="3">
        <v>42629</v>
      </c>
    </row>
    <row r="342" spans="1:32" x14ac:dyDescent="0.25">
      <c r="A342" s="2" t="s">
        <v>41</v>
      </c>
      <c r="B342" s="2">
        <v>1</v>
      </c>
      <c r="C342" s="2">
        <v>32</v>
      </c>
      <c r="D342" s="2">
        <v>2016</v>
      </c>
      <c r="E342" s="2" t="s">
        <v>61</v>
      </c>
      <c r="F342" s="2">
        <v>46</v>
      </c>
      <c r="G342" s="2">
        <v>11</v>
      </c>
      <c r="H342" s="2">
        <v>0</v>
      </c>
      <c r="I342" s="2">
        <v>2</v>
      </c>
      <c r="J342" s="2">
        <v>2</v>
      </c>
      <c r="K342" s="2">
        <v>0</v>
      </c>
      <c r="L342" s="2">
        <v>0</v>
      </c>
      <c r="M342" s="2" t="s">
        <v>34</v>
      </c>
      <c r="N342" s="2" t="s">
        <v>70</v>
      </c>
      <c r="O342" s="2" t="s">
        <v>44</v>
      </c>
      <c r="P342" s="2" t="s">
        <v>45</v>
      </c>
      <c r="Q342" s="2">
        <v>0</v>
      </c>
      <c r="R342" s="2">
        <v>0</v>
      </c>
      <c r="S342" s="2">
        <v>0</v>
      </c>
      <c r="T342" s="2" t="s">
        <v>46</v>
      </c>
      <c r="U342" s="2" t="s">
        <v>46</v>
      </c>
      <c r="V342" s="2">
        <v>0</v>
      </c>
      <c r="W342" s="2" t="s">
        <v>38</v>
      </c>
      <c r="X342" s="2">
        <v>9</v>
      </c>
      <c r="Y342" s="2"/>
      <c r="Z342" s="2">
        <v>0</v>
      </c>
      <c r="AA342" s="2" t="s">
        <v>39</v>
      </c>
      <c r="AB342" s="2">
        <v>130</v>
      </c>
      <c r="AC342" s="2">
        <v>0</v>
      </c>
      <c r="AD342" s="2">
        <v>1</v>
      </c>
      <c r="AE342" s="2" t="s">
        <v>47</v>
      </c>
      <c r="AF342" s="3">
        <v>42660</v>
      </c>
    </row>
    <row r="343" spans="1:32" x14ac:dyDescent="0.25">
      <c r="A343" s="2" t="s">
        <v>41</v>
      </c>
      <c r="B343" s="2">
        <v>0</v>
      </c>
      <c r="C343" s="2">
        <v>73</v>
      </c>
      <c r="D343" s="2">
        <v>2016</v>
      </c>
      <c r="E343" s="2" t="s">
        <v>42</v>
      </c>
      <c r="F343" s="2">
        <v>29</v>
      </c>
      <c r="G343" s="2">
        <v>12</v>
      </c>
      <c r="H343" s="2">
        <v>0</v>
      </c>
      <c r="I343" s="2">
        <v>1</v>
      </c>
      <c r="J343" s="2">
        <v>2</v>
      </c>
      <c r="K343" s="2">
        <v>0</v>
      </c>
      <c r="L343" s="2">
        <v>0</v>
      </c>
      <c r="M343" s="2" t="s">
        <v>55</v>
      </c>
      <c r="N343" s="2" t="s">
        <v>99</v>
      </c>
      <c r="O343" s="2" t="s">
        <v>36</v>
      </c>
      <c r="P343" s="2" t="s">
        <v>36</v>
      </c>
      <c r="Q343" s="2">
        <v>0</v>
      </c>
      <c r="R343" s="2">
        <v>0</v>
      </c>
      <c r="S343" s="2">
        <v>0</v>
      </c>
      <c r="T343" s="2" t="s">
        <v>46</v>
      </c>
      <c r="U343" s="2" t="s">
        <v>46</v>
      </c>
      <c r="V343" s="2">
        <v>0</v>
      </c>
      <c r="W343" s="2" t="s">
        <v>38</v>
      </c>
      <c r="X343" s="2">
        <v>14</v>
      </c>
      <c r="Y343" s="2"/>
      <c r="Z343" s="2">
        <v>0</v>
      </c>
      <c r="AA343" s="2" t="s">
        <v>39</v>
      </c>
      <c r="AB343" s="2">
        <v>105</v>
      </c>
      <c r="AC343" s="2">
        <v>0</v>
      </c>
      <c r="AD343" s="2">
        <v>1</v>
      </c>
      <c r="AE343" s="2" t="s">
        <v>40</v>
      </c>
      <c r="AF343" s="3">
        <v>42564</v>
      </c>
    </row>
    <row r="344" spans="1:32" x14ac:dyDescent="0.25">
      <c r="A344" s="2" t="s">
        <v>32</v>
      </c>
      <c r="B344" s="2">
        <v>0</v>
      </c>
      <c r="C344" s="2">
        <v>11</v>
      </c>
      <c r="D344" s="2">
        <v>2016</v>
      </c>
      <c r="E344" s="2" t="s">
        <v>74</v>
      </c>
      <c r="F344" s="2">
        <v>3</v>
      </c>
      <c r="G344" s="2">
        <v>15</v>
      </c>
      <c r="H344" s="2">
        <v>0</v>
      </c>
      <c r="I344" s="2">
        <v>2</v>
      </c>
      <c r="J344" s="2">
        <v>3</v>
      </c>
      <c r="K344" s="2">
        <v>1</v>
      </c>
      <c r="L344" s="2">
        <v>0</v>
      </c>
      <c r="M344" s="2" t="s">
        <v>34</v>
      </c>
      <c r="N344" s="2" t="s">
        <v>43</v>
      </c>
      <c r="O344" s="2" t="s">
        <v>44</v>
      </c>
      <c r="P344" s="2" t="s">
        <v>45</v>
      </c>
      <c r="Q344" s="2">
        <v>0</v>
      </c>
      <c r="R344" s="2">
        <v>0</v>
      </c>
      <c r="S344" s="2">
        <v>0</v>
      </c>
      <c r="T344" s="2" t="s">
        <v>92</v>
      </c>
      <c r="U344" s="2" t="s">
        <v>92</v>
      </c>
      <c r="V344" s="2">
        <v>0</v>
      </c>
      <c r="W344" s="2" t="s">
        <v>38</v>
      </c>
      <c r="X344" s="2">
        <v>240</v>
      </c>
      <c r="Y344" s="2"/>
      <c r="Z344" s="2">
        <v>0</v>
      </c>
      <c r="AA344" s="2" t="s">
        <v>39</v>
      </c>
      <c r="AB344" s="2">
        <v>71.2</v>
      </c>
      <c r="AC344" s="2">
        <v>0</v>
      </c>
      <c r="AD344" s="2">
        <v>0</v>
      </c>
      <c r="AE344" s="2" t="s">
        <v>40</v>
      </c>
      <c r="AF344" s="3">
        <v>42386</v>
      </c>
    </row>
    <row r="345" spans="1:32" x14ac:dyDescent="0.25">
      <c r="A345" s="2" t="s">
        <v>41</v>
      </c>
      <c r="B345" s="2">
        <v>0</v>
      </c>
      <c r="C345" s="2">
        <v>4</v>
      </c>
      <c r="D345" s="2">
        <v>2016</v>
      </c>
      <c r="E345" s="2" t="s">
        <v>42</v>
      </c>
      <c r="F345" s="2">
        <v>31</v>
      </c>
      <c r="G345" s="2">
        <v>27</v>
      </c>
      <c r="H345" s="2">
        <v>0</v>
      </c>
      <c r="I345" s="2">
        <v>3</v>
      </c>
      <c r="J345" s="2">
        <v>3</v>
      </c>
      <c r="K345" s="2">
        <v>0</v>
      </c>
      <c r="L345" s="2">
        <v>0</v>
      </c>
      <c r="M345" s="2" t="s">
        <v>34</v>
      </c>
      <c r="N345" s="2" t="s">
        <v>110</v>
      </c>
      <c r="O345" s="2" t="s">
        <v>44</v>
      </c>
      <c r="P345" s="2" t="s">
        <v>45</v>
      </c>
      <c r="Q345" s="2">
        <v>0</v>
      </c>
      <c r="R345" s="2">
        <v>0</v>
      </c>
      <c r="S345" s="2">
        <v>0</v>
      </c>
      <c r="T345" s="2" t="s">
        <v>57</v>
      </c>
      <c r="U345" s="2" t="s">
        <v>57</v>
      </c>
      <c r="V345" s="2">
        <v>0</v>
      </c>
      <c r="W345" s="2" t="s">
        <v>38</v>
      </c>
      <c r="X345" s="2">
        <v>9</v>
      </c>
      <c r="Y345" s="2"/>
      <c r="Z345" s="2">
        <v>0</v>
      </c>
      <c r="AA345" s="2" t="s">
        <v>39</v>
      </c>
      <c r="AB345" s="2">
        <v>177</v>
      </c>
      <c r="AC345" s="2">
        <v>1</v>
      </c>
      <c r="AD345" s="2">
        <v>1</v>
      </c>
      <c r="AE345" s="2" t="s">
        <v>40</v>
      </c>
      <c r="AF345" s="3">
        <v>42581</v>
      </c>
    </row>
    <row r="346" spans="1:32" x14ac:dyDescent="0.25">
      <c r="A346" s="2" t="s">
        <v>32</v>
      </c>
      <c r="B346" s="2">
        <v>1</v>
      </c>
      <c r="C346" s="2">
        <v>55</v>
      </c>
      <c r="D346" s="2">
        <v>2016</v>
      </c>
      <c r="E346" s="2" t="s">
        <v>59</v>
      </c>
      <c r="F346" s="2">
        <v>41</v>
      </c>
      <c r="G346" s="2">
        <v>3</v>
      </c>
      <c r="H346" s="2">
        <v>3</v>
      </c>
      <c r="I346" s="2">
        <v>6</v>
      </c>
      <c r="J346" s="2">
        <v>1</v>
      </c>
      <c r="K346" s="2">
        <v>0</v>
      </c>
      <c r="L346" s="2">
        <v>0</v>
      </c>
      <c r="M346" s="2" t="s">
        <v>34</v>
      </c>
      <c r="N346" s="2" t="s">
        <v>56</v>
      </c>
      <c r="O346" s="2" t="s">
        <v>44</v>
      </c>
      <c r="P346" s="2" t="s">
        <v>45</v>
      </c>
      <c r="Q346" s="2">
        <v>0</v>
      </c>
      <c r="R346" s="2">
        <v>0</v>
      </c>
      <c r="S346" s="2">
        <v>0</v>
      </c>
      <c r="T346" s="2" t="s">
        <v>57</v>
      </c>
      <c r="U346" s="2" t="s">
        <v>57</v>
      </c>
      <c r="V346" s="2">
        <v>0</v>
      </c>
      <c r="W346" s="2" t="s">
        <v>38</v>
      </c>
      <c r="X346" s="2">
        <v>240</v>
      </c>
      <c r="Y346" s="2"/>
      <c r="Z346" s="2">
        <v>0</v>
      </c>
      <c r="AA346" s="2" t="s">
        <v>39</v>
      </c>
      <c r="AB346" s="2">
        <v>89</v>
      </c>
      <c r="AC346" s="2">
        <v>0</v>
      </c>
      <c r="AD346" s="2">
        <v>2</v>
      </c>
      <c r="AE346" s="2" t="s">
        <v>47</v>
      </c>
      <c r="AF346" s="3">
        <v>42630</v>
      </c>
    </row>
    <row r="347" spans="1:32" x14ac:dyDescent="0.25">
      <c r="A347" s="2" t="s">
        <v>41</v>
      </c>
      <c r="B347" s="2">
        <v>0</v>
      </c>
      <c r="C347" s="2">
        <v>130</v>
      </c>
      <c r="D347" s="2">
        <v>2016</v>
      </c>
      <c r="E347" s="2" t="s">
        <v>62</v>
      </c>
      <c r="F347" s="2">
        <v>36</v>
      </c>
      <c r="G347" s="2">
        <v>3</v>
      </c>
      <c r="H347" s="2">
        <v>2</v>
      </c>
      <c r="I347" s="2">
        <v>1</v>
      </c>
      <c r="J347" s="2">
        <v>2</v>
      </c>
      <c r="K347" s="2">
        <v>0</v>
      </c>
      <c r="L347" s="2">
        <v>0</v>
      </c>
      <c r="M347" s="2" t="s">
        <v>34</v>
      </c>
      <c r="N347" s="2" t="s">
        <v>35</v>
      </c>
      <c r="O347" s="2" t="s">
        <v>49</v>
      </c>
      <c r="P347" s="2" t="s">
        <v>45</v>
      </c>
      <c r="Q347" s="2">
        <v>0</v>
      </c>
      <c r="R347" s="2">
        <v>0</v>
      </c>
      <c r="S347" s="2">
        <v>0</v>
      </c>
      <c r="T347" s="2" t="s">
        <v>46</v>
      </c>
      <c r="U347" s="2" t="s">
        <v>46</v>
      </c>
      <c r="V347" s="2">
        <v>0</v>
      </c>
      <c r="W347" s="2" t="s">
        <v>38</v>
      </c>
      <c r="X347" s="2">
        <v>42</v>
      </c>
      <c r="Y347" s="2"/>
      <c r="Z347" s="2">
        <v>0</v>
      </c>
      <c r="AA347" s="2" t="s">
        <v>39</v>
      </c>
      <c r="AB347" s="2">
        <v>80.75</v>
      </c>
      <c r="AC347" s="2">
        <v>0</v>
      </c>
      <c r="AD347" s="2">
        <v>0</v>
      </c>
      <c r="AE347" s="2" t="s">
        <v>40</v>
      </c>
      <c r="AF347" s="3">
        <v>42619</v>
      </c>
    </row>
    <row r="348" spans="1:32" x14ac:dyDescent="0.25">
      <c r="A348" s="2" t="s">
        <v>32</v>
      </c>
      <c r="B348" s="2">
        <v>1</v>
      </c>
      <c r="C348" s="2">
        <v>92</v>
      </c>
      <c r="D348" s="2">
        <v>2016</v>
      </c>
      <c r="E348" s="2" t="s">
        <v>66</v>
      </c>
      <c r="F348" s="2">
        <v>9</v>
      </c>
      <c r="G348" s="2">
        <v>26</v>
      </c>
      <c r="H348" s="2">
        <v>1</v>
      </c>
      <c r="I348" s="2">
        <v>2</v>
      </c>
      <c r="J348" s="2">
        <v>2</v>
      </c>
      <c r="K348" s="2">
        <v>0</v>
      </c>
      <c r="L348" s="2">
        <v>0</v>
      </c>
      <c r="M348" s="2" t="s">
        <v>77</v>
      </c>
      <c r="N348" s="2" t="s">
        <v>43</v>
      </c>
      <c r="O348" s="2" t="s">
        <v>64</v>
      </c>
      <c r="P348" s="2" t="s">
        <v>45</v>
      </c>
      <c r="Q348" s="2">
        <v>0</v>
      </c>
      <c r="R348" s="2">
        <v>1</v>
      </c>
      <c r="S348" s="2">
        <v>0</v>
      </c>
      <c r="T348" s="2" t="s">
        <v>46</v>
      </c>
      <c r="U348" s="2" t="s">
        <v>46</v>
      </c>
      <c r="V348" s="2">
        <v>0</v>
      </c>
      <c r="W348" s="2" t="s">
        <v>68</v>
      </c>
      <c r="X348" s="2">
        <v>134</v>
      </c>
      <c r="Y348" s="2"/>
      <c r="Z348" s="2">
        <v>0</v>
      </c>
      <c r="AA348" s="2" t="s">
        <v>39</v>
      </c>
      <c r="AB348" s="2">
        <v>79</v>
      </c>
      <c r="AC348" s="2">
        <v>0</v>
      </c>
      <c r="AD348" s="2">
        <v>0</v>
      </c>
      <c r="AE348" s="2" t="s">
        <v>47</v>
      </c>
      <c r="AF348" s="3">
        <v>42348</v>
      </c>
    </row>
    <row r="349" spans="1:32" x14ac:dyDescent="0.25">
      <c r="A349" s="2" t="s">
        <v>41</v>
      </c>
      <c r="B349" s="2">
        <v>1</v>
      </c>
      <c r="C349" s="2">
        <v>131</v>
      </c>
      <c r="D349" s="2">
        <v>2016</v>
      </c>
      <c r="E349" s="2" t="s">
        <v>67</v>
      </c>
      <c r="F349" s="2">
        <v>35</v>
      </c>
      <c r="G349" s="2">
        <v>22</v>
      </c>
      <c r="H349" s="2">
        <v>1</v>
      </c>
      <c r="I349" s="2">
        <v>3</v>
      </c>
      <c r="J349" s="2">
        <v>2</v>
      </c>
      <c r="K349" s="2">
        <v>0</v>
      </c>
      <c r="L349" s="2">
        <v>0</v>
      </c>
      <c r="M349" s="2" t="s">
        <v>55</v>
      </c>
      <c r="N349" s="2" t="s">
        <v>43</v>
      </c>
      <c r="O349" s="2" t="s">
        <v>44</v>
      </c>
      <c r="P349" s="2" t="s">
        <v>45</v>
      </c>
      <c r="Q349" s="2">
        <v>0</v>
      </c>
      <c r="R349" s="2">
        <v>0</v>
      </c>
      <c r="S349" s="2">
        <v>0</v>
      </c>
      <c r="T349" s="2" t="s">
        <v>46</v>
      </c>
      <c r="U349" s="2" t="s">
        <v>46</v>
      </c>
      <c r="V349" s="2">
        <v>0</v>
      </c>
      <c r="W349" s="2" t="s">
        <v>38</v>
      </c>
      <c r="X349" s="2">
        <v>8</v>
      </c>
      <c r="Y349" s="2"/>
      <c r="Z349" s="2">
        <v>0</v>
      </c>
      <c r="AA349" s="2" t="s">
        <v>39</v>
      </c>
      <c r="AB349" s="2">
        <v>92.25</v>
      </c>
      <c r="AC349" s="2">
        <v>0</v>
      </c>
      <c r="AD349" s="2">
        <v>0</v>
      </c>
      <c r="AE349" s="2" t="s">
        <v>47</v>
      </c>
      <c r="AF349" s="3">
        <v>42534</v>
      </c>
    </row>
    <row r="350" spans="1:32" x14ac:dyDescent="0.25">
      <c r="A350" s="2" t="s">
        <v>41</v>
      </c>
      <c r="B350" s="2">
        <v>0</v>
      </c>
      <c r="C350" s="2">
        <v>183</v>
      </c>
      <c r="D350" s="2">
        <v>2016</v>
      </c>
      <c r="E350" s="2" t="s">
        <v>62</v>
      </c>
      <c r="F350" s="2">
        <v>37</v>
      </c>
      <c r="G350" s="2">
        <v>8</v>
      </c>
      <c r="H350" s="2">
        <v>0</v>
      </c>
      <c r="I350" s="2">
        <v>3</v>
      </c>
      <c r="J350" s="2">
        <v>2</v>
      </c>
      <c r="K350" s="2">
        <v>0</v>
      </c>
      <c r="L350" s="2">
        <v>0</v>
      </c>
      <c r="M350" s="2" t="s">
        <v>34</v>
      </c>
      <c r="N350" s="2" t="s">
        <v>70</v>
      </c>
      <c r="O350" s="2" t="s">
        <v>49</v>
      </c>
      <c r="P350" s="2" t="s">
        <v>45</v>
      </c>
      <c r="Q350" s="2">
        <v>0</v>
      </c>
      <c r="R350" s="2">
        <v>0</v>
      </c>
      <c r="S350" s="2">
        <v>0</v>
      </c>
      <c r="T350" s="2" t="s">
        <v>46</v>
      </c>
      <c r="U350" s="2" t="s">
        <v>46</v>
      </c>
      <c r="V350" s="2">
        <v>0</v>
      </c>
      <c r="W350" s="2" t="s">
        <v>38</v>
      </c>
      <c r="X350" s="2">
        <v>44</v>
      </c>
      <c r="Y350" s="2"/>
      <c r="Z350" s="2">
        <v>0</v>
      </c>
      <c r="AA350" s="2" t="s">
        <v>51</v>
      </c>
      <c r="AB350" s="2">
        <v>110</v>
      </c>
      <c r="AC350" s="2">
        <v>0</v>
      </c>
      <c r="AD350" s="2">
        <v>1</v>
      </c>
      <c r="AE350" s="2" t="s">
        <v>40</v>
      </c>
      <c r="AF350" s="3">
        <v>42624</v>
      </c>
    </row>
    <row r="351" spans="1:32" x14ac:dyDescent="0.25">
      <c r="A351" s="2" t="s">
        <v>41</v>
      </c>
      <c r="B351" s="2">
        <v>0</v>
      </c>
      <c r="C351" s="2">
        <v>150</v>
      </c>
      <c r="D351" s="2">
        <v>2016</v>
      </c>
      <c r="E351" s="2" t="s">
        <v>83</v>
      </c>
      <c r="F351" s="2">
        <v>25</v>
      </c>
      <c r="G351" s="2">
        <v>14</v>
      </c>
      <c r="H351" s="2">
        <v>1</v>
      </c>
      <c r="I351" s="2">
        <v>5</v>
      </c>
      <c r="J351" s="2">
        <v>2</v>
      </c>
      <c r="K351" s="2">
        <v>0</v>
      </c>
      <c r="L351" s="2">
        <v>0</v>
      </c>
      <c r="M351" s="2" t="s">
        <v>34</v>
      </c>
      <c r="N351" s="2" t="s">
        <v>78</v>
      </c>
      <c r="O351" s="2" t="s">
        <v>44</v>
      </c>
      <c r="P351" s="2" t="s">
        <v>45</v>
      </c>
      <c r="Q351" s="2">
        <v>0</v>
      </c>
      <c r="R351" s="2">
        <v>0</v>
      </c>
      <c r="S351" s="2">
        <v>0</v>
      </c>
      <c r="T351" s="2" t="s">
        <v>57</v>
      </c>
      <c r="U351" s="2" t="s">
        <v>57</v>
      </c>
      <c r="V351" s="2">
        <v>0</v>
      </c>
      <c r="W351" s="2" t="s">
        <v>38</v>
      </c>
      <c r="X351" s="2">
        <v>9</v>
      </c>
      <c r="Y351" s="2"/>
      <c r="Z351" s="2">
        <v>0</v>
      </c>
      <c r="AA351" s="2" t="s">
        <v>39</v>
      </c>
      <c r="AB351" s="2">
        <v>121.83</v>
      </c>
      <c r="AC351" s="2">
        <v>0</v>
      </c>
      <c r="AD351" s="2">
        <v>2</v>
      </c>
      <c r="AE351" s="2" t="s">
        <v>40</v>
      </c>
      <c r="AF351" s="3">
        <v>42541</v>
      </c>
    </row>
    <row r="352" spans="1:32" x14ac:dyDescent="0.25">
      <c r="A352" s="2" t="s">
        <v>41</v>
      </c>
      <c r="B352" s="2">
        <v>0</v>
      </c>
      <c r="C352" s="2">
        <v>181</v>
      </c>
      <c r="D352" s="2">
        <v>2016</v>
      </c>
      <c r="E352" s="2" t="s">
        <v>59</v>
      </c>
      <c r="F352" s="2">
        <v>42</v>
      </c>
      <c r="G352" s="2">
        <v>11</v>
      </c>
      <c r="H352" s="2">
        <v>0</v>
      </c>
      <c r="I352" s="2">
        <v>2</v>
      </c>
      <c r="J352" s="2">
        <v>1</v>
      </c>
      <c r="K352" s="2">
        <v>0</v>
      </c>
      <c r="L352" s="2">
        <v>0</v>
      </c>
      <c r="M352" s="2" t="s">
        <v>34</v>
      </c>
      <c r="N352" s="2" t="s">
        <v>70</v>
      </c>
      <c r="O352" s="2" t="s">
        <v>49</v>
      </c>
      <c r="P352" s="2" t="s">
        <v>45</v>
      </c>
      <c r="Q352" s="2">
        <v>0</v>
      </c>
      <c r="R352" s="2">
        <v>0</v>
      </c>
      <c r="S352" s="2">
        <v>0</v>
      </c>
      <c r="T352" s="2" t="s">
        <v>46</v>
      </c>
      <c r="U352" s="2" t="s">
        <v>46</v>
      </c>
      <c r="V352" s="2">
        <v>0</v>
      </c>
      <c r="W352" s="2" t="s">
        <v>38</v>
      </c>
      <c r="X352" s="2">
        <v>234</v>
      </c>
      <c r="Y352" s="2"/>
      <c r="Z352" s="2">
        <v>0</v>
      </c>
      <c r="AA352" s="2" t="s">
        <v>51</v>
      </c>
      <c r="AB352" s="2">
        <v>120</v>
      </c>
      <c r="AC352" s="2">
        <v>0</v>
      </c>
      <c r="AD352" s="2">
        <v>0</v>
      </c>
      <c r="AE352" s="2" t="s">
        <v>40</v>
      </c>
      <c r="AF352" s="3">
        <v>42656</v>
      </c>
    </row>
    <row r="353" spans="1:32" x14ac:dyDescent="0.25">
      <c r="A353" s="2" t="s">
        <v>41</v>
      </c>
      <c r="B353" s="2">
        <v>1</v>
      </c>
      <c r="C353" s="2">
        <v>37</v>
      </c>
      <c r="D353" s="2">
        <v>2016</v>
      </c>
      <c r="E353" s="2" t="s">
        <v>59</v>
      </c>
      <c r="F353" s="2">
        <v>42</v>
      </c>
      <c r="G353" s="2">
        <v>13</v>
      </c>
      <c r="H353" s="2">
        <v>0</v>
      </c>
      <c r="I353" s="2">
        <v>3</v>
      </c>
      <c r="J353" s="2">
        <v>2</v>
      </c>
      <c r="K353" s="2">
        <v>0</v>
      </c>
      <c r="L353" s="2">
        <v>0</v>
      </c>
      <c r="M353" s="2" t="s">
        <v>34</v>
      </c>
      <c r="N353" s="2" t="s">
        <v>43</v>
      </c>
      <c r="O353" s="2" t="s">
        <v>49</v>
      </c>
      <c r="P353" s="2" t="s">
        <v>45</v>
      </c>
      <c r="Q353" s="2">
        <v>0</v>
      </c>
      <c r="R353" s="2">
        <v>0</v>
      </c>
      <c r="S353" s="2">
        <v>0</v>
      </c>
      <c r="T353" s="2" t="s">
        <v>46</v>
      </c>
      <c r="U353" s="2" t="s">
        <v>46</v>
      </c>
      <c r="V353" s="2">
        <v>0</v>
      </c>
      <c r="W353" s="2" t="s">
        <v>38</v>
      </c>
      <c r="X353" s="2">
        <v>56</v>
      </c>
      <c r="Y353" s="2"/>
      <c r="Z353" s="2">
        <v>0</v>
      </c>
      <c r="AA353" s="2" t="s">
        <v>51</v>
      </c>
      <c r="AB353" s="2">
        <v>105</v>
      </c>
      <c r="AC353" s="2">
        <v>0</v>
      </c>
      <c r="AD353" s="2">
        <v>0</v>
      </c>
      <c r="AE353" s="2" t="s">
        <v>47</v>
      </c>
      <c r="AF353" s="3">
        <v>42619</v>
      </c>
    </row>
    <row r="354" spans="1:32" x14ac:dyDescent="0.25">
      <c r="A354" s="2" t="s">
        <v>41</v>
      </c>
      <c r="B354" s="2">
        <v>1</v>
      </c>
      <c r="C354" s="2">
        <v>280</v>
      </c>
      <c r="D354" s="2">
        <v>2016</v>
      </c>
      <c r="E354" s="2" t="s">
        <v>62</v>
      </c>
      <c r="F354" s="2">
        <v>39</v>
      </c>
      <c r="G354" s="2">
        <v>19</v>
      </c>
      <c r="H354" s="2">
        <v>1</v>
      </c>
      <c r="I354" s="2">
        <v>2</v>
      </c>
      <c r="J354" s="2">
        <v>2</v>
      </c>
      <c r="K354" s="2">
        <v>0</v>
      </c>
      <c r="L354" s="2">
        <v>0</v>
      </c>
      <c r="M354" s="2" t="s">
        <v>34</v>
      </c>
      <c r="N354" s="2" t="s">
        <v>43</v>
      </c>
      <c r="O354" s="2" t="s">
        <v>49</v>
      </c>
      <c r="P354" s="2" t="s">
        <v>45</v>
      </c>
      <c r="Q354" s="2">
        <v>0</v>
      </c>
      <c r="R354" s="2">
        <v>0</v>
      </c>
      <c r="S354" s="2">
        <v>0</v>
      </c>
      <c r="T354" s="2" t="s">
        <v>46</v>
      </c>
      <c r="U354" s="2" t="s">
        <v>46</v>
      </c>
      <c r="V354" s="2">
        <v>0</v>
      </c>
      <c r="W354" s="2" t="s">
        <v>68</v>
      </c>
      <c r="X354" s="2">
        <v>6</v>
      </c>
      <c r="Y354" s="2"/>
      <c r="Z354" s="2">
        <v>35</v>
      </c>
      <c r="AA354" s="2" t="s">
        <v>39</v>
      </c>
      <c r="AB354" s="2">
        <v>110</v>
      </c>
      <c r="AC354" s="2">
        <v>0</v>
      </c>
      <c r="AD354" s="2">
        <v>0</v>
      </c>
      <c r="AE354" s="2" t="s">
        <v>47</v>
      </c>
      <c r="AF354" s="3">
        <v>42387</v>
      </c>
    </row>
    <row r="355" spans="1:32" x14ac:dyDescent="0.25">
      <c r="A355" s="2" t="s">
        <v>41</v>
      </c>
      <c r="B355" s="2">
        <v>1</v>
      </c>
      <c r="C355" s="2">
        <v>37</v>
      </c>
      <c r="D355" s="2">
        <v>2016</v>
      </c>
      <c r="E355" s="2" t="s">
        <v>42</v>
      </c>
      <c r="F355" s="2">
        <v>27</v>
      </c>
      <c r="G355" s="2">
        <v>1</v>
      </c>
      <c r="H355" s="2">
        <v>0</v>
      </c>
      <c r="I355" s="2">
        <v>1</v>
      </c>
      <c r="J355" s="2">
        <v>2</v>
      </c>
      <c r="K355" s="2">
        <v>0</v>
      </c>
      <c r="L355" s="2">
        <v>0</v>
      </c>
      <c r="M355" s="2" t="s">
        <v>34</v>
      </c>
      <c r="N355" s="2" t="s">
        <v>106</v>
      </c>
      <c r="O355" s="2" t="s">
        <v>44</v>
      </c>
      <c r="P355" s="2" t="s">
        <v>45</v>
      </c>
      <c r="Q355" s="2">
        <v>0</v>
      </c>
      <c r="R355" s="2">
        <v>0</v>
      </c>
      <c r="S355" s="2">
        <v>0</v>
      </c>
      <c r="T355" s="2" t="s">
        <v>57</v>
      </c>
      <c r="U355" s="2" t="s">
        <v>57</v>
      </c>
      <c r="V355" s="2">
        <v>0</v>
      </c>
      <c r="W355" s="2" t="s">
        <v>38</v>
      </c>
      <c r="X355" s="2">
        <v>9</v>
      </c>
      <c r="Y355" s="2"/>
      <c r="Z355" s="2">
        <v>0</v>
      </c>
      <c r="AA355" s="2" t="s">
        <v>39</v>
      </c>
      <c r="AB355" s="2">
        <v>131.4</v>
      </c>
      <c r="AC355" s="2">
        <v>0</v>
      </c>
      <c r="AD355" s="2">
        <v>0</v>
      </c>
      <c r="AE355" s="2" t="s">
        <v>47</v>
      </c>
      <c r="AF355" s="3">
        <v>42517</v>
      </c>
    </row>
    <row r="356" spans="1:32" x14ac:dyDescent="0.25">
      <c r="A356" s="2" t="s">
        <v>41</v>
      </c>
      <c r="B356" s="2">
        <v>0</v>
      </c>
      <c r="C356" s="2">
        <v>151</v>
      </c>
      <c r="D356" s="2">
        <v>2016</v>
      </c>
      <c r="E356" s="2" t="s">
        <v>42</v>
      </c>
      <c r="F356" s="2">
        <v>28</v>
      </c>
      <c r="G356" s="2">
        <v>4</v>
      </c>
      <c r="H356" s="2">
        <v>1</v>
      </c>
      <c r="I356" s="2">
        <v>0</v>
      </c>
      <c r="J356" s="2">
        <v>2</v>
      </c>
      <c r="K356" s="2">
        <v>2</v>
      </c>
      <c r="L356" s="2">
        <v>0</v>
      </c>
      <c r="M356" s="2" t="s">
        <v>34</v>
      </c>
      <c r="N356" s="2" t="s">
        <v>103</v>
      </c>
      <c r="O356" s="2" t="s">
        <v>36</v>
      </c>
      <c r="P356" s="2" t="s">
        <v>36</v>
      </c>
      <c r="Q356" s="2">
        <v>0</v>
      </c>
      <c r="R356" s="2">
        <v>0</v>
      </c>
      <c r="S356" s="2">
        <v>0</v>
      </c>
      <c r="T356" s="2" t="s">
        <v>37</v>
      </c>
      <c r="U356" s="2" t="s">
        <v>37</v>
      </c>
      <c r="V356" s="2">
        <v>0</v>
      </c>
      <c r="W356" s="2" t="s">
        <v>38</v>
      </c>
      <c r="X356" s="2">
        <v>14</v>
      </c>
      <c r="Y356" s="2"/>
      <c r="Z356" s="2">
        <v>0</v>
      </c>
      <c r="AA356" s="2" t="s">
        <v>39</v>
      </c>
      <c r="AB356" s="2">
        <v>171.9</v>
      </c>
      <c r="AC356" s="2">
        <v>0</v>
      </c>
      <c r="AD356" s="2">
        <v>0</v>
      </c>
      <c r="AE356" s="2" t="s">
        <v>40</v>
      </c>
      <c r="AF356" s="3">
        <v>42556</v>
      </c>
    </row>
    <row r="357" spans="1:32" x14ac:dyDescent="0.25">
      <c r="A357" s="2" t="s">
        <v>41</v>
      </c>
      <c r="B357" s="2">
        <v>1</v>
      </c>
      <c r="C357" s="2">
        <v>70</v>
      </c>
      <c r="D357" s="2">
        <v>2016</v>
      </c>
      <c r="E357" s="2" t="s">
        <v>62</v>
      </c>
      <c r="F357" s="2">
        <v>38</v>
      </c>
      <c r="G357" s="2">
        <v>15</v>
      </c>
      <c r="H357" s="2">
        <v>0</v>
      </c>
      <c r="I357" s="2">
        <v>2</v>
      </c>
      <c r="J357" s="2">
        <v>2</v>
      </c>
      <c r="K357" s="2">
        <v>0</v>
      </c>
      <c r="L357" s="2">
        <v>0</v>
      </c>
      <c r="M357" s="2" t="s">
        <v>34</v>
      </c>
      <c r="N357" s="2" t="s">
        <v>43</v>
      </c>
      <c r="O357" s="2" t="s">
        <v>44</v>
      </c>
      <c r="P357" s="2" t="s">
        <v>45</v>
      </c>
      <c r="Q357" s="2">
        <v>0</v>
      </c>
      <c r="R357" s="2">
        <v>0</v>
      </c>
      <c r="S357" s="2">
        <v>0</v>
      </c>
      <c r="T357" s="2" t="s">
        <v>57</v>
      </c>
      <c r="U357" s="2" t="s">
        <v>57</v>
      </c>
      <c r="V357" s="2">
        <v>0</v>
      </c>
      <c r="W357" s="2" t="s">
        <v>38</v>
      </c>
      <c r="X357" s="2">
        <v>7</v>
      </c>
      <c r="Y357" s="2"/>
      <c r="Z357" s="2">
        <v>0</v>
      </c>
      <c r="AA357" s="2" t="s">
        <v>39</v>
      </c>
      <c r="AB357" s="2">
        <v>149.4</v>
      </c>
      <c r="AC357" s="2">
        <v>0</v>
      </c>
      <c r="AD357" s="2">
        <v>0</v>
      </c>
      <c r="AE357" s="2" t="s">
        <v>47</v>
      </c>
      <c r="AF357" s="3">
        <v>42558</v>
      </c>
    </row>
    <row r="358" spans="1:32" x14ac:dyDescent="0.25">
      <c r="A358" s="2" t="s">
        <v>41</v>
      </c>
      <c r="B358" s="2">
        <v>0</v>
      </c>
      <c r="C358" s="2">
        <v>62</v>
      </c>
      <c r="D358" s="2">
        <v>2016</v>
      </c>
      <c r="E358" s="2" t="s">
        <v>69</v>
      </c>
      <c r="F358" s="2">
        <v>21</v>
      </c>
      <c r="G358" s="2">
        <v>19</v>
      </c>
      <c r="H358" s="2">
        <v>0</v>
      </c>
      <c r="I358" s="2">
        <v>1</v>
      </c>
      <c r="J358" s="2">
        <v>1</v>
      </c>
      <c r="K358" s="2">
        <v>0</v>
      </c>
      <c r="L358" s="2">
        <v>0</v>
      </c>
      <c r="M358" s="2" t="s">
        <v>55</v>
      </c>
      <c r="N358" s="2" t="s">
        <v>35</v>
      </c>
      <c r="O358" s="2" t="s">
        <v>44</v>
      </c>
      <c r="P358" s="2" t="s">
        <v>45</v>
      </c>
      <c r="Q358" s="2">
        <v>0</v>
      </c>
      <c r="R358" s="2">
        <v>0</v>
      </c>
      <c r="S358" s="2">
        <v>0</v>
      </c>
      <c r="T358" s="2" t="s">
        <v>46</v>
      </c>
      <c r="U358" s="2" t="s">
        <v>46</v>
      </c>
      <c r="V358" s="2">
        <v>0</v>
      </c>
      <c r="W358" s="2" t="s">
        <v>38</v>
      </c>
      <c r="X358" s="2">
        <v>9</v>
      </c>
      <c r="Y358" s="2"/>
      <c r="Z358" s="2">
        <v>0</v>
      </c>
      <c r="AA358" s="2" t="s">
        <v>39</v>
      </c>
      <c r="AB358" s="2">
        <v>116.1</v>
      </c>
      <c r="AC358" s="2">
        <v>0</v>
      </c>
      <c r="AD358" s="2">
        <v>0</v>
      </c>
      <c r="AE358" s="2" t="s">
        <v>40</v>
      </c>
      <c r="AF358" s="3">
        <v>42510</v>
      </c>
    </row>
    <row r="359" spans="1:32" x14ac:dyDescent="0.25">
      <c r="A359" s="2" t="s">
        <v>41</v>
      </c>
      <c r="B359" s="2">
        <v>0</v>
      </c>
      <c r="C359" s="2">
        <v>5</v>
      </c>
      <c r="D359" s="2">
        <v>2016</v>
      </c>
      <c r="E359" s="2" t="s">
        <v>67</v>
      </c>
      <c r="F359" s="2">
        <v>35</v>
      </c>
      <c r="G359" s="2">
        <v>26</v>
      </c>
      <c r="H359" s="2">
        <v>1</v>
      </c>
      <c r="I359" s="2">
        <v>2</v>
      </c>
      <c r="J359" s="2">
        <v>2</v>
      </c>
      <c r="K359" s="2">
        <v>0</v>
      </c>
      <c r="L359" s="2">
        <v>0</v>
      </c>
      <c r="M359" s="2" t="s">
        <v>55</v>
      </c>
      <c r="N359" s="2" t="s">
        <v>43</v>
      </c>
      <c r="O359" s="2" t="s">
        <v>44</v>
      </c>
      <c r="P359" s="2" t="s">
        <v>45</v>
      </c>
      <c r="Q359" s="2">
        <v>0</v>
      </c>
      <c r="R359" s="2">
        <v>0</v>
      </c>
      <c r="S359" s="2">
        <v>0</v>
      </c>
      <c r="T359" s="2" t="s">
        <v>46</v>
      </c>
      <c r="U359" s="2" t="s">
        <v>46</v>
      </c>
      <c r="V359" s="2">
        <v>0</v>
      </c>
      <c r="W359" s="2" t="s">
        <v>38</v>
      </c>
      <c r="X359" s="2">
        <v>7</v>
      </c>
      <c r="Y359" s="2"/>
      <c r="Z359" s="2">
        <v>0</v>
      </c>
      <c r="AA359" s="2" t="s">
        <v>39</v>
      </c>
      <c r="AB359" s="2">
        <v>96.76</v>
      </c>
      <c r="AC359" s="2">
        <v>0</v>
      </c>
      <c r="AD359" s="2">
        <v>1</v>
      </c>
      <c r="AE359" s="2" t="s">
        <v>40</v>
      </c>
      <c r="AF359" s="3">
        <v>42611</v>
      </c>
    </row>
    <row r="360" spans="1:32" x14ac:dyDescent="0.25">
      <c r="A360" s="2" t="s">
        <v>41</v>
      </c>
      <c r="B360" s="2">
        <v>0</v>
      </c>
      <c r="C360" s="2">
        <v>72</v>
      </c>
      <c r="D360" s="2">
        <v>2016</v>
      </c>
      <c r="E360" s="2" t="s">
        <v>83</v>
      </c>
      <c r="F360" s="2">
        <v>23</v>
      </c>
      <c r="G360" s="2">
        <v>1</v>
      </c>
      <c r="H360" s="2">
        <v>0</v>
      </c>
      <c r="I360" s="2">
        <v>3</v>
      </c>
      <c r="J360" s="2">
        <v>2</v>
      </c>
      <c r="K360" s="2">
        <v>0</v>
      </c>
      <c r="L360" s="2">
        <v>0</v>
      </c>
      <c r="M360" s="2" t="s">
        <v>34</v>
      </c>
      <c r="N360" s="2" t="s">
        <v>82</v>
      </c>
      <c r="O360" s="2" t="s">
        <v>44</v>
      </c>
      <c r="P360" s="2" t="s">
        <v>45</v>
      </c>
      <c r="Q360" s="2">
        <v>0</v>
      </c>
      <c r="R360" s="2">
        <v>0</v>
      </c>
      <c r="S360" s="2">
        <v>0</v>
      </c>
      <c r="T360" s="2" t="s">
        <v>57</v>
      </c>
      <c r="U360" s="2" t="s">
        <v>57</v>
      </c>
      <c r="V360" s="2">
        <v>0</v>
      </c>
      <c r="W360" s="2" t="s">
        <v>38</v>
      </c>
      <c r="X360" s="2">
        <v>7</v>
      </c>
      <c r="Y360" s="2"/>
      <c r="Z360" s="2">
        <v>0</v>
      </c>
      <c r="AA360" s="2" t="s">
        <v>39</v>
      </c>
      <c r="AB360" s="2">
        <v>108.11</v>
      </c>
      <c r="AC360" s="2">
        <v>0</v>
      </c>
      <c r="AD360" s="2">
        <v>0</v>
      </c>
      <c r="AE360" s="2" t="s">
        <v>40</v>
      </c>
      <c r="AF360" s="3">
        <v>42525</v>
      </c>
    </row>
    <row r="361" spans="1:32" x14ac:dyDescent="0.25">
      <c r="A361" s="2" t="s">
        <v>41</v>
      </c>
      <c r="B361" s="2">
        <v>0</v>
      </c>
      <c r="C361" s="2">
        <v>3</v>
      </c>
      <c r="D361" s="2">
        <v>2016</v>
      </c>
      <c r="E361" s="2" t="s">
        <v>62</v>
      </c>
      <c r="F361" s="2">
        <v>39</v>
      </c>
      <c r="G361" s="2">
        <v>22</v>
      </c>
      <c r="H361" s="2">
        <v>0</v>
      </c>
      <c r="I361" s="2">
        <v>1</v>
      </c>
      <c r="J361" s="2">
        <v>1</v>
      </c>
      <c r="K361" s="2">
        <v>0</v>
      </c>
      <c r="L361" s="2">
        <v>0</v>
      </c>
      <c r="M361" s="2" t="s">
        <v>34</v>
      </c>
      <c r="N361" s="2" t="s">
        <v>43</v>
      </c>
      <c r="O361" s="2" t="s">
        <v>76</v>
      </c>
      <c r="P361" s="2" t="s">
        <v>76</v>
      </c>
      <c r="Q361" s="2">
        <v>0</v>
      </c>
      <c r="R361" s="2">
        <v>0</v>
      </c>
      <c r="S361" s="2">
        <v>0</v>
      </c>
      <c r="T361" s="2" t="s">
        <v>57</v>
      </c>
      <c r="U361" s="2" t="s">
        <v>57</v>
      </c>
      <c r="V361" s="2">
        <v>0</v>
      </c>
      <c r="W361" s="2" t="s">
        <v>38</v>
      </c>
      <c r="X361" s="2"/>
      <c r="Y361" s="2">
        <v>308</v>
      </c>
      <c r="Z361" s="2">
        <v>0</v>
      </c>
      <c r="AA361" s="2" t="s">
        <v>39</v>
      </c>
      <c r="AB361" s="2">
        <v>166.25</v>
      </c>
      <c r="AC361" s="2">
        <v>0</v>
      </c>
      <c r="AD361" s="2">
        <v>0</v>
      </c>
      <c r="AE361" s="2" t="s">
        <v>40</v>
      </c>
      <c r="AF361" s="3">
        <v>42636</v>
      </c>
    </row>
    <row r="362" spans="1:32" x14ac:dyDescent="0.25">
      <c r="A362" s="2" t="s">
        <v>41</v>
      </c>
      <c r="B362" s="2">
        <v>1</v>
      </c>
      <c r="C362" s="2">
        <v>105</v>
      </c>
      <c r="D362" s="2">
        <v>2016</v>
      </c>
      <c r="E362" s="2" t="s">
        <v>54</v>
      </c>
      <c r="F362" s="2">
        <v>15</v>
      </c>
      <c r="G362" s="2">
        <v>6</v>
      </c>
      <c r="H362" s="2">
        <v>0</v>
      </c>
      <c r="I362" s="2">
        <v>1</v>
      </c>
      <c r="J362" s="2">
        <v>2</v>
      </c>
      <c r="K362" s="2">
        <v>0</v>
      </c>
      <c r="L362" s="2">
        <v>0</v>
      </c>
      <c r="M362" s="2" t="s">
        <v>34</v>
      </c>
      <c r="N362" s="2" t="s">
        <v>43</v>
      </c>
      <c r="O362" s="2" t="s">
        <v>49</v>
      </c>
      <c r="P362" s="2" t="s">
        <v>45</v>
      </c>
      <c r="Q362" s="2">
        <v>0</v>
      </c>
      <c r="R362" s="2">
        <v>0</v>
      </c>
      <c r="S362" s="2">
        <v>0</v>
      </c>
      <c r="T362" s="2" t="s">
        <v>46</v>
      </c>
      <c r="U362" s="2" t="s">
        <v>46</v>
      </c>
      <c r="V362" s="2">
        <v>0</v>
      </c>
      <c r="W362" s="2" t="s">
        <v>68</v>
      </c>
      <c r="X362" s="2">
        <v>12</v>
      </c>
      <c r="Y362" s="2"/>
      <c r="Z362" s="2">
        <v>0</v>
      </c>
      <c r="AA362" s="2" t="s">
        <v>39</v>
      </c>
      <c r="AB362" s="2">
        <v>75</v>
      </c>
      <c r="AC362" s="2">
        <v>0</v>
      </c>
      <c r="AD362" s="2">
        <v>0</v>
      </c>
      <c r="AE362" s="2" t="s">
        <v>47</v>
      </c>
      <c r="AF362" s="3">
        <v>42387</v>
      </c>
    </row>
    <row r="363" spans="1:32" x14ac:dyDescent="0.25">
      <c r="A363" s="2" t="s">
        <v>41</v>
      </c>
      <c r="B363" s="2">
        <v>0</v>
      </c>
      <c r="C363" s="2">
        <v>29</v>
      </c>
      <c r="D363" s="2">
        <v>2016</v>
      </c>
      <c r="E363" s="2" t="s">
        <v>33</v>
      </c>
      <c r="F363" s="2">
        <v>49</v>
      </c>
      <c r="G363" s="2">
        <v>2</v>
      </c>
      <c r="H363" s="2">
        <v>0</v>
      </c>
      <c r="I363" s="2">
        <v>2</v>
      </c>
      <c r="J363" s="2">
        <v>1</v>
      </c>
      <c r="K363" s="2">
        <v>0</v>
      </c>
      <c r="L363" s="2">
        <v>0</v>
      </c>
      <c r="M363" s="2" t="s">
        <v>34</v>
      </c>
      <c r="N363" s="2" t="s">
        <v>56</v>
      </c>
      <c r="O363" s="2" t="s">
        <v>76</v>
      </c>
      <c r="P363" s="2" t="s">
        <v>45</v>
      </c>
      <c r="Q363" s="2">
        <v>0</v>
      </c>
      <c r="R363" s="2">
        <v>0</v>
      </c>
      <c r="S363" s="2">
        <v>0</v>
      </c>
      <c r="T363" s="2" t="s">
        <v>46</v>
      </c>
      <c r="U363" s="2" t="s">
        <v>46</v>
      </c>
      <c r="V363" s="2">
        <v>4</v>
      </c>
      <c r="W363" s="2" t="s">
        <v>38</v>
      </c>
      <c r="X363" s="2"/>
      <c r="Y363" s="2"/>
      <c r="Z363" s="2">
        <v>0</v>
      </c>
      <c r="AA363" s="2" t="s">
        <v>51</v>
      </c>
      <c r="AB363" s="2">
        <v>66.180000000000007</v>
      </c>
      <c r="AC363" s="2">
        <v>0</v>
      </c>
      <c r="AD363" s="2">
        <v>1</v>
      </c>
      <c r="AE363" s="2" t="s">
        <v>40</v>
      </c>
      <c r="AF363" s="3">
        <v>42708</v>
      </c>
    </row>
    <row r="364" spans="1:32" x14ac:dyDescent="0.25">
      <c r="A364" s="2" t="s">
        <v>32</v>
      </c>
      <c r="B364" s="2">
        <v>0</v>
      </c>
      <c r="C364" s="2">
        <v>61</v>
      </c>
      <c r="D364" s="2">
        <v>2016</v>
      </c>
      <c r="E364" s="2" t="s">
        <v>52</v>
      </c>
      <c r="F364" s="2">
        <v>12</v>
      </c>
      <c r="G364" s="2">
        <v>14</v>
      </c>
      <c r="H364" s="2">
        <v>1</v>
      </c>
      <c r="I364" s="2">
        <v>3</v>
      </c>
      <c r="J364" s="2">
        <v>2</v>
      </c>
      <c r="K364" s="2">
        <v>0</v>
      </c>
      <c r="L364" s="2">
        <v>0</v>
      </c>
      <c r="M364" s="2" t="s">
        <v>34</v>
      </c>
      <c r="N364" s="2" t="s">
        <v>95</v>
      </c>
      <c r="O364" s="2" t="s">
        <v>49</v>
      </c>
      <c r="P364" s="2" t="s">
        <v>45</v>
      </c>
      <c r="Q364" s="2">
        <v>0</v>
      </c>
      <c r="R364" s="2">
        <v>0</v>
      </c>
      <c r="S364" s="2">
        <v>0</v>
      </c>
      <c r="T364" s="2" t="s">
        <v>57</v>
      </c>
      <c r="U364" s="2" t="s">
        <v>57</v>
      </c>
      <c r="V364" s="2">
        <v>0</v>
      </c>
      <c r="W364" s="2" t="s">
        <v>38</v>
      </c>
      <c r="X364" s="2">
        <v>156</v>
      </c>
      <c r="Y364" s="2"/>
      <c r="Z364" s="2">
        <v>0</v>
      </c>
      <c r="AA364" s="2" t="s">
        <v>39</v>
      </c>
      <c r="AB364" s="2">
        <v>35.15</v>
      </c>
      <c r="AC364" s="2">
        <v>0</v>
      </c>
      <c r="AD364" s="2">
        <v>1</v>
      </c>
      <c r="AE364" s="2" t="s">
        <v>40</v>
      </c>
      <c r="AF364" s="3">
        <v>42447</v>
      </c>
    </row>
    <row r="365" spans="1:32" x14ac:dyDescent="0.25">
      <c r="A365" s="2" t="s">
        <v>41</v>
      </c>
      <c r="B365" s="2">
        <v>0</v>
      </c>
      <c r="C365" s="2">
        <v>61</v>
      </c>
      <c r="D365" s="2">
        <v>2016</v>
      </c>
      <c r="E365" s="2" t="s">
        <v>33</v>
      </c>
      <c r="F365" s="2">
        <v>51</v>
      </c>
      <c r="G365" s="2">
        <v>16</v>
      </c>
      <c r="H365" s="2">
        <v>1</v>
      </c>
      <c r="I365" s="2">
        <v>2</v>
      </c>
      <c r="J365" s="2">
        <v>2</v>
      </c>
      <c r="K365" s="2">
        <v>0</v>
      </c>
      <c r="L365" s="2">
        <v>0</v>
      </c>
      <c r="M365" s="2" t="s">
        <v>34</v>
      </c>
      <c r="N365" s="2" t="s">
        <v>70</v>
      </c>
      <c r="O365" s="2" t="s">
        <v>36</v>
      </c>
      <c r="P365" s="2" t="s">
        <v>36</v>
      </c>
      <c r="Q365" s="2">
        <v>0</v>
      </c>
      <c r="R365" s="2">
        <v>0</v>
      </c>
      <c r="S365" s="2">
        <v>0</v>
      </c>
      <c r="T365" s="2" t="s">
        <v>46</v>
      </c>
      <c r="U365" s="2" t="s">
        <v>46</v>
      </c>
      <c r="V365" s="2">
        <v>0</v>
      </c>
      <c r="W365" s="2" t="s">
        <v>38</v>
      </c>
      <c r="X365" s="2">
        <v>14</v>
      </c>
      <c r="Y365" s="2"/>
      <c r="Z365" s="2">
        <v>0</v>
      </c>
      <c r="AA365" s="2" t="s">
        <v>39</v>
      </c>
      <c r="AB365" s="2">
        <v>79.2</v>
      </c>
      <c r="AC365" s="2">
        <v>0</v>
      </c>
      <c r="AD365" s="2">
        <v>0</v>
      </c>
      <c r="AE365" s="2" t="s">
        <v>40</v>
      </c>
      <c r="AF365" s="3">
        <v>42723</v>
      </c>
    </row>
    <row r="366" spans="1:32" x14ac:dyDescent="0.25">
      <c r="A366" s="2" t="s">
        <v>41</v>
      </c>
      <c r="B366" s="2">
        <v>0</v>
      </c>
      <c r="C366" s="2">
        <v>247</v>
      </c>
      <c r="D366" s="2">
        <v>2016</v>
      </c>
      <c r="E366" s="2" t="s">
        <v>83</v>
      </c>
      <c r="F366" s="2">
        <v>24</v>
      </c>
      <c r="G366" s="2">
        <v>6</v>
      </c>
      <c r="H366" s="2">
        <v>1</v>
      </c>
      <c r="I366" s="2">
        <v>1</v>
      </c>
      <c r="J366" s="2">
        <v>2</v>
      </c>
      <c r="K366" s="2">
        <v>0</v>
      </c>
      <c r="L366" s="2">
        <v>0</v>
      </c>
      <c r="M366" s="2" t="s">
        <v>60</v>
      </c>
      <c r="N366" s="2" t="s">
        <v>56</v>
      </c>
      <c r="O366" s="2" t="s">
        <v>49</v>
      </c>
      <c r="P366" s="2" t="s">
        <v>45</v>
      </c>
      <c r="Q366" s="2">
        <v>0</v>
      </c>
      <c r="R366" s="2">
        <v>0</v>
      </c>
      <c r="S366" s="2">
        <v>0</v>
      </c>
      <c r="T366" s="2" t="s">
        <v>46</v>
      </c>
      <c r="U366" s="2" t="s">
        <v>37</v>
      </c>
      <c r="V366" s="2">
        <v>0</v>
      </c>
      <c r="W366" s="2" t="s">
        <v>38</v>
      </c>
      <c r="X366" s="2">
        <v>6</v>
      </c>
      <c r="Y366" s="2"/>
      <c r="Z366" s="2">
        <v>0</v>
      </c>
      <c r="AA366" s="2" t="s">
        <v>51</v>
      </c>
      <c r="AB366" s="2">
        <v>115</v>
      </c>
      <c r="AC366" s="2">
        <v>0</v>
      </c>
      <c r="AD366" s="2">
        <v>1</v>
      </c>
      <c r="AE366" s="2" t="s">
        <v>40</v>
      </c>
      <c r="AF366" s="3">
        <v>42529</v>
      </c>
    </row>
    <row r="367" spans="1:32" x14ac:dyDescent="0.25">
      <c r="A367" s="2" t="s">
        <v>41</v>
      </c>
      <c r="B367" s="2">
        <v>0</v>
      </c>
      <c r="C367" s="2">
        <v>27</v>
      </c>
      <c r="D367" s="2">
        <v>2016</v>
      </c>
      <c r="E367" s="2" t="s">
        <v>42</v>
      </c>
      <c r="F367" s="2">
        <v>30</v>
      </c>
      <c r="G367" s="2">
        <v>23</v>
      </c>
      <c r="H367" s="2">
        <v>0</v>
      </c>
      <c r="I367" s="2">
        <v>1</v>
      </c>
      <c r="J367" s="2">
        <v>3</v>
      </c>
      <c r="K367" s="2">
        <v>0</v>
      </c>
      <c r="L367" s="2">
        <v>0</v>
      </c>
      <c r="M367" s="2" t="s">
        <v>34</v>
      </c>
      <c r="N367" s="2" t="s">
        <v>43</v>
      </c>
      <c r="O367" s="2" t="s">
        <v>44</v>
      </c>
      <c r="P367" s="2" t="s">
        <v>45</v>
      </c>
      <c r="Q367" s="2">
        <v>0</v>
      </c>
      <c r="R367" s="2">
        <v>0</v>
      </c>
      <c r="S367" s="2">
        <v>0</v>
      </c>
      <c r="T367" s="2" t="s">
        <v>57</v>
      </c>
      <c r="U367" s="2" t="s">
        <v>72</v>
      </c>
      <c r="V367" s="2">
        <v>0</v>
      </c>
      <c r="W367" s="2" t="s">
        <v>38</v>
      </c>
      <c r="X367" s="2">
        <v>9</v>
      </c>
      <c r="Y367" s="2"/>
      <c r="Z367" s="2">
        <v>0</v>
      </c>
      <c r="AA367" s="2" t="s">
        <v>39</v>
      </c>
      <c r="AB367" s="2">
        <v>187</v>
      </c>
      <c r="AC367" s="2">
        <v>0</v>
      </c>
      <c r="AD367" s="2">
        <v>2</v>
      </c>
      <c r="AE367" s="2" t="s">
        <v>40</v>
      </c>
      <c r="AF367" s="3">
        <v>42575</v>
      </c>
    </row>
    <row r="368" spans="1:32" x14ac:dyDescent="0.25">
      <c r="A368" s="2" t="s">
        <v>32</v>
      </c>
      <c r="B368" s="2">
        <v>1</v>
      </c>
      <c r="C368" s="2">
        <v>41</v>
      </c>
      <c r="D368" s="2">
        <v>2016</v>
      </c>
      <c r="E368" s="2" t="s">
        <v>62</v>
      </c>
      <c r="F368" s="2">
        <v>39</v>
      </c>
      <c r="G368" s="2">
        <v>23</v>
      </c>
      <c r="H368" s="2">
        <v>0</v>
      </c>
      <c r="I368" s="2">
        <v>1</v>
      </c>
      <c r="J368" s="2">
        <v>1</v>
      </c>
      <c r="K368" s="2">
        <v>0</v>
      </c>
      <c r="L368" s="2">
        <v>0</v>
      </c>
      <c r="M368" s="2" t="s">
        <v>34</v>
      </c>
      <c r="N368" s="2" t="s">
        <v>95</v>
      </c>
      <c r="O368" s="2" t="s">
        <v>44</v>
      </c>
      <c r="P368" s="2" t="s">
        <v>45</v>
      </c>
      <c r="Q368" s="2">
        <v>0</v>
      </c>
      <c r="R368" s="2">
        <v>0</v>
      </c>
      <c r="S368" s="2">
        <v>0</v>
      </c>
      <c r="T368" s="2" t="s">
        <v>72</v>
      </c>
      <c r="U368" s="2" t="s">
        <v>72</v>
      </c>
      <c r="V368" s="2">
        <v>0</v>
      </c>
      <c r="W368" s="2" t="s">
        <v>38</v>
      </c>
      <c r="X368" s="2">
        <v>240</v>
      </c>
      <c r="Y368" s="2"/>
      <c r="Z368" s="2">
        <v>0</v>
      </c>
      <c r="AA368" s="2" t="s">
        <v>39</v>
      </c>
      <c r="AB368" s="2">
        <v>139</v>
      </c>
      <c r="AC368" s="2">
        <v>0</v>
      </c>
      <c r="AD368" s="2">
        <v>1</v>
      </c>
      <c r="AE368" s="2" t="s">
        <v>47</v>
      </c>
      <c r="AF368" s="3">
        <v>42608</v>
      </c>
    </row>
    <row r="369" spans="1:32" x14ac:dyDescent="0.25">
      <c r="A369" s="2" t="s">
        <v>41</v>
      </c>
      <c r="B369" s="2">
        <v>0</v>
      </c>
      <c r="C369" s="2">
        <v>220</v>
      </c>
      <c r="D369" s="2">
        <v>2016</v>
      </c>
      <c r="E369" s="2" t="s">
        <v>62</v>
      </c>
      <c r="F369" s="2">
        <v>38</v>
      </c>
      <c r="G369" s="2">
        <v>17</v>
      </c>
      <c r="H369" s="2">
        <v>2</v>
      </c>
      <c r="I369" s="2">
        <v>1</v>
      </c>
      <c r="J369" s="2">
        <v>1</v>
      </c>
      <c r="K369" s="2">
        <v>0</v>
      </c>
      <c r="L369" s="2">
        <v>0</v>
      </c>
      <c r="M369" s="2" t="s">
        <v>60</v>
      </c>
      <c r="N369" s="2" t="s">
        <v>106</v>
      </c>
      <c r="O369" s="2" t="s">
        <v>49</v>
      </c>
      <c r="P369" s="2" t="s">
        <v>45</v>
      </c>
      <c r="Q369" s="2">
        <v>0</v>
      </c>
      <c r="R369" s="2">
        <v>0</v>
      </c>
      <c r="S369" s="2">
        <v>0</v>
      </c>
      <c r="T369" s="2" t="s">
        <v>46</v>
      </c>
      <c r="U369" s="2" t="s">
        <v>46</v>
      </c>
      <c r="V369" s="2">
        <v>1</v>
      </c>
      <c r="W369" s="2" t="s">
        <v>38</v>
      </c>
      <c r="X369" s="2">
        <v>177</v>
      </c>
      <c r="Y369" s="2"/>
      <c r="Z369" s="2">
        <v>0</v>
      </c>
      <c r="AA369" s="2" t="s">
        <v>51</v>
      </c>
      <c r="AB369" s="2">
        <v>128</v>
      </c>
      <c r="AC369" s="2">
        <v>0</v>
      </c>
      <c r="AD369" s="2">
        <v>0</v>
      </c>
      <c r="AE369" s="2" t="s">
        <v>40</v>
      </c>
      <c r="AF369" s="3">
        <v>42633</v>
      </c>
    </row>
    <row r="370" spans="1:32" x14ac:dyDescent="0.25">
      <c r="A370" s="2" t="s">
        <v>41</v>
      </c>
      <c r="B370" s="2">
        <v>0</v>
      </c>
      <c r="C370" s="2">
        <v>133</v>
      </c>
      <c r="D370" s="2">
        <v>2016</v>
      </c>
      <c r="E370" s="2" t="s">
        <v>59</v>
      </c>
      <c r="F370" s="2">
        <v>44</v>
      </c>
      <c r="G370" s="2">
        <v>23</v>
      </c>
      <c r="H370" s="2">
        <v>2</v>
      </c>
      <c r="I370" s="2">
        <v>2</v>
      </c>
      <c r="J370" s="2">
        <v>2</v>
      </c>
      <c r="K370" s="2">
        <v>0</v>
      </c>
      <c r="L370" s="2">
        <v>0</v>
      </c>
      <c r="M370" s="2" t="s">
        <v>34</v>
      </c>
      <c r="N370" s="2" t="s">
        <v>35</v>
      </c>
      <c r="O370" s="2" t="s">
        <v>36</v>
      </c>
      <c r="P370" s="2" t="s">
        <v>36</v>
      </c>
      <c r="Q370" s="2">
        <v>0</v>
      </c>
      <c r="R370" s="2">
        <v>0</v>
      </c>
      <c r="S370" s="2">
        <v>0</v>
      </c>
      <c r="T370" s="2" t="s">
        <v>57</v>
      </c>
      <c r="U370" s="2" t="s">
        <v>57</v>
      </c>
      <c r="V370" s="2">
        <v>0</v>
      </c>
      <c r="W370" s="2" t="s">
        <v>38</v>
      </c>
      <c r="X370" s="2">
        <v>14</v>
      </c>
      <c r="Y370" s="2"/>
      <c r="Z370" s="2">
        <v>0</v>
      </c>
      <c r="AA370" s="2" t="s">
        <v>39</v>
      </c>
      <c r="AB370" s="2">
        <v>108.38</v>
      </c>
      <c r="AC370" s="2">
        <v>0</v>
      </c>
      <c r="AD370" s="2">
        <v>0</v>
      </c>
      <c r="AE370" s="2" t="s">
        <v>40</v>
      </c>
      <c r="AF370" s="3">
        <v>42670</v>
      </c>
    </row>
    <row r="371" spans="1:32" x14ac:dyDescent="0.25">
      <c r="A371" s="2" t="s">
        <v>32</v>
      </c>
      <c r="B371" s="2">
        <v>0</v>
      </c>
      <c r="C371" s="2">
        <v>213</v>
      </c>
      <c r="D371" s="2">
        <v>2016</v>
      </c>
      <c r="E371" s="2" t="s">
        <v>69</v>
      </c>
      <c r="F371" s="2">
        <v>21</v>
      </c>
      <c r="G371" s="2">
        <v>16</v>
      </c>
      <c r="H371" s="2">
        <v>1</v>
      </c>
      <c r="I371" s="2">
        <v>1</v>
      </c>
      <c r="J371" s="2">
        <v>1</v>
      </c>
      <c r="K371" s="2">
        <v>0</v>
      </c>
      <c r="L371" s="2">
        <v>0</v>
      </c>
      <c r="M371" s="2" t="s">
        <v>60</v>
      </c>
      <c r="N371" s="2" t="s">
        <v>56</v>
      </c>
      <c r="O371" s="2" t="s">
        <v>64</v>
      </c>
      <c r="P371" s="2" t="s">
        <v>45</v>
      </c>
      <c r="Q371" s="2">
        <v>0</v>
      </c>
      <c r="R371" s="2">
        <v>0</v>
      </c>
      <c r="S371" s="2">
        <v>0</v>
      </c>
      <c r="T371" s="2" t="s">
        <v>46</v>
      </c>
      <c r="U371" s="2" t="s">
        <v>46</v>
      </c>
      <c r="V371" s="2">
        <v>1</v>
      </c>
      <c r="W371" s="2" t="s">
        <v>38</v>
      </c>
      <c r="X371" s="2">
        <v>298</v>
      </c>
      <c r="Y371" s="2"/>
      <c r="Z371" s="2">
        <v>0</v>
      </c>
      <c r="AA371" s="2" t="s">
        <v>51</v>
      </c>
      <c r="AB371" s="2">
        <v>54.5</v>
      </c>
      <c r="AC371" s="2">
        <v>0</v>
      </c>
      <c r="AD371" s="2">
        <v>0</v>
      </c>
      <c r="AE371" s="2" t="s">
        <v>40</v>
      </c>
      <c r="AF371" s="3">
        <v>42508</v>
      </c>
    </row>
    <row r="372" spans="1:32" x14ac:dyDescent="0.25">
      <c r="A372" s="2" t="s">
        <v>41</v>
      </c>
      <c r="B372" s="2">
        <v>0</v>
      </c>
      <c r="C372" s="2">
        <v>23</v>
      </c>
      <c r="D372" s="2">
        <v>2016</v>
      </c>
      <c r="E372" s="2" t="s">
        <v>74</v>
      </c>
      <c r="F372" s="2">
        <v>1</v>
      </c>
      <c r="G372" s="2">
        <v>2</v>
      </c>
      <c r="H372" s="2">
        <v>2</v>
      </c>
      <c r="I372" s="2">
        <v>1</v>
      </c>
      <c r="J372" s="2">
        <v>2</v>
      </c>
      <c r="K372" s="2">
        <v>0</v>
      </c>
      <c r="L372" s="2">
        <v>0</v>
      </c>
      <c r="M372" s="2" t="s">
        <v>60</v>
      </c>
      <c r="N372" s="2" t="s">
        <v>106</v>
      </c>
      <c r="O372" s="2" t="s">
        <v>49</v>
      </c>
      <c r="P372" s="2" t="s">
        <v>45</v>
      </c>
      <c r="Q372" s="2">
        <v>0</v>
      </c>
      <c r="R372" s="2">
        <v>0</v>
      </c>
      <c r="S372" s="2">
        <v>0</v>
      </c>
      <c r="T372" s="2" t="s">
        <v>46</v>
      </c>
      <c r="U372" s="2" t="s">
        <v>46</v>
      </c>
      <c r="V372" s="2">
        <v>0</v>
      </c>
      <c r="W372" s="2" t="s">
        <v>38</v>
      </c>
      <c r="X372" s="2">
        <v>26</v>
      </c>
      <c r="Y372" s="2"/>
      <c r="Z372" s="2">
        <v>0</v>
      </c>
      <c r="AA372" s="2" t="s">
        <v>51</v>
      </c>
      <c r="AB372" s="2">
        <v>109</v>
      </c>
      <c r="AC372" s="2">
        <v>0</v>
      </c>
      <c r="AD372" s="2">
        <v>0</v>
      </c>
      <c r="AE372" s="2" t="s">
        <v>40</v>
      </c>
      <c r="AF372" s="3">
        <v>42374</v>
      </c>
    </row>
    <row r="373" spans="1:32" x14ac:dyDescent="0.25">
      <c r="A373" s="2" t="s">
        <v>41</v>
      </c>
      <c r="B373" s="2">
        <v>1</v>
      </c>
      <c r="C373" s="2">
        <v>47</v>
      </c>
      <c r="D373" s="2">
        <v>2016</v>
      </c>
      <c r="E373" s="2" t="s">
        <v>54</v>
      </c>
      <c r="F373" s="2">
        <v>16</v>
      </c>
      <c r="G373" s="2">
        <v>12</v>
      </c>
      <c r="H373" s="2">
        <v>0</v>
      </c>
      <c r="I373" s="2">
        <v>1</v>
      </c>
      <c r="J373" s="2">
        <v>1</v>
      </c>
      <c r="K373" s="2">
        <v>0</v>
      </c>
      <c r="L373" s="2">
        <v>0</v>
      </c>
      <c r="M373" s="2" t="s">
        <v>34</v>
      </c>
      <c r="N373" s="2" t="s">
        <v>63</v>
      </c>
      <c r="O373" s="2" t="s">
        <v>44</v>
      </c>
      <c r="P373" s="2" t="s">
        <v>45</v>
      </c>
      <c r="Q373" s="2">
        <v>0</v>
      </c>
      <c r="R373" s="2">
        <v>0</v>
      </c>
      <c r="S373" s="2">
        <v>0</v>
      </c>
      <c r="T373" s="2" t="s">
        <v>46</v>
      </c>
      <c r="U373" s="2" t="s">
        <v>46</v>
      </c>
      <c r="V373" s="2">
        <v>0</v>
      </c>
      <c r="W373" s="2" t="s">
        <v>38</v>
      </c>
      <c r="X373" s="2">
        <v>9</v>
      </c>
      <c r="Y373" s="2"/>
      <c r="Z373" s="2">
        <v>0</v>
      </c>
      <c r="AA373" s="2" t="s">
        <v>39</v>
      </c>
      <c r="AB373" s="2">
        <v>99.9</v>
      </c>
      <c r="AC373" s="2">
        <v>0</v>
      </c>
      <c r="AD373" s="2">
        <v>0</v>
      </c>
      <c r="AE373" s="2" t="s">
        <v>47</v>
      </c>
      <c r="AF373" s="3">
        <v>42450</v>
      </c>
    </row>
    <row r="374" spans="1:32" x14ac:dyDescent="0.25">
      <c r="A374" s="2" t="s">
        <v>41</v>
      </c>
      <c r="B374" s="2">
        <v>1</v>
      </c>
      <c r="C374" s="2">
        <v>58</v>
      </c>
      <c r="D374" s="2">
        <v>2016</v>
      </c>
      <c r="E374" s="2" t="s">
        <v>74</v>
      </c>
      <c r="F374" s="2">
        <v>5</v>
      </c>
      <c r="G374" s="2">
        <v>27</v>
      </c>
      <c r="H374" s="2">
        <v>0</v>
      </c>
      <c r="I374" s="2">
        <v>2</v>
      </c>
      <c r="J374" s="2">
        <v>1</v>
      </c>
      <c r="K374" s="2">
        <v>0</v>
      </c>
      <c r="L374" s="2">
        <v>0</v>
      </c>
      <c r="M374" s="2" t="s">
        <v>34</v>
      </c>
      <c r="N374" s="2" t="s">
        <v>43</v>
      </c>
      <c r="O374" s="2" t="s">
        <v>49</v>
      </c>
      <c r="P374" s="2" t="s">
        <v>45</v>
      </c>
      <c r="Q374" s="2">
        <v>0</v>
      </c>
      <c r="R374" s="2">
        <v>1</v>
      </c>
      <c r="S374" s="2">
        <v>0</v>
      </c>
      <c r="T374" s="2" t="s">
        <v>46</v>
      </c>
      <c r="U374" s="2" t="s">
        <v>46</v>
      </c>
      <c r="V374" s="2">
        <v>0</v>
      </c>
      <c r="W374" s="2" t="s">
        <v>38</v>
      </c>
      <c r="X374" s="2">
        <v>87</v>
      </c>
      <c r="Y374" s="2"/>
      <c r="Z374" s="2">
        <v>0</v>
      </c>
      <c r="AA374" s="2" t="s">
        <v>51</v>
      </c>
      <c r="AB374" s="2">
        <v>80</v>
      </c>
      <c r="AC374" s="2">
        <v>0</v>
      </c>
      <c r="AD374" s="2">
        <v>0</v>
      </c>
      <c r="AE374" s="2" t="s">
        <v>47</v>
      </c>
      <c r="AF374" s="3">
        <v>42376</v>
      </c>
    </row>
    <row r="375" spans="1:32" x14ac:dyDescent="0.25">
      <c r="A375" s="2" t="s">
        <v>32</v>
      </c>
      <c r="B375" s="2">
        <v>1</v>
      </c>
      <c r="C375" s="2">
        <v>349</v>
      </c>
      <c r="D375" s="2">
        <v>2016</v>
      </c>
      <c r="E375" s="2" t="s">
        <v>67</v>
      </c>
      <c r="F375" s="2">
        <v>32</v>
      </c>
      <c r="G375" s="2">
        <v>4</v>
      </c>
      <c r="H375" s="2">
        <v>2</v>
      </c>
      <c r="I375" s="2">
        <v>3</v>
      </c>
      <c r="J375" s="2">
        <v>2</v>
      </c>
      <c r="K375" s="2">
        <v>0</v>
      </c>
      <c r="L375" s="2">
        <v>0</v>
      </c>
      <c r="M375" s="2" t="s">
        <v>34</v>
      </c>
      <c r="N375" s="2" t="s">
        <v>43</v>
      </c>
      <c r="O375" s="2" t="s">
        <v>44</v>
      </c>
      <c r="P375" s="2" t="s">
        <v>45</v>
      </c>
      <c r="Q375" s="2">
        <v>0</v>
      </c>
      <c r="R375" s="2">
        <v>0</v>
      </c>
      <c r="S375" s="2">
        <v>0</v>
      </c>
      <c r="T375" s="2" t="s">
        <v>46</v>
      </c>
      <c r="U375" s="2" t="s">
        <v>46</v>
      </c>
      <c r="V375" s="2">
        <v>0</v>
      </c>
      <c r="W375" s="2" t="s">
        <v>38</v>
      </c>
      <c r="X375" s="2">
        <v>240</v>
      </c>
      <c r="Y375" s="2"/>
      <c r="Z375" s="2">
        <v>0</v>
      </c>
      <c r="AA375" s="2" t="s">
        <v>39</v>
      </c>
      <c r="AB375" s="2">
        <v>125.4</v>
      </c>
      <c r="AC375" s="2">
        <v>0</v>
      </c>
      <c r="AD375" s="2">
        <v>3</v>
      </c>
      <c r="AE375" s="2" t="s">
        <v>47</v>
      </c>
      <c r="AF375" s="3">
        <v>42542</v>
      </c>
    </row>
    <row r="376" spans="1:32" x14ac:dyDescent="0.25">
      <c r="A376" s="2" t="s">
        <v>41</v>
      </c>
      <c r="B376" s="2">
        <v>0</v>
      </c>
      <c r="C376" s="2">
        <v>4</v>
      </c>
      <c r="D376" s="2">
        <v>2016</v>
      </c>
      <c r="E376" s="2" t="s">
        <v>66</v>
      </c>
      <c r="F376" s="2">
        <v>7</v>
      </c>
      <c r="G376" s="2">
        <v>13</v>
      </c>
      <c r="H376" s="2">
        <v>0</v>
      </c>
      <c r="I376" s="2">
        <v>1</v>
      </c>
      <c r="J376" s="2">
        <v>2</v>
      </c>
      <c r="K376" s="2">
        <v>0</v>
      </c>
      <c r="L376" s="2">
        <v>0</v>
      </c>
      <c r="M376" s="2" t="s">
        <v>34</v>
      </c>
      <c r="N376" s="2" t="s">
        <v>43</v>
      </c>
      <c r="O376" s="2" t="s">
        <v>36</v>
      </c>
      <c r="P376" s="2" t="s">
        <v>36</v>
      </c>
      <c r="Q376" s="2">
        <v>0</v>
      </c>
      <c r="R376" s="2">
        <v>0</v>
      </c>
      <c r="S376" s="2">
        <v>0</v>
      </c>
      <c r="T376" s="2" t="s">
        <v>57</v>
      </c>
      <c r="U376" s="2" t="s">
        <v>57</v>
      </c>
      <c r="V376" s="2">
        <v>0</v>
      </c>
      <c r="W376" s="2" t="s">
        <v>38</v>
      </c>
      <c r="X376" s="2">
        <v>14</v>
      </c>
      <c r="Y376" s="2"/>
      <c r="Z376" s="2">
        <v>0</v>
      </c>
      <c r="AA376" s="2" t="s">
        <v>39</v>
      </c>
      <c r="AB376" s="2">
        <v>95</v>
      </c>
      <c r="AC376" s="2">
        <v>0</v>
      </c>
      <c r="AD376" s="2">
        <v>2</v>
      </c>
      <c r="AE376" s="2" t="s">
        <v>40</v>
      </c>
      <c r="AF376" s="3">
        <v>42414</v>
      </c>
    </row>
    <row r="377" spans="1:32" x14ac:dyDescent="0.25">
      <c r="A377" s="2" t="s">
        <v>32</v>
      </c>
      <c r="B377" s="2">
        <v>0</v>
      </c>
      <c r="C377" s="2">
        <v>1</v>
      </c>
      <c r="D377" s="2">
        <v>2016</v>
      </c>
      <c r="E377" s="2" t="s">
        <v>33</v>
      </c>
      <c r="F377" s="2">
        <v>51</v>
      </c>
      <c r="G377" s="2">
        <v>17</v>
      </c>
      <c r="H377" s="2">
        <v>0</v>
      </c>
      <c r="I377" s="2">
        <v>1</v>
      </c>
      <c r="J377" s="2">
        <v>2</v>
      </c>
      <c r="K377" s="2">
        <v>1</v>
      </c>
      <c r="L377" s="2">
        <v>0</v>
      </c>
      <c r="M377" s="2" t="s">
        <v>60</v>
      </c>
      <c r="N377" s="2" t="s">
        <v>63</v>
      </c>
      <c r="O377" s="2" t="s">
        <v>44</v>
      </c>
      <c r="P377" s="2" t="s">
        <v>45</v>
      </c>
      <c r="Q377" s="2">
        <v>0</v>
      </c>
      <c r="R377" s="2">
        <v>0</v>
      </c>
      <c r="S377" s="2">
        <v>0</v>
      </c>
      <c r="T377" s="2" t="s">
        <v>84</v>
      </c>
      <c r="U377" s="2" t="s">
        <v>84</v>
      </c>
      <c r="V377" s="2">
        <v>0</v>
      </c>
      <c r="W377" s="2" t="s">
        <v>38</v>
      </c>
      <c r="X377" s="2">
        <v>240</v>
      </c>
      <c r="Y377" s="2"/>
      <c r="Z377" s="2">
        <v>0</v>
      </c>
      <c r="AA377" s="2" t="s">
        <v>39</v>
      </c>
      <c r="AB377" s="2">
        <v>136</v>
      </c>
      <c r="AC377" s="2">
        <v>0</v>
      </c>
      <c r="AD377" s="2">
        <v>1</v>
      </c>
      <c r="AE377" s="2" t="s">
        <v>40</v>
      </c>
      <c r="AF377" s="3">
        <v>42722</v>
      </c>
    </row>
    <row r="378" spans="1:32" x14ac:dyDescent="0.25">
      <c r="A378" s="2" t="s">
        <v>41</v>
      </c>
      <c r="B378" s="2">
        <v>1</v>
      </c>
      <c r="C378" s="2">
        <v>6</v>
      </c>
      <c r="D378" s="2">
        <v>2016</v>
      </c>
      <c r="E378" s="2" t="s">
        <v>61</v>
      </c>
      <c r="F378" s="2">
        <v>48</v>
      </c>
      <c r="G378" s="2">
        <v>24</v>
      </c>
      <c r="H378" s="2">
        <v>0</v>
      </c>
      <c r="I378" s="2">
        <v>1</v>
      </c>
      <c r="J378" s="2">
        <v>1</v>
      </c>
      <c r="K378" s="2">
        <v>0</v>
      </c>
      <c r="L378" s="2">
        <v>0</v>
      </c>
      <c r="M378" s="2" t="s">
        <v>34</v>
      </c>
      <c r="N378" s="2" t="s">
        <v>43</v>
      </c>
      <c r="O378" s="2" t="s">
        <v>76</v>
      </c>
      <c r="P378" s="2" t="s">
        <v>76</v>
      </c>
      <c r="Q378" s="2">
        <v>1</v>
      </c>
      <c r="R378" s="2">
        <v>1</v>
      </c>
      <c r="S378" s="2">
        <v>3</v>
      </c>
      <c r="T378" s="2" t="s">
        <v>46</v>
      </c>
      <c r="U378" s="2" t="s">
        <v>46</v>
      </c>
      <c r="V378" s="2">
        <v>0</v>
      </c>
      <c r="W378" s="2" t="s">
        <v>38</v>
      </c>
      <c r="X378" s="2"/>
      <c r="Y378" s="2">
        <v>40</v>
      </c>
      <c r="Z378" s="2">
        <v>0</v>
      </c>
      <c r="AA378" s="2" t="s">
        <v>39</v>
      </c>
      <c r="AB378" s="2">
        <v>65</v>
      </c>
      <c r="AC378" s="2">
        <v>0</v>
      </c>
      <c r="AD378" s="2">
        <v>1</v>
      </c>
      <c r="AE378" s="2" t="s">
        <v>47</v>
      </c>
      <c r="AF378" s="3">
        <v>42697</v>
      </c>
    </row>
    <row r="379" spans="1:32" x14ac:dyDescent="0.25">
      <c r="A379" s="2" t="s">
        <v>41</v>
      </c>
      <c r="B379" s="2">
        <v>0</v>
      </c>
      <c r="C379" s="2">
        <v>34</v>
      </c>
      <c r="D379" s="2">
        <v>2016</v>
      </c>
      <c r="E379" s="2" t="s">
        <v>61</v>
      </c>
      <c r="F379" s="2">
        <v>46</v>
      </c>
      <c r="G379" s="2">
        <v>7</v>
      </c>
      <c r="H379" s="2">
        <v>1</v>
      </c>
      <c r="I379" s="2">
        <v>2</v>
      </c>
      <c r="J379" s="2">
        <v>1</v>
      </c>
      <c r="K379" s="2">
        <v>0</v>
      </c>
      <c r="L379" s="2">
        <v>0</v>
      </c>
      <c r="M379" s="2" t="s">
        <v>34</v>
      </c>
      <c r="N379" s="2" t="s">
        <v>56</v>
      </c>
      <c r="O379" s="2" t="s">
        <v>44</v>
      </c>
      <c r="P379" s="2" t="s">
        <v>114</v>
      </c>
      <c r="Q379" s="2">
        <v>0</v>
      </c>
      <c r="R379" s="2">
        <v>0</v>
      </c>
      <c r="S379" s="2">
        <v>0</v>
      </c>
      <c r="T379" s="2" t="s">
        <v>46</v>
      </c>
      <c r="U379" s="2" t="s">
        <v>46</v>
      </c>
      <c r="V379" s="2">
        <v>0</v>
      </c>
      <c r="W379" s="2" t="s">
        <v>38</v>
      </c>
      <c r="X379" s="2">
        <v>195</v>
      </c>
      <c r="Y379" s="2"/>
      <c r="Z379" s="2">
        <v>0</v>
      </c>
      <c r="AA379" s="2" t="s">
        <v>39</v>
      </c>
      <c r="AB379" s="2">
        <v>169.2</v>
      </c>
      <c r="AC379" s="2">
        <v>0</v>
      </c>
      <c r="AD379" s="2">
        <v>0</v>
      </c>
      <c r="AE379" s="2" t="s">
        <v>40</v>
      </c>
      <c r="AF379" s="3">
        <v>42684</v>
      </c>
    </row>
    <row r="380" spans="1:32" x14ac:dyDescent="0.25">
      <c r="A380" s="2" t="s">
        <v>32</v>
      </c>
      <c r="B380" s="2">
        <v>1</v>
      </c>
      <c r="C380" s="2">
        <v>139</v>
      </c>
      <c r="D380" s="2">
        <v>2016</v>
      </c>
      <c r="E380" s="2" t="s">
        <v>54</v>
      </c>
      <c r="F380" s="2">
        <v>15</v>
      </c>
      <c r="G380" s="2">
        <v>4</v>
      </c>
      <c r="H380" s="2">
        <v>1</v>
      </c>
      <c r="I380" s="2">
        <v>1</v>
      </c>
      <c r="J380" s="2">
        <v>3</v>
      </c>
      <c r="K380" s="2">
        <v>0</v>
      </c>
      <c r="L380" s="2">
        <v>0</v>
      </c>
      <c r="M380" s="2" t="s">
        <v>34</v>
      </c>
      <c r="N380" s="2" t="s">
        <v>43</v>
      </c>
      <c r="O380" s="2" t="s">
        <v>44</v>
      </c>
      <c r="P380" s="2" t="s">
        <v>45</v>
      </c>
      <c r="Q380" s="2">
        <v>0</v>
      </c>
      <c r="R380" s="2">
        <v>0</v>
      </c>
      <c r="S380" s="2">
        <v>0</v>
      </c>
      <c r="T380" s="2" t="s">
        <v>57</v>
      </c>
      <c r="U380" s="2" t="s">
        <v>57</v>
      </c>
      <c r="V380" s="2">
        <v>0</v>
      </c>
      <c r="W380" s="2" t="s">
        <v>38</v>
      </c>
      <c r="X380" s="2">
        <v>242</v>
      </c>
      <c r="Y380" s="2"/>
      <c r="Z380" s="2">
        <v>0</v>
      </c>
      <c r="AA380" s="2" t="s">
        <v>39</v>
      </c>
      <c r="AB380" s="2">
        <v>94</v>
      </c>
      <c r="AC380" s="2">
        <v>0</v>
      </c>
      <c r="AD380" s="2">
        <v>1</v>
      </c>
      <c r="AE380" s="2" t="s">
        <v>47</v>
      </c>
      <c r="AF380" s="3">
        <v>42437</v>
      </c>
    </row>
    <row r="381" spans="1:32" x14ac:dyDescent="0.25">
      <c r="A381" s="2" t="s">
        <v>41</v>
      </c>
      <c r="B381" s="2">
        <v>0</v>
      </c>
      <c r="C381" s="2">
        <v>14</v>
      </c>
      <c r="D381" s="2">
        <v>2016</v>
      </c>
      <c r="E381" s="2" t="s">
        <v>42</v>
      </c>
      <c r="F381" s="2">
        <v>27</v>
      </c>
      <c r="G381" s="2">
        <v>2</v>
      </c>
      <c r="H381" s="2">
        <v>2</v>
      </c>
      <c r="I381" s="2">
        <v>3</v>
      </c>
      <c r="J381" s="2">
        <v>2</v>
      </c>
      <c r="K381" s="2">
        <v>0</v>
      </c>
      <c r="L381" s="2">
        <v>0</v>
      </c>
      <c r="M381" s="2" t="s">
        <v>34</v>
      </c>
      <c r="N381" s="2" t="s">
        <v>56</v>
      </c>
      <c r="O381" s="2" t="s">
        <v>44</v>
      </c>
      <c r="P381" s="2" t="s">
        <v>45</v>
      </c>
      <c r="Q381" s="2">
        <v>0</v>
      </c>
      <c r="R381" s="2">
        <v>0</v>
      </c>
      <c r="S381" s="2">
        <v>0</v>
      </c>
      <c r="T381" s="2" t="s">
        <v>46</v>
      </c>
      <c r="U381" s="2" t="s">
        <v>46</v>
      </c>
      <c r="V381" s="2">
        <v>0</v>
      </c>
      <c r="W381" s="2" t="s">
        <v>38</v>
      </c>
      <c r="X381" s="2">
        <v>9</v>
      </c>
      <c r="Y381" s="2"/>
      <c r="Z381" s="2">
        <v>0</v>
      </c>
      <c r="AA381" s="2" t="s">
        <v>39</v>
      </c>
      <c r="AB381" s="2">
        <v>151</v>
      </c>
      <c r="AC381" s="2">
        <v>0</v>
      </c>
      <c r="AD381" s="2">
        <v>2</v>
      </c>
      <c r="AE381" s="2" t="s">
        <v>40</v>
      </c>
      <c r="AF381" s="3">
        <v>42558</v>
      </c>
    </row>
    <row r="382" spans="1:32" x14ac:dyDescent="0.25">
      <c r="A382" s="2" t="s">
        <v>41</v>
      </c>
      <c r="B382" s="2">
        <v>0</v>
      </c>
      <c r="C382" s="2">
        <v>46</v>
      </c>
      <c r="D382" s="2">
        <v>2016</v>
      </c>
      <c r="E382" s="2" t="s">
        <v>42</v>
      </c>
      <c r="F382" s="2">
        <v>31</v>
      </c>
      <c r="G382" s="2">
        <v>27</v>
      </c>
      <c r="H382" s="2">
        <v>0</v>
      </c>
      <c r="I382" s="2">
        <v>1</v>
      </c>
      <c r="J382" s="2">
        <v>2</v>
      </c>
      <c r="K382" s="2">
        <v>1</v>
      </c>
      <c r="L382" s="2">
        <v>0</v>
      </c>
      <c r="M382" s="2" t="s">
        <v>34</v>
      </c>
      <c r="N382" s="2" t="s">
        <v>82</v>
      </c>
      <c r="O382" s="2" t="s">
        <v>44</v>
      </c>
      <c r="P382" s="2" t="s">
        <v>45</v>
      </c>
      <c r="Q382" s="2">
        <v>0</v>
      </c>
      <c r="R382" s="2">
        <v>0</v>
      </c>
      <c r="S382" s="2">
        <v>0</v>
      </c>
      <c r="T382" s="2" t="s">
        <v>46</v>
      </c>
      <c r="U382" s="2" t="s">
        <v>72</v>
      </c>
      <c r="V382" s="2">
        <v>0</v>
      </c>
      <c r="W382" s="2" t="s">
        <v>38</v>
      </c>
      <c r="X382" s="2">
        <v>9</v>
      </c>
      <c r="Y382" s="2"/>
      <c r="Z382" s="2">
        <v>0</v>
      </c>
      <c r="AA382" s="2" t="s">
        <v>39</v>
      </c>
      <c r="AB382" s="2">
        <v>152.1</v>
      </c>
      <c r="AC382" s="2">
        <v>0</v>
      </c>
      <c r="AD382" s="2">
        <v>2</v>
      </c>
      <c r="AE382" s="2" t="s">
        <v>40</v>
      </c>
      <c r="AF382" s="3">
        <v>42579</v>
      </c>
    </row>
    <row r="383" spans="1:32" x14ac:dyDescent="0.25">
      <c r="A383" s="2" t="s">
        <v>41</v>
      </c>
      <c r="B383" s="2">
        <v>1</v>
      </c>
      <c r="C383" s="2">
        <v>86</v>
      </c>
      <c r="D383" s="2">
        <v>2016</v>
      </c>
      <c r="E383" s="2" t="s">
        <v>33</v>
      </c>
      <c r="F383" s="2">
        <v>52</v>
      </c>
      <c r="G383" s="2">
        <v>24</v>
      </c>
      <c r="H383" s="2">
        <v>2</v>
      </c>
      <c r="I383" s="2">
        <v>3</v>
      </c>
      <c r="J383" s="2">
        <v>3</v>
      </c>
      <c r="K383" s="2">
        <v>0</v>
      </c>
      <c r="L383" s="2">
        <v>0</v>
      </c>
      <c r="M383" s="2" t="s">
        <v>34</v>
      </c>
      <c r="N383" s="2" t="s">
        <v>56</v>
      </c>
      <c r="O383" s="2" t="s">
        <v>44</v>
      </c>
      <c r="P383" s="2" t="s">
        <v>45</v>
      </c>
      <c r="Q383" s="2">
        <v>0</v>
      </c>
      <c r="R383" s="2">
        <v>0</v>
      </c>
      <c r="S383" s="2">
        <v>0</v>
      </c>
      <c r="T383" s="2" t="s">
        <v>57</v>
      </c>
      <c r="U383" s="2" t="s">
        <v>57</v>
      </c>
      <c r="V383" s="2">
        <v>0</v>
      </c>
      <c r="W383" s="2" t="s">
        <v>38</v>
      </c>
      <c r="X383" s="2">
        <v>9</v>
      </c>
      <c r="Y383" s="2"/>
      <c r="Z383" s="2">
        <v>0</v>
      </c>
      <c r="AA383" s="2" t="s">
        <v>39</v>
      </c>
      <c r="AB383" s="2">
        <v>119</v>
      </c>
      <c r="AC383" s="2">
        <v>0</v>
      </c>
      <c r="AD383" s="2">
        <v>2</v>
      </c>
      <c r="AE383" s="2" t="s">
        <v>47</v>
      </c>
      <c r="AF383" s="3">
        <v>42704</v>
      </c>
    </row>
    <row r="384" spans="1:32" x14ac:dyDescent="0.25">
      <c r="A384" s="2" t="s">
        <v>41</v>
      </c>
      <c r="B384" s="2">
        <v>1</v>
      </c>
      <c r="C384" s="2">
        <v>265</v>
      </c>
      <c r="D384" s="2">
        <v>2016</v>
      </c>
      <c r="E384" s="2" t="s">
        <v>54</v>
      </c>
      <c r="F384" s="2">
        <v>17</v>
      </c>
      <c r="G384" s="2">
        <v>20</v>
      </c>
      <c r="H384" s="2">
        <v>0</v>
      </c>
      <c r="I384" s="2">
        <v>4</v>
      </c>
      <c r="J384" s="2">
        <v>2</v>
      </c>
      <c r="K384" s="2">
        <v>0</v>
      </c>
      <c r="L384" s="2">
        <v>0</v>
      </c>
      <c r="M384" s="2" t="s">
        <v>34</v>
      </c>
      <c r="N384" s="2" t="s">
        <v>43</v>
      </c>
      <c r="O384" s="2" t="s">
        <v>64</v>
      </c>
      <c r="P384" s="2" t="s">
        <v>45</v>
      </c>
      <c r="Q384" s="2">
        <v>0</v>
      </c>
      <c r="R384" s="2">
        <v>0</v>
      </c>
      <c r="S384" s="2">
        <v>0</v>
      </c>
      <c r="T384" s="2" t="s">
        <v>46</v>
      </c>
      <c r="U384" s="2" t="s">
        <v>46</v>
      </c>
      <c r="V384" s="2">
        <v>0</v>
      </c>
      <c r="W384" s="2" t="s">
        <v>68</v>
      </c>
      <c r="X384" s="2">
        <v>30</v>
      </c>
      <c r="Y384" s="2"/>
      <c r="Z384" s="2">
        <v>0</v>
      </c>
      <c r="AA384" s="2" t="s">
        <v>39</v>
      </c>
      <c r="AB384" s="2">
        <v>101</v>
      </c>
      <c r="AC384" s="2">
        <v>0</v>
      </c>
      <c r="AD384" s="2">
        <v>0</v>
      </c>
      <c r="AE384" s="2" t="s">
        <v>47</v>
      </c>
      <c r="AF384" s="3">
        <v>42215</v>
      </c>
    </row>
    <row r="385" spans="1:32" x14ac:dyDescent="0.25">
      <c r="A385" s="2" t="s">
        <v>32</v>
      </c>
      <c r="B385" s="2">
        <v>0</v>
      </c>
      <c r="C385" s="2">
        <v>47</v>
      </c>
      <c r="D385" s="2">
        <v>2016</v>
      </c>
      <c r="E385" s="2" t="s">
        <v>61</v>
      </c>
      <c r="F385" s="2">
        <v>47</v>
      </c>
      <c r="G385" s="2">
        <v>19</v>
      </c>
      <c r="H385" s="2">
        <v>2</v>
      </c>
      <c r="I385" s="2">
        <v>3</v>
      </c>
      <c r="J385" s="2">
        <v>2</v>
      </c>
      <c r="K385" s="2">
        <v>0</v>
      </c>
      <c r="L385" s="2">
        <v>0</v>
      </c>
      <c r="M385" s="2" t="s">
        <v>34</v>
      </c>
      <c r="N385" s="2" t="s">
        <v>115</v>
      </c>
      <c r="O385" s="2" t="s">
        <v>44</v>
      </c>
      <c r="P385" s="2" t="s">
        <v>45</v>
      </c>
      <c r="Q385" s="2">
        <v>0</v>
      </c>
      <c r="R385" s="2">
        <v>0</v>
      </c>
      <c r="S385" s="2">
        <v>0</v>
      </c>
      <c r="T385" s="2" t="s">
        <v>46</v>
      </c>
      <c r="U385" s="2" t="s">
        <v>46</v>
      </c>
      <c r="V385" s="2">
        <v>0</v>
      </c>
      <c r="W385" s="2" t="s">
        <v>38</v>
      </c>
      <c r="X385" s="2">
        <v>240</v>
      </c>
      <c r="Y385" s="2"/>
      <c r="Z385" s="2">
        <v>0</v>
      </c>
      <c r="AA385" s="2" t="s">
        <v>39</v>
      </c>
      <c r="AB385" s="2">
        <v>37.799999999999997</v>
      </c>
      <c r="AC385" s="2">
        <v>0</v>
      </c>
      <c r="AD385" s="2">
        <v>2</v>
      </c>
      <c r="AE385" s="2" t="s">
        <v>40</v>
      </c>
      <c r="AF385" s="3">
        <v>42698</v>
      </c>
    </row>
    <row r="386" spans="1:32" x14ac:dyDescent="0.25">
      <c r="A386" s="2" t="s">
        <v>32</v>
      </c>
      <c r="B386" s="2">
        <v>0</v>
      </c>
      <c r="C386" s="2">
        <v>199</v>
      </c>
      <c r="D386" s="2">
        <v>2016</v>
      </c>
      <c r="E386" s="2" t="s">
        <v>69</v>
      </c>
      <c r="F386" s="2">
        <v>19</v>
      </c>
      <c r="G386" s="2">
        <v>2</v>
      </c>
      <c r="H386" s="2">
        <v>1</v>
      </c>
      <c r="I386" s="2">
        <v>1</v>
      </c>
      <c r="J386" s="2">
        <v>2</v>
      </c>
      <c r="K386" s="2">
        <v>0</v>
      </c>
      <c r="L386" s="2">
        <v>0</v>
      </c>
      <c r="M386" s="2" t="s">
        <v>60</v>
      </c>
      <c r="N386" s="2" t="s">
        <v>56</v>
      </c>
      <c r="O386" s="2" t="s">
        <v>64</v>
      </c>
      <c r="P386" s="2" t="s">
        <v>45</v>
      </c>
      <c r="Q386" s="2">
        <v>0</v>
      </c>
      <c r="R386" s="2">
        <v>0</v>
      </c>
      <c r="S386" s="2">
        <v>0</v>
      </c>
      <c r="T386" s="2" t="s">
        <v>46</v>
      </c>
      <c r="U386" s="2" t="s">
        <v>46</v>
      </c>
      <c r="V386" s="2">
        <v>0</v>
      </c>
      <c r="W386" s="2" t="s">
        <v>38</v>
      </c>
      <c r="X386" s="2">
        <v>298</v>
      </c>
      <c r="Y386" s="2"/>
      <c r="Z386" s="2">
        <v>0</v>
      </c>
      <c r="AA386" s="2" t="s">
        <v>51</v>
      </c>
      <c r="AB386" s="2">
        <v>85</v>
      </c>
      <c r="AC386" s="2">
        <v>0</v>
      </c>
      <c r="AD386" s="2">
        <v>0</v>
      </c>
      <c r="AE386" s="2" t="s">
        <v>40</v>
      </c>
      <c r="AF386" s="3">
        <v>42494</v>
      </c>
    </row>
    <row r="387" spans="1:32" x14ac:dyDescent="0.25">
      <c r="A387" s="2" t="s">
        <v>32</v>
      </c>
      <c r="B387" s="2">
        <v>1</v>
      </c>
      <c r="C387" s="2">
        <v>106</v>
      </c>
      <c r="D387" s="2">
        <v>2016</v>
      </c>
      <c r="E387" s="2" t="s">
        <v>52</v>
      </c>
      <c r="F387" s="2">
        <v>13</v>
      </c>
      <c r="G387" s="2">
        <v>24</v>
      </c>
      <c r="H387" s="2">
        <v>1</v>
      </c>
      <c r="I387" s="2">
        <v>3</v>
      </c>
      <c r="J387" s="2">
        <v>2</v>
      </c>
      <c r="K387" s="2">
        <v>0</v>
      </c>
      <c r="L387" s="2">
        <v>0</v>
      </c>
      <c r="M387" s="2" t="s">
        <v>90</v>
      </c>
      <c r="N387" s="2" t="s">
        <v>43</v>
      </c>
      <c r="O387" s="2" t="s">
        <v>64</v>
      </c>
      <c r="P387" s="2" t="s">
        <v>36</v>
      </c>
      <c r="Q387" s="2">
        <v>0</v>
      </c>
      <c r="R387" s="2">
        <v>0</v>
      </c>
      <c r="S387" s="2">
        <v>0</v>
      </c>
      <c r="T387" s="2" t="s">
        <v>46</v>
      </c>
      <c r="U387" s="2" t="s">
        <v>46</v>
      </c>
      <c r="V387" s="2">
        <v>0</v>
      </c>
      <c r="W387" s="2" t="s">
        <v>68</v>
      </c>
      <c r="X387" s="2">
        <v>68</v>
      </c>
      <c r="Y387" s="2"/>
      <c r="Z387" s="2">
        <v>0</v>
      </c>
      <c r="AA387" s="2" t="s">
        <v>39</v>
      </c>
      <c r="AB387" s="2">
        <v>84</v>
      </c>
      <c r="AC387" s="2">
        <v>0</v>
      </c>
      <c r="AD387" s="2">
        <v>0</v>
      </c>
      <c r="AE387" s="2" t="s">
        <v>47</v>
      </c>
      <c r="AF387" s="3">
        <v>42391</v>
      </c>
    </row>
    <row r="388" spans="1:32" x14ac:dyDescent="0.25">
      <c r="A388" s="2" t="s">
        <v>41</v>
      </c>
      <c r="B388" s="2">
        <v>0</v>
      </c>
      <c r="C388" s="2">
        <v>4</v>
      </c>
      <c r="D388" s="2">
        <v>2016</v>
      </c>
      <c r="E388" s="2" t="s">
        <v>62</v>
      </c>
      <c r="F388" s="2">
        <v>39</v>
      </c>
      <c r="G388" s="2">
        <v>20</v>
      </c>
      <c r="H388" s="2">
        <v>0</v>
      </c>
      <c r="I388" s="2">
        <v>1</v>
      </c>
      <c r="J388" s="2">
        <v>2</v>
      </c>
      <c r="K388" s="2">
        <v>1</v>
      </c>
      <c r="L388" s="2">
        <v>0</v>
      </c>
      <c r="M388" s="2" t="s">
        <v>55</v>
      </c>
      <c r="N388" s="2" t="s">
        <v>43</v>
      </c>
      <c r="O388" s="2" t="s">
        <v>49</v>
      </c>
      <c r="P388" s="2" t="s">
        <v>45</v>
      </c>
      <c r="Q388" s="2">
        <v>0</v>
      </c>
      <c r="R388" s="2">
        <v>0</v>
      </c>
      <c r="S388" s="2">
        <v>0</v>
      </c>
      <c r="T388" s="2" t="s">
        <v>46</v>
      </c>
      <c r="U388" s="2" t="s">
        <v>46</v>
      </c>
      <c r="V388" s="2">
        <v>0</v>
      </c>
      <c r="W388" s="2" t="s">
        <v>38</v>
      </c>
      <c r="X388" s="2">
        <v>15</v>
      </c>
      <c r="Y388" s="2"/>
      <c r="Z388" s="2">
        <v>0</v>
      </c>
      <c r="AA388" s="2" t="s">
        <v>39</v>
      </c>
      <c r="AB388" s="2">
        <v>152.19999999999999</v>
      </c>
      <c r="AC388" s="2">
        <v>0</v>
      </c>
      <c r="AD388" s="2">
        <v>0</v>
      </c>
      <c r="AE388" s="2" t="s">
        <v>40</v>
      </c>
      <c r="AF388" s="3">
        <v>42634</v>
      </c>
    </row>
    <row r="389" spans="1:32" x14ac:dyDescent="0.25">
      <c r="A389" s="2" t="s">
        <v>41</v>
      </c>
      <c r="B389" s="2">
        <v>1</v>
      </c>
      <c r="C389" s="2">
        <v>179</v>
      </c>
      <c r="D389" s="2">
        <v>2016</v>
      </c>
      <c r="E389" s="2" t="s">
        <v>62</v>
      </c>
      <c r="F389" s="2">
        <v>36</v>
      </c>
      <c r="G389" s="2">
        <v>2</v>
      </c>
      <c r="H389" s="2">
        <v>2</v>
      </c>
      <c r="I389" s="2">
        <v>5</v>
      </c>
      <c r="J389" s="2">
        <v>0</v>
      </c>
      <c r="K389" s="2">
        <v>2</v>
      </c>
      <c r="L389" s="2">
        <v>0</v>
      </c>
      <c r="M389" s="2" t="s">
        <v>34</v>
      </c>
      <c r="N389" s="2" t="s">
        <v>63</v>
      </c>
      <c r="O389" s="2" t="s">
        <v>44</v>
      </c>
      <c r="P389" s="2" t="s">
        <v>45</v>
      </c>
      <c r="Q389" s="2">
        <v>0</v>
      </c>
      <c r="R389" s="2">
        <v>0</v>
      </c>
      <c r="S389" s="2">
        <v>0</v>
      </c>
      <c r="T389" s="2" t="s">
        <v>86</v>
      </c>
      <c r="U389" s="2" t="s">
        <v>86</v>
      </c>
      <c r="V389" s="2">
        <v>3</v>
      </c>
      <c r="W389" s="2" t="s">
        <v>38</v>
      </c>
      <c r="X389" s="2">
        <v>9</v>
      </c>
      <c r="Y389" s="2"/>
      <c r="Z389" s="2">
        <v>0</v>
      </c>
      <c r="AA389" s="2" t="s">
        <v>51</v>
      </c>
      <c r="AB389" s="2">
        <v>121.01</v>
      </c>
      <c r="AC389" s="2">
        <v>0</v>
      </c>
      <c r="AD389" s="2">
        <v>0</v>
      </c>
      <c r="AE389" s="2" t="s">
        <v>47</v>
      </c>
      <c r="AF389" s="3">
        <v>42614</v>
      </c>
    </row>
    <row r="390" spans="1:32" x14ac:dyDescent="0.25">
      <c r="A390" s="2" t="s">
        <v>32</v>
      </c>
      <c r="B390" s="2">
        <v>1</v>
      </c>
      <c r="C390" s="2">
        <v>12</v>
      </c>
      <c r="D390" s="2">
        <v>2016</v>
      </c>
      <c r="E390" s="2" t="s">
        <v>42</v>
      </c>
      <c r="F390" s="2">
        <v>31</v>
      </c>
      <c r="G390" s="2">
        <v>24</v>
      </c>
      <c r="H390" s="2">
        <v>1</v>
      </c>
      <c r="I390" s="2">
        <v>0</v>
      </c>
      <c r="J390" s="2">
        <v>2</v>
      </c>
      <c r="K390" s="2">
        <v>0</v>
      </c>
      <c r="L390" s="2">
        <v>0</v>
      </c>
      <c r="M390" s="2" t="s">
        <v>34</v>
      </c>
      <c r="N390" s="2" t="s">
        <v>43</v>
      </c>
      <c r="O390" s="2" t="s">
        <v>36</v>
      </c>
      <c r="P390" s="2" t="s">
        <v>36</v>
      </c>
      <c r="Q390" s="2">
        <v>0</v>
      </c>
      <c r="R390" s="2">
        <v>0</v>
      </c>
      <c r="S390" s="2">
        <v>0</v>
      </c>
      <c r="T390" s="2" t="s">
        <v>46</v>
      </c>
      <c r="U390" s="2" t="s">
        <v>46</v>
      </c>
      <c r="V390" s="2">
        <v>0</v>
      </c>
      <c r="W390" s="2" t="s">
        <v>38</v>
      </c>
      <c r="X390" s="2"/>
      <c r="Y390" s="2"/>
      <c r="Z390" s="2">
        <v>0</v>
      </c>
      <c r="AA390" s="2" t="s">
        <v>51</v>
      </c>
      <c r="AB390" s="2">
        <v>126</v>
      </c>
      <c r="AC390" s="2">
        <v>0</v>
      </c>
      <c r="AD390" s="2">
        <v>0</v>
      </c>
      <c r="AE390" s="2" t="s">
        <v>47</v>
      </c>
      <c r="AF390" s="3">
        <v>42564</v>
      </c>
    </row>
    <row r="391" spans="1:32" x14ac:dyDescent="0.25">
      <c r="A391" s="2" t="s">
        <v>41</v>
      </c>
      <c r="B391" s="2">
        <v>1</v>
      </c>
      <c r="C391" s="2">
        <v>69</v>
      </c>
      <c r="D391" s="2">
        <v>2016</v>
      </c>
      <c r="E391" s="2" t="s">
        <v>83</v>
      </c>
      <c r="F391" s="2">
        <v>25</v>
      </c>
      <c r="G391" s="2">
        <v>12</v>
      </c>
      <c r="H391" s="2">
        <v>2</v>
      </c>
      <c r="I391" s="2">
        <v>4</v>
      </c>
      <c r="J391" s="2">
        <v>1</v>
      </c>
      <c r="K391" s="2">
        <v>0</v>
      </c>
      <c r="L391" s="2">
        <v>0</v>
      </c>
      <c r="M391" s="2" t="s">
        <v>34</v>
      </c>
      <c r="N391" s="2" t="s">
        <v>43</v>
      </c>
      <c r="O391" s="2" t="s">
        <v>49</v>
      </c>
      <c r="P391" s="2" t="s">
        <v>45</v>
      </c>
      <c r="Q391" s="2">
        <v>0</v>
      </c>
      <c r="R391" s="2">
        <v>0</v>
      </c>
      <c r="S391" s="2">
        <v>0</v>
      </c>
      <c r="T391" s="2" t="s">
        <v>46</v>
      </c>
      <c r="U391" s="2" t="s">
        <v>46</v>
      </c>
      <c r="V391" s="2">
        <v>0</v>
      </c>
      <c r="W391" s="2" t="s">
        <v>68</v>
      </c>
      <c r="X391" s="2">
        <v>236</v>
      </c>
      <c r="Y391" s="2"/>
      <c r="Z391" s="2">
        <v>0</v>
      </c>
      <c r="AA391" s="2" t="s">
        <v>39</v>
      </c>
      <c r="AB391" s="2">
        <v>120</v>
      </c>
      <c r="AC391" s="2">
        <v>0</v>
      </c>
      <c r="AD391" s="2">
        <v>0</v>
      </c>
      <c r="AE391" s="2" t="s">
        <v>47</v>
      </c>
      <c r="AF391" s="3">
        <v>42494</v>
      </c>
    </row>
    <row r="392" spans="1:32" x14ac:dyDescent="0.25">
      <c r="A392" s="2" t="s">
        <v>41</v>
      </c>
      <c r="B392" s="2">
        <v>0</v>
      </c>
      <c r="C392" s="2">
        <v>50</v>
      </c>
      <c r="D392" s="2">
        <v>2016</v>
      </c>
      <c r="E392" s="2" t="s">
        <v>33</v>
      </c>
      <c r="F392" s="2">
        <v>50</v>
      </c>
      <c r="G392" s="2">
        <v>4</v>
      </c>
      <c r="H392" s="2">
        <v>2</v>
      </c>
      <c r="I392" s="2">
        <v>2</v>
      </c>
      <c r="J392" s="2">
        <v>2</v>
      </c>
      <c r="K392" s="2">
        <v>0</v>
      </c>
      <c r="L392" s="2">
        <v>0</v>
      </c>
      <c r="M392" s="2" t="s">
        <v>34</v>
      </c>
      <c r="N392" s="2" t="s">
        <v>63</v>
      </c>
      <c r="O392" s="2" t="s">
        <v>44</v>
      </c>
      <c r="P392" s="2" t="s">
        <v>45</v>
      </c>
      <c r="Q392" s="2">
        <v>0</v>
      </c>
      <c r="R392" s="2">
        <v>0</v>
      </c>
      <c r="S392" s="2">
        <v>0</v>
      </c>
      <c r="T392" s="2" t="s">
        <v>46</v>
      </c>
      <c r="U392" s="2" t="s">
        <v>46</v>
      </c>
      <c r="V392" s="2">
        <v>0</v>
      </c>
      <c r="W392" s="2" t="s">
        <v>38</v>
      </c>
      <c r="X392" s="2">
        <v>9</v>
      </c>
      <c r="Y392" s="2"/>
      <c r="Z392" s="2">
        <v>0</v>
      </c>
      <c r="AA392" s="2" t="s">
        <v>39</v>
      </c>
      <c r="AB392" s="2">
        <v>88.4</v>
      </c>
      <c r="AC392" s="2">
        <v>0</v>
      </c>
      <c r="AD392" s="2">
        <v>0</v>
      </c>
      <c r="AE392" s="2" t="s">
        <v>40</v>
      </c>
      <c r="AF392" s="3">
        <v>42712</v>
      </c>
    </row>
    <row r="393" spans="1:32" x14ac:dyDescent="0.25">
      <c r="A393" s="2" t="s">
        <v>41</v>
      </c>
      <c r="B393" s="2">
        <v>0</v>
      </c>
      <c r="C393" s="2">
        <v>3</v>
      </c>
      <c r="D393" s="2">
        <v>2016</v>
      </c>
      <c r="E393" s="2" t="s">
        <v>52</v>
      </c>
      <c r="F393" s="2">
        <v>13</v>
      </c>
      <c r="G393" s="2">
        <v>25</v>
      </c>
      <c r="H393" s="2">
        <v>1</v>
      </c>
      <c r="I393" s="2">
        <v>2</v>
      </c>
      <c r="J393" s="2">
        <v>2</v>
      </c>
      <c r="K393" s="2">
        <v>0</v>
      </c>
      <c r="L393" s="2">
        <v>0</v>
      </c>
      <c r="M393" s="2" t="s">
        <v>55</v>
      </c>
      <c r="N393" s="2" t="s">
        <v>100</v>
      </c>
      <c r="O393" s="2" t="s">
        <v>44</v>
      </c>
      <c r="P393" s="2" t="s">
        <v>45</v>
      </c>
      <c r="Q393" s="2">
        <v>0</v>
      </c>
      <c r="R393" s="2">
        <v>0</v>
      </c>
      <c r="S393" s="2">
        <v>0</v>
      </c>
      <c r="T393" s="2" t="s">
        <v>46</v>
      </c>
      <c r="U393" s="2" t="s">
        <v>46</v>
      </c>
      <c r="V393" s="2">
        <v>0</v>
      </c>
      <c r="W393" s="2" t="s">
        <v>38</v>
      </c>
      <c r="X393" s="2">
        <v>9</v>
      </c>
      <c r="Y393" s="2"/>
      <c r="Z393" s="2">
        <v>0</v>
      </c>
      <c r="AA393" s="2" t="s">
        <v>39</v>
      </c>
      <c r="AB393" s="2">
        <v>135.66999999999999</v>
      </c>
      <c r="AC393" s="2">
        <v>0</v>
      </c>
      <c r="AD393" s="2">
        <v>1</v>
      </c>
      <c r="AE393" s="2" t="s">
        <v>40</v>
      </c>
      <c r="AF393" s="3">
        <v>42457</v>
      </c>
    </row>
    <row r="394" spans="1:32" x14ac:dyDescent="0.25">
      <c r="A394" s="2" t="s">
        <v>41</v>
      </c>
      <c r="B394" s="2">
        <v>0</v>
      </c>
      <c r="C394" s="2">
        <v>103</v>
      </c>
      <c r="D394" s="2">
        <v>2016</v>
      </c>
      <c r="E394" s="2" t="s">
        <v>61</v>
      </c>
      <c r="F394" s="2">
        <v>46</v>
      </c>
      <c r="G394" s="2">
        <v>7</v>
      </c>
      <c r="H394" s="2">
        <v>1</v>
      </c>
      <c r="I394" s="2">
        <v>3</v>
      </c>
      <c r="J394" s="2">
        <v>1</v>
      </c>
      <c r="K394" s="2">
        <v>0</v>
      </c>
      <c r="L394" s="2">
        <v>0</v>
      </c>
      <c r="M394" s="2" t="s">
        <v>34</v>
      </c>
      <c r="N394" s="2" t="s">
        <v>109</v>
      </c>
      <c r="O394" s="2" t="s">
        <v>44</v>
      </c>
      <c r="P394" s="2" t="s">
        <v>45</v>
      </c>
      <c r="Q394" s="2">
        <v>0</v>
      </c>
      <c r="R394" s="2">
        <v>0</v>
      </c>
      <c r="S394" s="2">
        <v>0</v>
      </c>
      <c r="T394" s="2" t="s">
        <v>46</v>
      </c>
      <c r="U394" s="2" t="s">
        <v>46</v>
      </c>
      <c r="V394" s="2">
        <v>0</v>
      </c>
      <c r="W394" s="2" t="s">
        <v>38</v>
      </c>
      <c r="X394" s="2">
        <v>8</v>
      </c>
      <c r="Y394" s="2"/>
      <c r="Z394" s="2">
        <v>0</v>
      </c>
      <c r="AA394" s="2" t="s">
        <v>39</v>
      </c>
      <c r="AB394" s="2">
        <v>187.25</v>
      </c>
      <c r="AC394" s="2">
        <v>0</v>
      </c>
      <c r="AD394" s="2">
        <v>2</v>
      </c>
      <c r="AE394" s="2" t="s">
        <v>40</v>
      </c>
      <c r="AF394" s="3">
        <v>42685</v>
      </c>
    </row>
    <row r="395" spans="1:32" x14ac:dyDescent="0.25">
      <c r="A395" s="2" t="s">
        <v>41</v>
      </c>
      <c r="B395" s="2">
        <v>0</v>
      </c>
      <c r="C395" s="2">
        <v>260</v>
      </c>
      <c r="D395" s="2">
        <v>2016</v>
      </c>
      <c r="E395" s="2" t="s">
        <v>59</v>
      </c>
      <c r="F395" s="2">
        <v>43</v>
      </c>
      <c r="G395" s="2">
        <v>22</v>
      </c>
      <c r="H395" s="2">
        <v>2</v>
      </c>
      <c r="I395" s="2">
        <v>5</v>
      </c>
      <c r="J395" s="2">
        <v>2</v>
      </c>
      <c r="K395" s="2">
        <v>1</v>
      </c>
      <c r="L395" s="2">
        <v>0</v>
      </c>
      <c r="M395" s="2" t="s">
        <v>34</v>
      </c>
      <c r="N395" s="2" t="s">
        <v>70</v>
      </c>
      <c r="O395" s="2" t="s">
        <v>44</v>
      </c>
      <c r="P395" s="2" t="s">
        <v>45</v>
      </c>
      <c r="Q395" s="2">
        <v>0</v>
      </c>
      <c r="R395" s="2">
        <v>0</v>
      </c>
      <c r="S395" s="2">
        <v>0</v>
      </c>
      <c r="T395" s="2" t="s">
        <v>46</v>
      </c>
      <c r="U395" s="2" t="s">
        <v>46</v>
      </c>
      <c r="V395" s="2">
        <v>0</v>
      </c>
      <c r="W395" s="2" t="s">
        <v>38</v>
      </c>
      <c r="X395" s="2">
        <v>9</v>
      </c>
      <c r="Y395" s="2"/>
      <c r="Z395" s="2">
        <v>0</v>
      </c>
      <c r="AA395" s="2" t="s">
        <v>51</v>
      </c>
      <c r="AB395" s="2">
        <v>108.68</v>
      </c>
      <c r="AC395" s="2">
        <v>0</v>
      </c>
      <c r="AD395" s="2">
        <v>3</v>
      </c>
      <c r="AE395" s="2" t="s">
        <v>40</v>
      </c>
      <c r="AF395" s="3">
        <v>42672</v>
      </c>
    </row>
    <row r="396" spans="1:32" x14ac:dyDescent="0.25">
      <c r="A396" s="2" t="s">
        <v>41</v>
      </c>
      <c r="B396" s="2">
        <v>0</v>
      </c>
      <c r="C396" s="2">
        <v>192</v>
      </c>
      <c r="D396" s="2">
        <v>2016</v>
      </c>
      <c r="E396" s="2" t="s">
        <v>83</v>
      </c>
      <c r="F396" s="2">
        <v>26</v>
      </c>
      <c r="G396" s="2">
        <v>24</v>
      </c>
      <c r="H396" s="2">
        <v>0</v>
      </c>
      <c r="I396" s="2">
        <v>2</v>
      </c>
      <c r="J396" s="2">
        <v>1</v>
      </c>
      <c r="K396" s="2">
        <v>0</v>
      </c>
      <c r="L396" s="2">
        <v>0</v>
      </c>
      <c r="M396" s="2" t="s">
        <v>34</v>
      </c>
      <c r="N396" s="2" t="s">
        <v>43</v>
      </c>
      <c r="O396" s="2" t="s">
        <v>49</v>
      </c>
      <c r="P396" s="2" t="s">
        <v>45</v>
      </c>
      <c r="Q396" s="2">
        <v>0</v>
      </c>
      <c r="R396" s="2">
        <v>0</v>
      </c>
      <c r="S396" s="2">
        <v>0</v>
      </c>
      <c r="T396" s="2" t="s">
        <v>46</v>
      </c>
      <c r="U396" s="2" t="s">
        <v>46</v>
      </c>
      <c r="V396" s="2">
        <v>0</v>
      </c>
      <c r="W396" s="2" t="s">
        <v>38</v>
      </c>
      <c r="X396" s="2">
        <v>34</v>
      </c>
      <c r="Y396" s="2"/>
      <c r="Z396" s="2">
        <v>0</v>
      </c>
      <c r="AA396" s="2" t="s">
        <v>51</v>
      </c>
      <c r="AB396" s="2">
        <v>95</v>
      </c>
      <c r="AC396" s="2">
        <v>0</v>
      </c>
      <c r="AD396" s="2">
        <v>0</v>
      </c>
      <c r="AE396" s="2" t="s">
        <v>40</v>
      </c>
      <c r="AF396" s="3">
        <v>42547</v>
      </c>
    </row>
    <row r="397" spans="1:32" x14ac:dyDescent="0.25">
      <c r="A397" s="2" t="s">
        <v>32</v>
      </c>
      <c r="B397" s="2">
        <v>0</v>
      </c>
      <c r="C397" s="2">
        <v>10</v>
      </c>
      <c r="D397" s="2">
        <v>2016</v>
      </c>
      <c r="E397" s="2" t="s">
        <v>52</v>
      </c>
      <c r="F397" s="2">
        <v>11</v>
      </c>
      <c r="G397" s="2">
        <v>11</v>
      </c>
      <c r="H397" s="2">
        <v>2</v>
      </c>
      <c r="I397" s="2">
        <v>2</v>
      </c>
      <c r="J397" s="2">
        <v>2</v>
      </c>
      <c r="K397" s="2">
        <v>0</v>
      </c>
      <c r="L397" s="2">
        <v>0</v>
      </c>
      <c r="M397" s="2" t="s">
        <v>34</v>
      </c>
      <c r="N397" s="2" t="s">
        <v>115</v>
      </c>
      <c r="O397" s="2" t="s">
        <v>44</v>
      </c>
      <c r="P397" s="2" t="s">
        <v>45</v>
      </c>
      <c r="Q397" s="2">
        <v>0</v>
      </c>
      <c r="R397" s="2">
        <v>0</v>
      </c>
      <c r="S397" s="2">
        <v>0</v>
      </c>
      <c r="T397" s="2" t="s">
        <v>72</v>
      </c>
      <c r="U397" s="2" t="s">
        <v>37</v>
      </c>
      <c r="V397" s="2">
        <v>2</v>
      </c>
      <c r="W397" s="2" t="s">
        <v>38</v>
      </c>
      <c r="X397" s="2">
        <v>240</v>
      </c>
      <c r="Y397" s="2"/>
      <c r="Z397" s="2">
        <v>0</v>
      </c>
      <c r="AA397" s="2" t="s">
        <v>39</v>
      </c>
      <c r="AB397" s="2">
        <v>67.5</v>
      </c>
      <c r="AC397" s="2">
        <v>0</v>
      </c>
      <c r="AD397" s="2">
        <v>1</v>
      </c>
      <c r="AE397" s="2" t="s">
        <v>40</v>
      </c>
      <c r="AF397" s="3">
        <v>42444</v>
      </c>
    </row>
    <row r="398" spans="1:32" x14ac:dyDescent="0.25">
      <c r="A398" s="2" t="s">
        <v>41</v>
      </c>
      <c r="B398" s="2">
        <v>1</v>
      </c>
      <c r="C398" s="2">
        <v>41</v>
      </c>
      <c r="D398" s="2">
        <v>2016</v>
      </c>
      <c r="E398" s="2" t="s">
        <v>54</v>
      </c>
      <c r="F398" s="2">
        <v>17</v>
      </c>
      <c r="G398" s="2">
        <v>21</v>
      </c>
      <c r="H398" s="2">
        <v>0</v>
      </c>
      <c r="I398" s="2">
        <v>3</v>
      </c>
      <c r="J398" s="2">
        <v>2</v>
      </c>
      <c r="K398" s="2">
        <v>2</v>
      </c>
      <c r="L398" s="2">
        <v>0</v>
      </c>
      <c r="M398" s="2" t="s">
        <v>34</v>
      </c>
      <c r="N398" s="2" t="s">
        <v>43</v>
      </c>
      <c r="O398" s="2" t="s">
        <v>44</v>
      </c>
      <c r="P398" s="2" t="s">
        <v>45</v>
      </c>
      <c r="Q398" s="2">
        <v>0</v>
      </c>
      <c r="R398" s="2">
        <v>0</v>
      </c>
      <c r="S398" s="2">
        <v>0</v>
      </c>
      <c r="T398" s="2" t="s">
        <v>84</v>
      </c>
      <c r="U398" s="2" t="s">
        <v>84</v>
      </c>
      <c r="V398" s="2">
        <v>0</v>
      </c>
      <c r="W398" s="2" t="s">
        <v>38</v>
      </c>
      <c r="X398" s="2">
        <v>7</v>
      </c>
      <c r="Y398" s="2"/>
      <c r="Z398" s="2">
        <v>0</v>
      </c>
      <c r="AA398" s="2" t="s">
        <v>39</v>
      </c>
      <c r="AB398" s="2">
        <v>191.58</v>
      </c>
      <c r="AC398" s="2">
        <v>0</v>
      </c>
      <c r="AD398" s="2">
        <v>0</v>
      </c>
      <c r="AE398" s="2" t="s">
        <v>47</v>
      </c>
      <c r="AF398" s="3">
        <v>42440</v>
      </c>
    </row>
    <row r="399" spans="1:32" x14ac:dyDescent="0.25">
      <c r="A399" s="2" t="s">
        <v>32</v>
      </c>
      <c r="B399" s="2">
        <v>0</v>
      </c>
      <c r="C399" s="2">
        <v>6</v>
      </c>
      <c r="D399" s="2">
        <v>2016</v>
      </c>
      <c r="E399" s="2" t="s">
        <v>61</v>
      </c>
      <c r="F399" s="2">
        <v>48</v>
      </c>
      <c r="G399" s="2">
        <v>25</v>
      </c>
      <c r="H399" s="2">
        <v>0</v>
      </c>
      <c r="I399" s="2">
        <v>1</v>
      </c>
      <c r="J399" s="2">
        <v>2</v>
      </c>
      <c r="K399" s="2">
        <v>0</v>
      </c>
      <c r="L399" s="2">
        <v>0</v>
      </c>
      <c r="M399" s="2" t="s">
        <v>77</v>
      </c>
      <c r="N399" s="2" t="s">
        <v>43</v>
      </c>
      <c r="O399" s="2" t="s">
        <v>36</v>
      </c>
      <c r="P399" s="2" t="s">
        <v>36</v>
      </c>
      <c r="Q399" s="2">
        <v>0</v>
      </c>
      <c r="R399" s="2">
        <v>0</v>
      </c>
      <c r="S399" s="2">
        <v>0</v>
      </c>
      <c r="T399" s="2" t="s">
        <v>37</v>
      </c>
      <c r="U399" s="2" t="s">
        <v>37</v>
      </c>
      <c r="V399" s="2">
        <v>1</v>
      </c>
      <c r="W399" s="2" t="s">
        <v>38</v>
      </c>
      <c r="X399" s="2">
        <v>250</v>
      </c>
      <c r="Y399" s="2"/>
      <c r="Z399" s="2">
        <v>0</v>
      </c>
      <c r="AA399" s="2" t="s">
        <v>39</v>
      </c>
      <c r="AB399" s="2">
        <v>147</v>
      </c>
      <c r="AC399" s="2">
        <v>0</v>
      </c>
      <c r="AD399" s="2">
        <v>0</v>
      </c>
      <c r="AE399" s="2" t="s">
        <v>40</v>
      </c>
      <c r="AF399" s="3">
        <v>42700</v>
      </c>
    </row>
    <row r="400" spans="1:32" x14ac:dyDescent="0.25">
      <c r="A400" s="2" t="s">
        <v>32</v>
      </c>
      <c r="B400" s="2">
        <v>0</v>
      </c>
      <c r="C400" s="2">
        <v>234</v>
      </c>
      <c r="D400" s="2">
        <v>2016</v>
      </c>
      <c r="E400" s="2" t="s">
        <v>59</v>
      </c>
      <c r="F400" s="2">
        <v>44</v>
      </c>
      <c r="G400" s="2">
        <v>23</v>
      </c>
      <c r="H400" s="2">
        <v>2</v>
      </c>
      <c r="I400" s="2">
        <v>5</v>
      </c>
      <c r="J400" s="2">
        <v>2</v>
      </c>
      <c r="K400" s="2">
        <v>0</v>
      </c>
      <c r="L400" s="2">
        <v>0</v>
      </c>
      <c r="M400" s="2" t="s">
        <v>60</v>
      </c>
      <c r="N400" s="2" t="s">
        <v>35</v>
      </c>
      <c r="O400" s="2" t="s">
        <v>49</v>
      </c>
      <c r="P400" s="2" t="s">
        <v>45</v>
      </c>
      <c r="Q400" s="2">
        <v>0</v>
      </c>
      <c r="R400" s="2">
        <v>0</v>
      </c>
      <c r="S400" s="2">
        <v>0</v>
      </c>
      <c r="T400" s="2" t="s">
        <v>46</v>
      </c>
      <c r="U400" s="2" t="s">
        <v>46</v>
      </c>
      <c r="V400" s="2">
        <v>0</v>
      </c>
      <c r="W400" s="2" t="s">
        <v>38</v>
      </c>
      <c r="X400" s="2">
        <v>243</v>
      </c>
      <c r="Y400" s="2"/>
      <c r="Z400" s="2">
        <v>0</v>
      </c>
      <c r="AA400" s="2" t="s">
        <v>73</v>
      </c>
      <c r="AB400" s="2">
        <v>37.4</v>
      </c>
      <c r="AC400" s="2">
        <v>0</v>
      </c>
      <c r="AD400" s="2">
        <v>2</v>
      </c>
      <c r="AE400" s="2" t="s">
        <v>40</v>
      </c>
      <c r="AF400" s="3">
        <v>42673</v>
      </c>
    </row>
    <row r="401" spans="1:32" x14ac:dyDescent="0.25">
      <c r="A401" s="2" t="s">
        <v>41</v>
      </c>
      <c r="B401" s="2">
        <v>0</v>
      </c>
      <c r="C401" s="2">
        <v>8</v>
      </c>
      <c r="D401" s="2">
        <v>2016</v>
      </c>
      <c r="E401" s="2" t="s">
        <v>54</v>
      </c>
      <c r="F401" s="2">
        <v>16</v>
      </c>
      <c r="G401" s="2">
        <v>16</v>
      </c>
      <c r="H401" s="2">
        <v>2</v>
      </c>
      <c r="I401" s="2">
        <v>2</v>
      </c>
      <c r="J401" s="2">
        <v>3</v>
      </c>
      <c r="K401" s="2">
        <v>0</v>
      </c>
      <c r="L401" s="2">
        <v>0</v>
      </c>
      <c r="M401" s="2" t="s">
        <v>34</v>
      </c>
      <c r="N401" s="2" t="s">
        <v>70</v>
      </c>
      <c r="O401" s="2" t="s">
        <v>44</v>
      </c>
      <c r="P401" s="2" t="s">
        <v>45</v>
      </c>
      <c r="Q401" s="2">
        <v>0</v>
      </c>
      <c r="R401" s="2">
        <v>0</v>
      </c>
      <c r="S401" s="2">
        <v>0</v>
      </c>
      <c r="T401" s="2" t="s">
        <v>57</v>
      </c>
      <c r="U401" s="2" t="s">
        <v>57</v>
      </c>
      <c r="V401" s="2">
        <v>0</v>
      </c>
      <c r="W401" s="2" t="s">
        <v>38</v>
      </c>
      <c r="X401" s="2">
        <v>9</v>
      </c>
      <c r="Y401" s="2"/>
      <c r="Z401" s="2">
        <v>0</v>
      </c>
      <c r="AA401" s="2" t="s">
        <v>39</v>
      </c>
      <c r="AB401" s="2">
        <v>144.5</v>
      </c>
      <c r="AC401" s="2">
        <v>0</v>
      </c>
      <c r="AD401" s="2">
        <v>1</v>
      </c>
      <c r="AE401" s="2" t="s">
        <v>40</v>
      </c>
      <c r="AF401" s="3">
        <v>42480</v>
      </c>
    </row>
    <row r="402" spans="1:32" x14ac:dyDescent="0.25">
      <c r="A402" s="2" t="s">
        <v>41</v>
      </c>
      <c r="B402" s="2">
        <v>0</v>
      </c>
      <c r="C402" s="2">
        <v>13</v>
      </c>
      <c r="D402" s="2">
        <v>2016</v>
      </c>
      <c r="E402" s="2" t="s">
        <v>52</v>
      </c>
      <c r="F402" s="2">
        <v>13</v>
      </c>
      <c r="G402" s="2">
        <v>20</v>
      </c>
      <c r="H402" s="2">
        <v>1</v>
      </c>
      <c r="I402" s="2">
        <v>0</v>
      </c>
      <c r="J402" s="2">
        <v>2</v>
      </c>
      <c r="K402" s="2">
        <v>0</v>
      </c>
      <c r="L402" s="2">
        <v>0</v>
      </c>
      <c r="M402" s="2" t="s">
        <v>34</v>
      </c>
      <c r="N402" s="2" t="s">
        <v>43</v>
      </c>
      <c r="O402" s="2" t="s">
        <v>49</v>
      </c>
      <c r="P402" s="2" t="s">
        <v>45</v>
      </c>
      <c r="Q402" s="2">
        <v>0</v>
      </c>
      <c r="R402" s="2">
        <v>0</v>
      </c>
      <c r="S402" s="2">
        <v>0</v>
      </c>
      <c r="T402" s="2" t="s">
        <v>46</v>
      </c>
      <c r="U402" s="2" t="s">
        <v>46</v>
      </c>
      <c r="V402" s="2">
        <v>0</v>
      </c>
      <c r="W402" s="2" t="s">
        <v>38</v>
      </c>
      <c r="X402" s="2">
        <v>220</v>
      </c>
      <c r="Y402" s="2"/>
      <c r="Z402" s="2">
        <v>0</v>
      </c>
      <c r="AA402" s="2" t="s">
        <v>51</v>
      </c>
      <c r="AB402" s="2">
        <v>85</v>
      </c>
      <c r="AC402" s="2">
        <v>0</v>
      </c>
      <c r="AD402" s="2">
        <v>1</v>
      </c>
      <c r="AE402" s="2" t="s">
        <v>40</v>
      </c>
      <c r="AF402" s="3">
        <v>42450</v>
      </c>
    </row>
    <row r="403" spans="1:32" x14ac:dyDescent="0.25">
      <c r="A403" s="2" t="s">
        <v>41</v>
      </c>
      <c r="B403" s="2">
        <v>0</v>
      </c>
      <c r="C403" s="2">
        <v>63</v>
      </c>
      <c r="D403" s="2">
        <v>2016</v>
      </c>
      <c r="E403" s="2" t="s">
        <v>54</v>
      </c>
      <c r="F403" s="2">
        <v>16</v>
      </c>
      <c r="G403" s="2">
        <v>13</v>
      </c>
      <c r="H403" s="2">
        <v>0</v>
      </c>
      <c r="I403" s="2">
        <v>4</v>
      </c>
      <c r="J403" s="2">
        <v>2</v>
      </c>
      <c r="K403" s="2">
        <v>2</v>
      </c>
      <c r="L403" s="2">
        <v>0</v>
      </c>
      <c r="M403" s="2" t="s">
        <v>34</v>
      </c>
      <c r="N403" s="2" t="s">
        <v>70</v>
      </c>
      <c r="O403" s="2" t="s">
        <v>44</v>
      </c>
      <c r="P403" s="2" t="s">
        <v>45</v>
      </c>
      <c r="Q403" s="2">
        <v>0</v>
      </c>
      <c r="R403" s="2">
        <v>0</v>
      </c>
      <c r="S403" s="2">
        <v>0</v>
      </c>
      <c r="T403" s="2" t="s">
        <v>37</v>
      </c>
      <c r="U403" s="2" t="s">
        <v>37</v>
      </c>
      <c r="V403" s="2">
        <v>0</v>
      </c>
      <c r="W403" s="2" t="s">
        <v>38</v>
      </c>
      <c r="X403" s="2">
        <v>9</v>
      </c>
      <c r="Y403" s="2"/>
      <c r="Z403" s="2">
        <v>0</v>
      </c>
      <c r="AA403" s="2" t="s">
        <v>39</v>
      </c>
      <c r="AB403" s="2">
        <v>167.45</v>
      </c>
      <c r="AC403" s="2">
        <v>0</v>
      </c>
      <c r="AD403" s="2">
        <v>1</v>
      </c>
      <c r="AE403" s="2" t="s">
        <v>40</v>
      </c>
      <c r="AF403" s="3">
        <v>42477</v>
      </c>
    </row>
    <row r="404" spans="1:32" x14ac:dyDescent="0.25">
      <c r="A404" s="2" t="s">
        <v>41</v>
      </c>
      <c r="B404" s="2">
        <v>0</v>
      </c>
      <c r="C404" s="2">
        <v>212</v>
      </c>
      <c r="D404" s="2">
        <v>2016</v>
      </c>
      <c r="E404" s="2" t="s">
        <v>62</v>
      </c>
      <c r="F404" s="2">
        <v>40</v>
      </c>
      <c r="G404" s="2">
        <v>26</v>
      </c>
      <c r="H404" s="2">
        <v>1</v>
      </c>
      <c r="I404" s="2">
        <v>3</v>
      </c>
      <c r="J404" s="2">
        <v>2</v>
      </c>
      <c r="K404" s="2">
        <v>0</v>
      </c>
      <c r="L404" s="2">
        <v>0</v>
      </c>
      <c r="M404" s="2" t="s">
        <v>34</v>
      </c>
      <c r="N404" s="2" t="s">
        <v>35</v>
      </c>
      <c r="O404" s="2" t="s">
        <v>44</v>
      </c>
      <c r="P404" s="2" t="s">
        <v>45</v>
      </c>
      <c r="Q404" s="2">
        <v>0</v>
      </c>
      <c r="R404" s="2">
        <v>0</v>
      </c>
      <c r="S404" s="2">
        <v>0</v>
      </c>
      <c r="T404" s="2" t="s">
        <v>46</v>
      </c>
      <c r="U404" s="2" t="s">
        <v>46</v>
      </c>
      <c r="V404" s="2">
        <v>1</v>
      </c>
      <c r="W404" s="2" t="s">
        <v>38</v>
      </c>
      <c r="X404" s="2">
        <v>9</v>
      </c>
      <c r="Y404" s="2"/>
      <c r="Z404" s="2">
        <v>0</v>
      </c>
      <c r="AA404" s="2" t="s">
        <v>51</v>
      </c>
      <c r="AB404" s="2">
        <v>129.65</v>
      </c>
      <c r="AC404" s="2">
        <v>0</v>
      </c>
      <c r="AD404" s="2">
        <v>1</v>
      </c>
      <c r="AE404" s="2" t="s">
        <v>40</v>
      </c>
      <c r="AF404" s="3">
        <v>42643</v>
      </c>
    </row>
    <row r="405" spans="1:32" x14ac:dyDescent="0.25">
      <c r="A405" s="2" t="s">
        <v>32</v>
      </c>
      <c r="B405" s="2">
        <v>0</v>
      </c>
      <c r="C405" s="2">
        <v>109</v>
      </c>
      <c r="D405" s="2">
        <v>2016</v>
      </c>
      <c r="E405" s="2" t="s">
        <v>52</v>
      </c>
      <c r="F405" s="2">
        <v>11</v>
      </c>
      <c r="G405" s="2">
        <v>7</v>
      </c>
      <c r="H405" s="2">
        <v>1</v>
      </c>
      <c r="I405" s="2">
        <v>3</v>
      </c>
      <c r="J405" s="2">
        <v>2</v>
      </c>
      <c r="K405" s="2">
        <v>0</v>
      </c>
      <c r="L405" s="2">
        <v>0</v>
      </c>
      <c r="M405" s="2" t="s">
        <v>34</v>
      </c>
      <c r="N405" s="2" t="s">
        <v>35</v>
      </c>
      <c r="O405" s="2" t="s">
        <v>49</v>
      </c>
      <c r="P405" s="2" t="s">
        <v>45</v>
      </c>
      <c r="Q405" s="2">
        <v>0</v>
      </c>
      <c r="R405" s="2">
        <v>0</v>
      </c>
      <c r="S405" s="2">
        <v>0</v>
      </c>
      <c r="T405" s="2" t="s">
        <v>46</v>
      </c>
      <c r="U405" s="2" t="s">
        <v>57</v>
      </c>
      <c r="V405" s="2">
        <v>0</v>
      </c>
      <c r="W405" s="2" t="s">
        <v>38</v>
      </c>
      <c r="X405" s="2">
        <v>6</v>
      </c>
      <c r="Y405" s="2"/>
      <c r="Z405" s="2">
        <v>0</v>
      </c>
      <c r="AA405" s="2" t="s">
        <v>39</v>
      </c>
      <c r="AB405" s="2">
        <v>27.5</v>
      </c>
      <c r="AC405" s="2">
        <v>0</v>
      </c>
      <c r="AD405" s="2">
        <v>1</v>
      </c>
      <c r="AE405" s="2" t="s">
        <v>40</v>
      </c>
      <c r="AF405" s="3">
        <v>42440</v>
      </c>
    </row>
    <row r="406" spans="1:32" x14ac:dyDescent="0.25">
      <c r="A406" s="2" t="s">
        <v>41</v>
      </c>
      <c r="B406" s="2">
        <v>0</v>
      </c>
      <c r="C406" s="2">
        <v>86</v>
      </c>
      <c r="D406" s="2">
        <v>2016</v>
      </c>
      <c r="E406" s="2" t="s">
        <v>59</v>
      </c>
      <c r="F406" s="2">
        <v>43</v>
      </c>
      <c r="G406" s="2">
        <v>20</v>
      </c>
      <c r="H406" s="2">
        <v>0</v>
      </c>
      <c r="I406" s="2">
        <v>3</v>
      </c>
      <c r="J406" s="2">
        <v>4</v>
      </c>
      <c r="K406" s="2">
        <v>0</v>
      </c>
      <c r="L406" s="2">
        <v>0</v>
      </c>
      <c r="M406" s="2" t="s">
        <v>34</v>
      </c>
      <c r="N406" s="2" t="s">
        <v>103</v>
      </c>
      <c r="O406" s="2" t="s">
        <v>44</v>
      </c>
      <c r="P406" s="2" t="s">
        <v>45</v>
      </c>
      <c r="Q406" s="2">
        <v>0</v>
      </c>
      <c r="R406" s="2">
        <v>0</v>
      </c>
      <c r="S406" s="2">
        <v>0</v>
      </c>
      <c r="T406" s="2" t="s">
        <v>84</v>
      </c>
      <c r="U406" s="2" t="s">
        <v>84</v>
      </c>
      <c r="V406" s="2">
        <v>1</v>
      </c>
      <c r="W406" s="2" t="s">
        <v>38</v>
      </c>
      <c r="X406" s="2">
        <v>7</v>
      </c>
      <c r="Y406" s="2"/>
      <c r="Z406" s="2">
        <v>0</v>
      </c>
      <c r="AA406" s="2" t="s">
        <v>39</v>
      </c>
      <c r="AB406" s="2">
        <v>192.86</v>
      </c>
      <c r="AC406" s="2">
        <v>0</v>
      </c>
      <c r="AD406" s="2">
        <v>1</v>
      </c>
      <c r="AE406" s="2" t="s">
        <v>40</v>
      </c>
      <c r="AF406" s="3">
        <v>42666</v>
      </c>
    </row>
    <row r="407" spans="1:32" x14ac:dyDescent="0.25">
      <c r="A407" s="2" t="s">
        <v>41</v>
      </c>
      <c r="B407" s="2">
        <v>1</v>
      </c>
      <c r="C407" s="2">
        <v>221</v>
      </c>
      <c r="D407" s="2">
        <v>2016</v>
      </c>
      <c r="E407" s="2" t="s">
        <v>83</v>
      </c>
      <c r="F407" s="2">
        <v>24</v>
      </c>
      <c r="G407" s="2">
        <v>10</v>
      </c>
      <c r="H407" s="2">
        <v>1</v>
      </c>
      <c r="I407" s="2">
        <v>2</v>
      </c>
      <c r="J407" s="2">
        <v>2</v>
      </c>
      <c r="K407" s="2">
        <v>0</v>
      </c>
      <c r="L407" s="2">
        <v>0</v>
      </c>
      <c r="M407" s="2" t="s">
        <v>34</v>
      </c>
      <c r="N407" s="2" t="s">
        <v>43</v>
      </c>
      <c r="O407" s="2" t="s">
        <v>49</v>
      </c>
      <c r="P407" s="2" t="s">
        <v>45</v>
      </c>
      <c r="Q407" s="2">
        <v>0</v>
      </c>
      <c r="R407" s="2">
        <v>1</v>
      </c>
      <c r="S407" s="2">
        <v>0</v>
      </c>
      <c r="T407" s="2" t="s">
        <v>46</v>
      </c>
      <c r="U407" s="2" t="s">
        <v>46</v>
      </c>
      <c r="V407" s="2">
        <v>0</v>
      </c>
      <c r="W407" s="2" t="s">
        <v>68</v>
      </c>
      <c r="X407" s="2">
        <v>3</v>
      </c>
      <c r="Y407" s="2"/>
      <c r="Z407" s="2">
        <v>15</v>
      </c>
      <c r="AA407" s="2" t="s">
        <v>39</v>
      </c>
      <c r="AB407" s="2">
        <v>80</v>
      </c>
      <c r="AC407" s="2">
        <v>0</v>
      </c>
      <c r="AD407" s="2">
        <v>0</v>
      </c>
      <c r="AE407" s="2" t="s">
        <v>47</v>
      </c>
      <c r="AF407" s="3">
        <v>42325</v>
      </c>
    </row>
    <row r="408" spans="1:32" x14ac:dyDescent="0.25">
      <c r="A408" s="2" t="s">
        <v>32</v>
      </c>
      <c r="B408" s="2">
        <v>1</v>
      </c>
      <c r="C408" s="2">
        <v>256</v>
      </c>
      <c r="D408" s="2">
        <v>2016</v>
      </c>
      <c r="E408" s="2" t="s">
        <v>83</v>
      </c>
      <c r="F408" s="2">
        <v>25</v>
      </c>
      <c r="G408" s="2">
        <v>17</v>
      </c>
      <c r="H408" s="2">
        <v>2</v>
      </c>
      <c r="I408" s="2">
        <v>7</v>
      </c>
      <c r="J408" s="2">
        <v>2</v>
      </c>
      <c r="K408" s="2">
        <v>0</v>
      </c>
      <c r="L408" s="2">
        <v>0</v>
      </c>
      <c r="M408" s="2" t="s">
        <v>34</v>
      </c>
      <c r="N408" s="2" t="s">
        <v>43</v>
      </c>
      <c r="O408" s="2" t="s">
        <v>44</v>
      </c>
      <c r="P408" s="2" t="s">
        <v>45</v>
      </c>
      <c r="Q408" s="2">
        <v>0</v>
      </c>
      <c r="R408" s="2">
        <v>0</v>
      </c>
      <c r="S408" s="2">
        <v>0</v>
      </c>
      <c r="T408" s="2" t="s">
        <v>46</v>
      </c>
      <c r="U408" s="2" t="s">
        <v>46</v>
      </c>
      <c r="V408" s="2">
        <v>0</v>
      </c>
      <c r="W408" s="2" t="s">
        <v>38</v>
      </c>
      <c r="X408" s="2">
        <v>240</v>
      </c>
      <c r="Y408" s="2"/>
      <c r="Z408" s="2">
        <v>0</v>
      </c>
      <c r="AA408" s="2" t="s">
        <v>39</v>
      </c>
      <c r="AB408" s="2">
        <v>72</v>
      </c>
      <c r="AC408" s="2">
        <v>0</v>
      </c>
      <c r="AD408" s="2">
        <v>1</v>
      </c>
      <c r="AE408" s="2" t="s">
        <v>47</v>
      </c>
      <c r="AF408" s="3">
        <v>42368</v>
      </c>
    </row>
    <row r="409" spans="1:32" x14ac:dyDescent="0.25">
      <c r="A409" s="2" t="s">
        <v>32</v>
      </c>
      <c r="B409" s="2">
        <v>0</v>
      </c>
      <c r="C409" s="2">
        <v>207</v>
      </c>
      <c r="D409" s="2">
        <v>2016</v>
      </c>
      <c r="E409" s="2" t="s">
        <v>67</v>
      </c>
      <c r="F409" s="2">
        <v>33</v>
      </c>
      <c r="G409" s="2">
        <v>12</v>
      </c>
      <c r="H409" s="2">
        <v>1</v>
      </c>
      <c r="I409" s="2">
        <v>2</v>
      </c>
      <c r="J409" s="2">
        <v>2</v>
      </c>
      <c r="K409" s="2">
        <v>0</v>
      </c>
      <c r="L409" s="2">
        <v>0</v>
      </c>
      <c r="M409" s="2" t="s">
        <v>34</v>
      </c>
      <c r="N409" s="2" t="s">
        <v>43</v>
      </c>
      <c r="O409" s="2" t="s">
        <v>44</v>
      </c>
      <c r="P409" s="2" t="s">
        <v>45</v>
      </c>
      <c r="Q409" s="2">
        <v>0</v>
      </c>
      <c r="R409" s="2">
        <v>0</v>
      </c>
      <c r="S409" s="2">
        <v>0</v>
      </c>
      <c r="T409" s="2" t="s">
        <v>46</v>
      </c>
      <c r="U409" s="2" t="s">
        <v>57</v>
      </c>
      <c r="V409" s="2">
        <v>0</v>
      </c>
      <c r="W409" s="2" t="s">
        <v>38</v>
      </c>
      <c r="X409" s="2">
        <v>240</v>
      </c>
      <c r="Y409" s="2"/>
      <c r="Z409" s="2">
        <v>0</v>
      </c>
      <c r="AA409" s="2" t="s">
        <v>39</v>
      </c>
      <c r="AB409" s="2">
        <v>152</v>
      </c>
      <c r="AC409" s="2">
        <v>1</v>
      </c>
      <c r="AD409" s="2">
        <v>0</v>
      </c>
      <c r="AE409" s="2" t="s">
        <v>40</v>
      </c>
      <c r="AF409" s="3">
        <v>42597</v>
      </c>
    </row>
    <row r="410" spans="1:32" x14ac:dyDescent="0.25">
      <c r="A410" s="2" t="s">
        <v>32</v>
      </c>
      <c r="B410" s="2">
        <v>1</v>
      </c>
      <c r="C410" s="2">
        <v>147</v>
      </c>
      <c r="D410" s="2">
        <v>2016</v>
      </c>
      <c r="E410" s="2" t="s">
        <v>52</v>
      </c>
      <c r="F410" s="2">
        <v>14</v>
      </c>
      <c r="G410" s="2">
        <v>28</v>
      </c>
      <c r="H410" s="2">
        <v>2</v>
      </c>
      <c r="I410" s="2">
        <v>5</v>
      </c>
      <c r="J410" s="2">
        <v>2</v>
      </c>
      <c r="K410" s="2">
        <v>0</v>
      </c>
      <c r="L410" s="2">
        <v>0</v>
      </c>
      <c r="M410" s="2" t="s">
        <v>60</v>
      </c>
      <c r="N410" s="2" t="s">
        <v>43</v>
      </c>
      <c r="O410" s="2" t="s">
        <v>49</v>
      </c>
      <c r="P410" s="2" t="s">
        <v>45</v>
      </c>
      <c r="Q410" s="2">
        <v>0</v>
      </c>
      <c r="R410" s="2">
        <v>0</v>
      </c>
      <c r="S410" s="2">
        <v>0</v>
      </c>
      <c r="T410" s="2" t="s">
        <v>72</v>
      </c>
      <c r="U410" s="2" t="s">
        <v>72</v>
      </c>
      <c r="V410" s="2">
        <v>0</v>
      </c>
      <c r="W410" s="2" t="s">
        <v>38</v>
      </c>
      <c r="X410" s="2"/>
      <c r="Y410" s="2"/>
      <c r="Z410" s="2">
        <v>0</v>
      </c>
      <c r="AA410" s="2" t="s">
        <v>51</v>
      </c>
      <c r="AB410" s="2">
        <v>73</v>
      </c>
      <c r="AC410" s="2">
        <v>0</v>
      </c>
      <c r="AD410" s="2">
        <v>0</v>
      </c>
      <c r="AE410" s="2" t="s">
        <v>47</v>
      </c>
      <c r="AF410" s="3">
        <v>42433</v>
      </c>
    </row>
    <row r="411" spans="1:32" x14ac:dyDescent="0.25">
      <c r="A411" s="2" t="s">
        <v>32</v>
      </c>
      <c r="B411" s="2">
        <v>0</v>
      </c>
      <c r="C411" s="2">
        <v>10</v>
      </c>
      <c r="D411" s="2">
        <v>2016</v>
      </c>
      <c r="E411" s="2" t="s">
        <v>59</v>
      </c>
      <c r="F411" s="2">
        <v>42</v>
      </c>
      <c r="G411" s="2">
        <v>9</v>
      </c>
      <c r="H411" s="2">
        <v>2</v>
      </c>
      <c r="I411" s="2">
        <v>0</v>
      </c>
      <c r="J411" s="2">
        <v>2</v>
      </c>
      <c r="K411" s="2">
        <v>0</v>
      </c>
      <c r="L411" s="2">
        <v>0</v>
      </c>
      <c r="M411" s="2" t="s">
        <v>34</v>
      </c>
      <c r="N411" s="2" t="s">
        <v>35</v>
      </c>
      <c r="O411" s="2" t="s">
        <v>64</v>
      </c>
      <c r="P411" s="2" t="s">
        <v>76</v>
      </c>
      <c r="Q411" s="2">
        <v>0</v>
      </c>
      <c r="R411" s="2">
        <v>0</v>
      </c>
      <c r="S411" s="2">
        <v>0</v>
      </c>
      <c r="T411" s="2" t="s">
        <v>46</v>
      </c>
      <c r="U411" s="2" t="s">
        <v>46</v>
      </c>
      <c r="V411" s="2">
        <v>0</v>
      </c>
      <c r="W411" s="2" t="s">
        <v>38</v>
      </c>
      <c r="X411" s="2"/>
      <c r="Y411" s="2"/>
      <c r="Z411" s="2">
        <v>0</v>
      </c>
      <c r="AA411" s="2" t="s">
        <v>51</v>
      </c>
      <c r="AB411" s="2">
        <v>55</v>
      </c>
      <c r="AC411" s="2">
        <v>0</v>
      </c>
      <c r="AD411" s="2">
        <v>0</v>
      </c>
      <c r="AE411" s="2" t="s">
        <v>40</v>
      </c>
      <c r="AF411" s="3">
        <v>42654</v>
      </c>
    </row>
    <row r="412" spans="1:32" x14ac:dyDescent="0.25">
      <c r="A412" s="2" t="s">
        <v>32</v>
      </c>
      <c r="B412" s="2">
        <v>1</v>
      </c>
      <c r="C412" s="2">
        <v>32</v>
      </c>
      <c r="D412" s="2">
        <v>2016</v>
      </c>
      <c r="E412" s="2" t="s">
        <v>54</v>
      </c>
      <c r="F412" s="2">
        <v>17</v>
      </c>
      <c r="G412" s="2">
        <v>19</v>
      </c>
      <c r="H412" s="2">
        <v>2</v>
      </c>
      <c r="I412" s="2">
        <v>5</v>
      </c>
      <c r="J412" s="2">
        <v>2</v>
      </c>
      <c r="K412" s="2">
        <v>0</v>
      </c>
      <c r="L412" s="2">
        <v>0</v>
      </c>
      <c r="M412" s="2" t="s">
        <v>60</v>
      </c>
      <c r="N412" s="2" t="s">
        <v>43</v>
      </c>
      <c r="O412" s="2" t="s">
        <v>64</v>
      </c>
      <c r="P412" s="2" t="s">
        <v>36</v>
      </c>
      <c r="Q412" s="2">
        <v>0</v>
      </c>
      <c r="R412" s="2">
        <v>0</v>
      </c>
      <c r="S412" s="2">
        <v>0</v>
      </c>
      <c r="T412" s="2" t="s">
        <v>57</v>
      </c>
      <c r="U412" s="2" t="s">
        <v>57</v>
      </c>
      <c r="V412" s="2">
        <v>0</v>
      </c>
      <c r="W412" s="2" t="s">
        <v>38</v>
      </c>
      <c r="X412" s="2">
        <v>273</v>
      </c>
      <c r="Y412" s="2"/>
      <c r="Z412" s="2">
        <v>0</v>
      </c>
      <c r="AA412" s="2" t="s">
        <v>51</v>
      </c>
      <c r="AB412" s="2">
        <v>69.36</v>
      </c>
      <c r="AC412" s="2">
        <v>0</v>
      </c>
      <c r="AD412" s="2">
        <v>0</v>
      </c>
      <c r="AE412" s="2" t="s">
        <v>47</v>
      </c>
      <c r="AF412" s="3">
        <v>42447</v>
      </c>
    </row>
    <row r="413" spans="1:32" x14ac:dyDescent="0.25">
      <c r="A413" s="2" t="s">
        <v>32</v>
      </c>
      <c r="B413" s="2">
        <v>0</v>
      </c>
      <c r="C413" s="2">
        <v>88</v>
      </c>
      <c r="D413" s="2">
        <v>2016</v>
      </c>
      <c r="E413" s="2" t="s">
        <v>54</v>
      </c>
      <c r="F413" s="2">
        <v>16</v>
      </c>
      <c r="G413" s="2">
        <v>15</v>
      </c>
      <c r="H413" s="2">
        <v>2</v>
      </c>
      <c r="I413" s="2">
        <v>5</v>
      </c>
      <c r="J413" s="2">
        <v>2</v>
      </c>
      <c r="K413" s="2">
        <v>0</v>
      </c>
      <c r="L413" s="2">
        <v>0</v>
      </c>
      <c r="M413" s="2" t="s">
        <v>34</v>
      </c>
      <c r="N413" s="2" t="s">
        <v>109</v>
      </c>
      <c r="O413" s="2" t="s">
        <v>49</v>
      </c>
      <c r="P413" s="2" t="s">
        <v>45</v>
      </c>
      <c r="Q413" s="2">
        <v>0</v>
      </c>
      <c r="R413" s="2">
        <v>0</v>
      </c>
      <c r="S413" s="2">
        <v>0</v>
      </c>
      <c r="T413" s="2" t="s">
        <v>57</v>
      </c>
      <c r="U413" s="2" t="s">
        <v>37</v>
      </c>
      <c r="V413" s="2">
        <v>0</v>
      </c>
      <c r="W413" s="2" t="s">
        <v>38</v>
      </c>
      <c r="X413" s="2">
        <v>314</v>
      </c>
      <c r="Y413" s="2"/>
      <c r="Z413" s="2">
        <v>0</v>
      </c>
      <c r="AA413" s="2" t="s">
        <v>39</v>
      </c>
      <c r="AB413" s="2">
        <v>69.7</v>
      </c>
      <c r="AC413" s="2">
        <v>1</v>
      </c>
      <c r="AD413" s="2">
        <v>1</v>
      </c>
      <c r="AE413" s="2" t="s">
        <v>40</v>
      </c>
      <c r="AF413" s="3">
        <v>42482</v>
      </c>
    </row>
    <row r="414" spans="1:32" x14ac:dyDescent="0.25">
      <c r="A414" s="2" t="s">
        <v>41</v>
      </c>
      <c r="B414" s="2">
        <v>0</v>
      </c>
      <c r="C414" s="2">
        <v>320</v>
      </c>
      <c r="D414" s="2">
        <v>2016</v>
      </c>
      <c r="E414" s="2" t="s">
        <v>67</v>
      </c>
      <c r="F414" s="2">
        <v>34</v>
      </c>
      <c r="G414" s="2">
        <v>18</v>
      </c>
      <c r="H414" s="2">
        <v>0</v>
      </c>
      <c r="I414" s="2">
        <v>2</v>
      </c>
      <c r="J414" s="2">
        <v>2</v>
      </c>
      <c r="K414" s="2">
        <v>0</v>
      </c>
      <c r="L414" s="2">
        <v>0</v>
      </c>
      <c r="M414" s="2" t="s">
        <v>60</v>
      </c>
      <c r="N414" s="2" t="s">
        <v>56</v>
      </c>
      <c r="O414" s="2" t="s">
        <v>49</v>
      </c>
      <c r="P414" s="2" t="s">
        <v>45</v>
      </c>
      <c r="Q414" s="2">
        <v>0</v>
      </c>
      <c r="R414" s="2">
        <v>0</v>
      </c>
      <c r="S414" s="2">
        <v>0</v>
      </c>
      <c r="T414" s="2" t="s">
        <v>46</v>
      </c>
      <c r="U414" s="2" t="s">
        <v>46</v>
      </c>
      <c r="V414" s="2">
        <v>0</v>
      </c>
      <c r="W414" s="2" t="s">
        <v>38</v>
      </c>
      <c r="X414" s="2">
        <v>6</v>
      </c>
      <c r="Y414" s="2"/>
      <c r="Z414" s="2">
        <v>0</v>
      </c>
      <c r="AA414" s="2" t="s">
        <v>51</v>
      </c>
      <c r="AB414" s="2">
        <v>115</v>
      </c>
      <c r="AC414" s="2">
        <v>0</v>
      </c>
      <c r="AD414" s="2">
        <v>1</v>
      </c>
      <c r="AE414" s="2" t="s">
        <v>40</v>
      </c>
      <c r="AF414" s="3">
        <v>42602</v>
      </c>
    </row>
    <row r="415" spans="1:32" x14ac:dyDescent="0.25">
      <c r="A415" s="2" t="s">
        <v>32</v>
      </c>
      <c r="B415" s="2">
        <v>0</v>
      </c>
      <c r="C415" s="2">
        <v>12</v>
      </c>
      <c r="D415" s="2">
        <v>2016</v>
      </c>
      <c r="E415" s="2" t="s">
        <v>74</v>
      </c>
      <c r="F415" s="2">
        <v>5</v>
      </c>
      <c r="G415" s="2">
        <v>30</v>
      </c>
      <c r="H415" s="2">
        <v>0</v>
      </c>
      <c r="I415" s="2">
        <v>1</v>
      </c>
      <c r="J415" s="2">
        <v>1</v>
      </c>
      <c r="K415" s="2">
        <v>0</v>
      </c>
      <c r="L415" s="2">
        <v>0</v>
      </c>
      <c r="M415" s="2" t="s">
        <v>34</v>
      </c>
      <c r="N415" s="2" t="s">
        <v>117</v>
      </c>
      <c r="O415" s="2" t="s">
        <v>49</v>
      </c>
      <c r="P415" s="2" t="s">
        <v>45</v>
      </c>
      <c r="Q415" s="2">
        <v>0</v>
      </c>
      <c r="R415" s="2">
        <v>0</v>
      </c>
      <c r="S415" s="2">
        <v>0</v>
      </c>
      <c r="T415" s="2" t="s">
        <v>46</v>
      </c>
      <c r="U415" s="2" t="s">
        <v>57</v>
      </c>
      <c r="V415" s="2">
        <v>0</v>
      </c>
      <c r="W415" s="2" t="s">
        <v>38</v>
      </c>
      <c r="X415" s="2">
        <v>95</v>
      </c>
      <c r="Y415" s="2"/>
      <c r="Z415" s="2">
        <v>0</v>
      </c>
      <c r="AA415" s="2" t="s">
        <v>39</v>
      </c>
      <c r="AB415" s="2">
        <v>25</v>
      </c>
      <c r="AC415" s="2">
        <v>0</v>
      </c>
      <c r="AD415" s="2">
        <v>0</v>
      </c>
      <c r="AE415" s="2" t="s">
        <v>40</v>
      </c>
      <c r="AF415" s="3">
        <v>42400</v>
      </c>
    </row>
    <row r="416" spans="1:32" x14ac:dyDescent="0.25">
      <c r="A416" s="2" t="s">
        <v>32</v>
      </c>
      <c r="B416" s="2">
        <v>0</v>
      </c>
      <c r="C416" s="2">
        <v>44</v>
      </c>
      <c r="D416" s="2">
        <v>2016</v>
      </c>
      <c r="E416" s="2" t="s">
        <v>54</v>
      </c>
      <c r="F416" s="2">
        <v>15</v>
      </c>
      <c r="G416" s="2">
        <v>6</v>
      </c>
      <c r="H416" s="2">
        <v>0</v>
      </c>
      <c r="I416" s="2">
        <v>4</v>
      </c>
      <c r="J416" s="2">
        <v>2</v>
      </c>
      <c r="K416" s="2">
        <v>0</v>
      </c>
      <c r="L416" s="2">
        <v>0</v>
      </c>
      <c r="M416" s="2" t="s">
        <v>60</v>
      </c>
      <c r="N416" s="2" t="s">
        <v>43</v>
      </c>
      <c r="O416" s="2" t="s">
        <v>36</v>
      </c>
      <c r="P416" s="2" t="s">
        <v>36</v>
      </c>
      <c r="Q416" s="2">
        <v>0</v>
      </c>
      <c r="R416" s="2">
        <v>0</v>
      </c>
      <c r="S416" s="2">
        <v>0</v>
      </c>
      <c r="T416" s="2" t="s">
        <v>46</v>
      </c>
      <c r="U416" s="2" t="s">
        <v>57</v>
      </c>
      <c r="V416" s="2">
        <v>0</v>
      </c>
      <c r="W416" s="2" t="s">
        <v>38</v>
      </c>
      <c r="X416" s="2">
        <v>250</v>
      </c>
      <c r="Y416" s="2"/>
      <c r="Z416" s="2">
        <v>0</v>
      </c>
      <c r="AA416" s="2" t="s">
        <v>51</v>
      </c>
      <c r="AB416" s="2">
        <v>83</v>
      </c>
      <c r="AC416" s="2">
        <v>0</v>
      </c>
      <c r="AD416" s="2">
        <v>2</v>
      </c>
      <c r="AE416" s="2" t="s">
        <v>40</v>
      </c>
      <c r="AF416" s="3">
        <v>42470</v>
      </c>
    </row>
    <row r="417" spans="1:32" x14ac:dyDescent="0.25">
      <c r="A417" s="2" t="s">
        <v>41</v>
      </c>
      <c r="B417" s="2">
        <v>1</v>
      </c>
      <c r="C417" s="2">
        <v>285</v>
      </c>
      <c r="D417" s="2">
        <v>2016</v>
      </c>
      <c r="E417" s="2" t="s">
        <v>59</v>
      </c>
      <c r="F417" s="2">
        <v>41</v>
      </c>
      <c r="G417" s="2">
        <v>3</v>
      </c>
      <c r="H417" s="2">
        <v>1</v>
      </c>
      <c r="I417" s="2">
        <v>3</v>
      </c>
      <c r="J417" s="2">
        <v>2</v>
      </c>
      <c r="K417" s="2">
        <v>0</v>
      </c>
      <c r="L417" s="2">
        <v>0</v>
      </c>
      <c r="M417" s="2" t="s">
        <v>34</v>
      </c>
      <c r="N417" s="2" t="s">
        <v>43</v>
      </c>
      <c r="O417" s="2" t="s">
        <v>49</v>
      </c>
      <c r="P417" s="2" t="s">
        <v>45</v>
      </c>
      <c r="Q417" s="2">
        <v>0</v>
      </c>
      <c r="R417" s="2">
        <v>0</v>
      </c>
      <c r="S417" s="2">
        <v>0</v>
      </c>
      <c r="T417" s="2" t="s">
        <v>46</v>
      </c>
      <c r="U417" s="2" t="s">
        <v>46</v>
      </c>
      <c r="V417" s="2">
        <v>0</v>
      </c>
      <c r="W417" s="2" t="s">
        <v>68</v>
      </c>
      <c r="X417" s="2">
        <v>31</v>
      </c>
      <c r="Y417" s="2"/>
      <c r="Z417" s="2">
        <v>24</v>
      </c>
      <c r="AA417" s="2" t="s">
        <v>39</v>
      </c>
      <c r="AB417" s="2">
        <v>100</v>
      </c>
      <c r="AC417" s="2">
        <v>0</v>
      </c>
      <c r="AD417" s="2">
        <v>0</v>
      </c>
      <c r="AE417" s="2" t="s">
        <v>47</v>
      </c>
      <c r="AF417" s="3">
        <v>42385</v>
      </c>
    </row>
    <row r="418" spans="1:32" x14ac:dyDescent="0.25">
      <c r="A418" s="2" t="s">
        <v>41</v>
      </c>
      <c r="B418" s="2">
        <v>1</v>
      </c>
      <c r="C418" s="2">
        <v>18</v>
      </c>
      <c r="D418" s="2">
        <v>2016</v>
      </c>
      <c r="E418" s="2" t="s">
        <v>33</v>
      </c>
      <c r="F418" s="2">
        <v>53</v>
      </c>
      <c r="G418" s="2">
        <v>30</v>
      </c>
      <c r="H418" s="2">
        <v>0</v>
      </c>
      <c r="I418" s="2">
        <v>2</v>
      </c>
      <c r="J418" s="2">
        <v>2</v>
      </c>
      <c r="K418" s="2">
        <v>2</v>
      </c>
      <c r="L418" s="2">
        <v>0</v>
      </c>
      <c r="M418" s="2" t="s">
        <v>34</v>
      </c>
      <c r="N418" s="2" t="s">
        <v>43</v>
      </c>
      <c r="O418" s="2" t="s">
        <v>36</v>
      </c>
      <c r="P418" s="2" t="s">
        <v>36</v>
      </c>
      <c r="Q418" s="2">
        <v>0</v>
      </c>
      <c r="R418" s="2">
        <v>0</v>
      </c>
      <c r="S418" s="2">
        <v>0</v>
      </c>
      <c r="T418" s="2" t="s">
        <v>84</v>
      </c>
      <c r="U418" s="2" t="s">
        <v>84</v>
      </c>
      <c r="V418" s="2">
        <v>0</v>
      </c>
      <c r="W418" s="2" t="s">
        <v>38</v>
      </c>
      <c r="X418" s="2"/>
      <c r="Y418" s="2"/>
      <c r="Z418" s="2">
        <v>0</v>
      </c>
      <c r="AA418" s="2" t="s">
        <v>39</v>
      </c>
      <c r="AB418" s="2">
        <v>200</v>
      </c>
      <c r="AC418" s="2">
        <v>0</v>
      </c>
      <c r="AD418" s="2">
        <v>0</v>
      </c>
      <c r="AE418" s="2" t="s">
        <v>47</v>
      </c>
      <c r="AF418" s="3">
        <v>42718</v>
      </c>
    </row>
    <row r="419" spans="1:32" x14ac:dyDescent="0.25">
      <c r="A419" s="2" t="s">
        <v>32</v>
      </c>
      <c r="B419" s="2">
        <v>0</v>
      </c>
      <c r="C419" s="2">
        <v>5</v>
      </c>
      <c r="D419" s="2">
        <v>2016</v>
      </c>
      <c r="E419" s="2" t="s">
        <v>52</v>
      </c>
      <c r="F419" s="2">
        <v>13</v>
      </c>
      <c r="G419" s="2">
        <v>20</v>
      </c>
      <c r="H419" s="2">
        <v>2</v>
      </c>
      <c r="I419" s="2">
        <v>2</v>
      </c>
      <c r="J419" s="2">
        <v>2</v>
      </c>
      <c r="K419" s="2">
        <v>0</v>
      </c>
      <c r="L419" s="2">
        <v>1</v>
      </c>
      <c r="M419" s="2" t="s">
        <v>34</v>
      </c>
      <c r="N419" s="2" t="s">
        <v>35</v>
      </c>
      <c r="O419" s="2" t="s">
        <v>49</v>
      </c>
      <c r="P419" s="2" t="s">
        <v>45</v>
      </c>
      <c r="Q419" s="2">
        <v>0</v>
      </c>
      <c r="R419" s="2">
        <v>0</v>
      </c>
      <c r="S419" s="2">
        <v>0</v>
      </c>
      <c r="T419" s="2" t="s">
        <v>46</v>
      </c>
      <c r="U419" s="2" t="s">
        <v>104</v>
      </c>
      <c r="V419" s="2">
        <v>1</v>
      </c>
      <c r="W419" s="2" t="s">
        <v>38</v>
      </c>
      <c r="X419" s="2">
        <v>171</v>
      </c>
      <c r="Y419" s="2"/>
      <c r="Z419" s="2">
        <v>0</v>
      </c>
      <c r="AA419" s="2" t="s">
        <v>39</v>
      </c>
      <c r="AB419" s="2">
        <v>41.4</v>
      </c>
      <c r="AC419" s="2">
        <v>0</v>
      </c>
      <c r="AD419" s="2">
        <v>0</v>
      </c>
      <c r="AE419" s="2" t="s">
        <v>40</v>
      </c>
      <c r="AF419" s="3">
        <v>42453</v>
      </c>
    </row>
    <row r="420" spans="1:32" x14ac:dyDescent="0.25">
      <c r="A420" s="2" t="s">
        <v>32</v>
      </c>
      <c r="B420" s="2">
        <v>0</v>
      </c>
      <c r="C420" s="2">
        <v>100</v>
      </c>
      <c r="D420" s="2">
        <v>2016</v>
      </c>
      <c r="E420" s="2" t="s">
        <v>67</v>
      </c>
      <c r="F420" s="2">
        <v>32</v>
      </c>
      <c r="G420" s="2">
        <v>6</v>
      </c>
      <c r="H420" s="2">
        <v>1</v>
      </c>
      <c r="I420" s="2">
        <v>1</v>
      </c>
      <c r="J420" s="2">
        <v>2</v>
      </c>
      <c r="K420" s="2">
        <v>0</v>
      </c>
      <c r="L420" s="2">
        <v>0</v>
      </c>
      <c r="M420" s="2" t="s">
        <v>34</v>
      </c>
      <c r="N420" s="2" t="s">
        <v>63</v>
      </c>
      <c r="O420" s="2" t="s">
        <v>44</v>
      </c>
      <c r="P420" s="2" t="s">
        <v>45</v>
      </c>
      <c r="Q420" s="2">
        <v>0</v>
      </c>
      <c r="R420" s="2">
        <v>0</v>
      </c>
      <c r="S420" s="2">
        <v>0</v>
      </c>
      <c r="T420" s="2" t="s">
        <v>46</v>
      </c>
      <c r="U420" s="2" t="s">
        <v>46</v>
      </c>
      <c r="V420" s="2">
        <v>0</v>
      </c>
      <c r="W420" s="2" t="s">
        <v>38</v>
      </c>
      <c r="X420" s="2">
        <v>240</v>
      </c>
      <c r="Y420" s="2"/>
      <c r="Z420" s="2">
        <v>0</v>
      </c>
      <c r="AA420" s="2" t="s">
        <v>39</v>
      </c>
      <c r="AB420" s="2">
        <v>201</v>
      </c>
      <c r="AC420" s="2">
        <v>1</v>
      </c>
      <c r="AD420" s="2">
        <v>0</v>
      </c>
      <c r="AE420" s="2" t="s">
        <v>40</v>
      </c>
      <c r="AF420" s="3">
        <v>42590</v>
      </c>
    </row>
    <row r="421" spans="1:32" x14ac:dyDescent="0.25">
      <c r="A421" s="2" t="s">
        <v>41</v>
      </c>
      <c r="B421" s="2">
        <v>1</v>
      </c>
      <c r="C421" s="2">
        <v>20</v>
      </c>
      <c r="D421" s="2">
        <v>2016</v>
      </c>
      <c r="E421" s="2" t="s">
        <v>52</v>
      </c>
      <c r="F421" s="2">
        <v>14</v>
      </c>
      <c r="G421" s="2">
        <v>31</v>
      </c>
      <c r="H421" s="2">
        <v>0</v>
      </c>
      <c r="I421" s="2">
        <v>2</v>
      </c>
      <c r="J421" s="2">
        <v>1</v>
      </c>
      <c r="K421" s="2">
        <v>0</v>
      </c>
      <c r="L421" s="2">
        <v>0</v>
      </c>
      <c r="M421" s="2" t="s">
        <v>34</v>
      </c>
      <c r="N421" s="2" t="s">
        <v>43</v>
      </c>
      <c r="O421" s="2" t="s">
        <v>76</v>
      </c>
      <c r="P421" s="2" t="s">
        <v>76</v>
      </c>
      <c r="Q421" s="2">
        <v>0</v>
      </c>
      <c r="R421" s="2">
        <v>0</v>
      </c>
      <c r="S421" s="2">
        <v>0</v>
      </c>
      <c r="T421" s="2" t="s">
        <v>46</v>
      </c>
      <c r="U421" s="2" t="s">
        <v>46</v>
      </c>
      <c r="V421" s="2">
        <v>2</v>
      </c>
      <c r="W421" s="2" t="s">
        <v>38</v>
      </c>
      <c r="X421" s="2"/>
      <c r="Y421" s="2">
        <v>179</v>
      </c>
      <c r="Z421" s="2">
        <v>0</v>
      </c>
      <c r="AA421" s="2" t="s">
        <v>39</v>
      </c>
      <c r="AB421" s="2">
        <v>79</v>
      </c>
      <c r="AC421" s="2">
        <v>0</v>
      </c>
      <c r="AD421" s="2">
        <v>0</v>
      </c>
      <c r="AE421" s="2" t="s">
        <v>47</v>
      </c>
      <c r="AF421" s="3">
        <v>42452</v>
      </c>
    </row>
    <row r="422" spans="1:32" x14ac:dyDescent="0.25">
      <c r="A422" s="2" t="s">
        <v>41</v>
      </c>
      <c r="B422" s="2">
        <v>1</v>
      </c>
      <c r="C422" s="2">
        <v>78</v>
      </c>
      <c r="D422" s="2">
        <v>2016</v>
      </c>
      <c r="E422" s="2" t="s">
        <v>54</v>
      </c>
      <c r="F422" s="2">
        <v>15</v>
      </c>
      <c r="G422" s="2">
        <v>5</v>
      </c>
      <c r="H422" s="2">
        <v>0</v>
      </c>
      <c r="I422" s="2">
        <v>4</v>
      </c>
      <c r="J422" s="2">
        <v>2</v>
      </c>
      <c r="K422" s="2">
        <v>0</v>
      </c>
      <c r="L422" s="2">
        <v>0</v>
      </c>
      <c r="M422" s="2" t="s">
        <v>34</v>
      </c>
      <c r="N422" s="2" t="s">
        <v>118</v>
      </c>
      <c r="O422" s="2" t="s">
        <v>44</v>
      </c>
      <c r="P422" s="2" t="s">
        <v>45</v>
      </c>
      <c r="Q422" s="2">
        <v>0</v>
      </c>
      <c r="R422" s="2">
        <v>0</v>
      </c>
      <c r="S422" s="2">
        <v>0</v>
      </c>
      <c r="T422" s="2" t="s">
        <v>57</v>
      </c>
      <c r="U422" s="2" t="s">
        <v>57</v>
      </c>
      <c r="V422" s="2">
        <v>0</v>
      </c>
      <c r="W422" s="2" t="s">
        <v>38</v>
      </c>
      <c r="X422" s="2">
        <v>9</v>
      </c>
      <c r="Y422" s="2"/>
      <c r="Z422" s="2">
        <v>0</v>
      </c>
      <c r="AA422" s="2" t="s">
        <v>39</v>
      </c>
      <c r="AB422" s="2">
        <v>97.33</v>
      </c>
      <c r="AC422" s="2">
        <v>0</v>
      </c>
      <c r="AD422" s="2">
        <v>0</v>
      </c>
      <c r="AE422" s="2" t="s">
        <v>47</v>
      </c>
      <c r="AF422" s="3">
        <v>42447</v>
      </c>
    </row>
    <row r="423" spans="1:32" x14ac:dyDescent="0.25">
      <c r="A423" s="2" t="s">
        <v>32</v>
      </c>
      <c r="B423" s="2">
        <v>0</v>
      </c>
      <c r="C423" s="2">
        <v>342</v>
      </c>
      <c r="D423" s="2">
        <v>2016</v>
      </c>
      <c r="E423" s="2" t="s">
        <v>62</v>
      </c>
      <c r="F423" s="2">
        <v>40</v>
      </c>
      <c r="G423" s="2">
        <v>29</v>
      </c>
      <c r="H423" s="2">
        <v>2</v>
      </c>
      <c r="I423" s="2">
        <v>4</v>
      </c>
      <c r="J423" s="2">
        <v>1</v>
      </c>
      <c r="K423" s="2">
        <v>0</v>
      </c>
      <c r="L423" s="2">
        <v>0</v>
      </c>
      <c r="M423" s="2" t="s">
        <v>34</v>
      </c>
      <c r="N423" s="2" t="s">
        <v>95</v>
      </c>
      <c r="O423" s="2" t="s">
        <v>64</v>
      </c>
      <c r="P423" s="2" t="s">
        <v>45</v>
      </c>
      <c r="Q423" s="2">
        <v>0</v>
      </c>
      <c r="R423" s="2">
        <v>0</v>
      </c>
      <c r="S423" s="2">
        <v>0</v>
      </c>
      <c r="T423" s="2" t="s">
        <v>46</v>
      </c>
      <c r="U423" s="2" t="s">
        <v>46</v>
      </c>
      <c r="V423" s="2">
        <v>0</v>
      </c>
      <c r="W423" s="2" t="s">
        <v>38</v>
      </c>
      <c r="X423" s="2">
        <v>201</v>
      </c>
      <c r="Y423" s="2"/>
      <c r="Z423" s="2">
        <v>0</v>
      </c>
      <c r="AA423" s="2" t="s">
        <v>51</v>
      </c>
      <c r="AB423" s="2">
        <v>36</v>
      </c>
      <c r="AC423" s="2">
        <v>0</v>
      </c>
      <c r="AD423" s="2">
        <v>0</v>
      </c>
      <c r="AE423" s="2" t="s">
        <v>40</v>
      </c>
      <c r="AF423" s="3">
        <v>42648</v>
      </c>
    </row>
    <row r="424" spans="1:32" x14ac:dyDescent="0.25">
      <c r="A424" s="2" t="s">
        <v>32</v>
      </c>
      <c r="B424" s="2">
        <v>0</v>
      </c>
      <c r="C424" s="2">
        <v>53</v>
      </c>
      <c r="D424" s="2">
        <v>2016</v>
      </c>
      <c r="E424" s="2" t="s">
        <v>62</v>
      </c>
      <c r="F424" s="2">
        <v>39</v>
      </c>
      <c r="G424" s="2">
        <v>23</v>
      </c>
      <c r="H424" s="2">
        <v>1</v>
      </c>
      <c r="I424" s="2">
        <v>2</v>
      </c>
      <c r="J424" s="2">
        <v>2</v>
      </c>
      <c r="K424" s="2">
        <v>0</v>
      </c>
      <c r="L424" s="2">
        <v>0</v>
      </c>
      <c r="M424" s="2" t="s">
        <v>34</v>
      </c>
      <c r="N424" s="2" t="s">
        <v>95</v>
      </c>
      <c r="O424" s="2" t="s">
        <v>44</v>
      </c>
      <c r="P424" s="2" t="s">
        <v>45</v>
      </c>
      <c r="Q424" s="2">
        <v>0</v>
      </c>
      <c r="R424" s="2">
        <v>0</v>
      </c>
      <c r="S424" s="2">
        <v>0</v>
      </c>
      <c r="T424" s="2" t="s">
        <v>72</v>
      </c>
      <c r="U424" s="2" t="s">
        <v>72</v>
      </c>
      <c r="V424" s="2">
        <v>0</v>
      </c>
      <c r="W424" s="2" t="s">
        <v>38</v>
      </c>
      <c r="X424" s="2">
        <v>240</v>
      </c>
      <c r="Y424" s="2"/>
      <c r="Z424" s="2">
        <v>0</v>
      </c>
      <c r="AA424" s="2" t="s">
        <v>39</v>
      </c>
      <c r="AB424" s="2">
        <v>129.33000000000001</v>
      </c>
      <c r="AC424" s="2">
        <v>0</v>
      </c>
      <c r="AD424" s="2">
        <v>3</v>
      </c>
      <c r="AE424" s="2" t="s">
        <v>40</v>
      </c>
      <c r="AF424" s="3">
        <v>42639</v>
      </c>
    </row>
    <row r="425" spans="1:32" x14ac:dyDescent="0.25">
      <c r="A425" s="2" t="s">
        <v>41</v>
      </c>
      <c r="B425" s="2">
        <v>1</v>
      </c>
      <c r="C425" s="2">
        <v>77</v>
      </c>
      <c r="D425" s="2">
        <v>2016</v>
      </c>
      <c r="E425" s="2" t="s">
        <v>52</v>
      </c>
      <c r="F425" s="2">
        <v>13</v>
      </c>
      <c r="G425" s="2">
        <v>26</v>
      </c>
      <c r="H425" s="2">
        <v>2</v>
      </c>
      <c r="I425" s="2">
        <v>5</v>
      </c>
      <c r="J425" s="2">
        <v>2</v>
      </c>
      <c r="K425" s="2">
        <v>0</v>
      </c>
      <c r="L425" s="2">
        <v>0</v>
      </c>
      <c r="M425" s="2" t="s">
        <v>34</v>
      </c>
      <c r="N425" s="2" t="s">
        <v>70</v>
      </c>
      <c r="O425" s="2" t="s">
        <v>44</v>
      </c>
      <c r="P425" s="2" t="s">
        <v>45</v>
      </c>
      <c r="Q425" s="2">
        <v>0</v>
      </c>
      <c r="R425" s="2">
        <v>0</v>
      </c>
      <c r="S425" s="2">
        <v>0</v>
      </c>
      <c r="T425" s="2" t="s">
        <v>57</v>
      </c>
      <c r="U425" s="2" t="s">
        <v>57</v>
      </c>
      <c r="V425" s="2">
        <v>0</v>
      </c>
      <c r="W425" s="2" t="s">
        <v>38</v>
      </c>
      <c r="X425" s="2">
        <v>9</v>
      </c>
      <c r="Y425" s="2"/>
      <c r="Z425" s="2">
        <v>0</v>
      </c>
      <c r="AA425" s="2" t="s">
        <v>39</v>
      </c>
      <c r="AB425" s="2">
        <v>97.02</v>
      </c>
      <c r="AC425" s="2">
        <v>0</v>
      </c>
      <c r="AD425" s="2">
        <v>0</v>
      </c>
      <c r="AE425" s="2" t="s">
        <v>47</v>
      </c>
      <c r="AF425" s="3">
        <v>42378</v>
      </c>
    </row>
    <row r="426" spans="1:32" x14ac:dyDescent="0.25">
      <c r="A426" s="2" t="s">
        <v>41</v>
      </c>
      <c r="B426" s="2">
        <v>1</v>
      </c>
      <c r="C426" s="2">
        <v>41</v>
      </c>
      <c r="D426" s="2">
        <v>2016</v>
      </c>
      <c r="E426" s="2" t="s">
        <v>62</v>
      </c>
      <c r="F426" s="2">
        <v>39</v>
      </c>
      <c r="G426" s="2">
        <v>18</v>
      </c>
      <c r="H426" s="2">
        <v>2</v>
      </c>
      <c r="I426" s="2">
        <v>1</v>
      </c>
      <c r="J426" s="2">
        <v>2</v>
      </c>
      <c r="K426" s="2">
        <v>0</v>
      </c>
      <c r="L426" s="2">
        <v>0</v>
      </c>
      <c r="M426" s="2" t="s">
        <v>34</v>
      </c>
      <c r="N426" s="2" t="s">
        <v>35</v>
      </c>
      <c r="O426" s="2" t="s">
        <v>44</v>
      </c>
      <c r="P426" s="2" t="s">
        <v>45</v>
      </c>
      <c r="Q426" s="2">
        <v>0</v>
      </c>
      <c r="R426" s="2">
        <v>0</v>
      </c>
      <c r="S426" s="2">
        <v>0</v>
      </c>
      <c r="T426" s="2" t="s">
        <v>57</v>
      </c>
      <c r="U426" s="2" t="s">
        <v>57</v>
      </c>
      <c r="V426" s="2">
        <v>0</v>
      </c>
      <c r="W426" s="2" t="s">
        <v>38</v>
      </c>
      <c r="X426" s="2">
        <v>9</v>
      </c>
      <c r="Y426" s="2"/>
      <c r="Z426" s="2">
        <v>0</v>
      </c>
      <c r="AA426" s="2" t="s">
        <v>39</v>
      </c>
      <c r="AB426" s="2">
        <v>149.4</v>
      </c>
      <c r="AC426" s="2">
        <v>0</v>
      </c>
      <c r="AD426" s="2">
        <v>1</v>
      </c>
      <c r="AE426" s="2" t="s">
        <v>47</v>
      </c>
      <c r="AF426" s="3">
        <v>42597</v>
      </c>
    </row>
    <row r="427" spans="1:32" x14ac:dyDescent="0.25">
      <c r="A427" s="2" t="s">
        <v>41</v>
      </c>
      <c r="B427" s="2">
        <v>0</v>
      </c>
      <c r="C427" s="2">
        <v>6</v>
      </c>
      <c r="D427" s="2">
        <v>2016</v>
      </c>
      <c r="E427" s="2" t="s">
        <v>69</v>
      </c>
      <c r="F427" s="2">
        <v>20</v>
      </c>
      <c r="G427" s="2">
        <v>9</v>
      </c>
      <c r="H427" s="2">
        <v>1</v>
      </c>
      <c r="I427" s="2">
        <v>1</v>
      </c>
      <c r="J427" s="2">
        <v>2</v>
      </c>
      <c r="K427" s="2">
        <v>0</v>
      </c>
      <c r="L427" s="2">
        <v>0</v>
      </c>
      <c r="M427" s="2" t="s">
        <v>34</v>
      </c>
      <c r="N427" s="2" t="s">
        <v>78</v>
      </c>
      <c r="O427" s="2" t="s">
        <v>44</v>
      </c>
      <c r="P427" s="2" t="s">
        <v>45</v>
      </c>
      <c r="Q427" s="2">
        <v>0</v>
      </c>
      <c r="R427" s="2">
        <v>0</v>
      </c>
      <c r="S427" s="2">
        <v>0</v>
      </c>
      <c r="T427" s="2" t="s">
        <v>57</v>
      </c>
      <c r="U427" s="2" t="s">
        <v>57</v>
      </c>
      <c r="V427" s="2">
        <v>0</v>
      </c>
      <c r="W427" s="2" t="s">
        <v>38</v>
      </c>
      <c r="X427" s="2">
        <v>9</v>
      </c>
      <c r="Y427" s="2"/>
      <c r="Z427" s="2">
        <v>0</v>
      </c>
      <c r="AA427" s="2" t="s">
        <v>39</v>
      </c>
      <c r="AB427" s="2">
        <v>126</v>
      </c>
      <c r="AC427" s="2">
        <v>0</v>
      </c>
      <c r="AD427" s="2">
        <v>1</v>
      </c>
      <c r="AE427" s="2" t="s">
        <v>40</v>
      </c>
      <c r="AF427" s="3">
        <v>42501</v>
      </c>
    </row>
    <row r="428" spans="1:32" x14ac:dyDescent="0.25">
      <c r="A428" s="2" t="s">
        <v>41</v>
      </c>
      <c r="B428" s="2">
        <v>1</v>
      </c>
      <c r="C428" s="2">
        <v>50</v>
      </c>
      <c r="D428" s="2">
        <v>2016</v>
      </c>
      <c r="E428" s="2" t="s">
        <v>74</v>
      </c>
      <c r="F428" s="2">
        <v>5</v>
      </c>
      <c r="G428" s="2">
        <v>29</v>
      </c>
      <c r="H428" s="2">
        <v>1</v>
      </c>
      <c r="I428" s="2">
        <v>2</v>
      </c>
      <c r="J428" s="2">
        <v>1</v>
      </c>
      <c r="K428" s="2">
        <v>0</v>
      </c>
      <c r="L428" s="2">
        <v>0</v>
      </c>
      <c r="M428" s="2" t="s">
        <v>34</v>
      </c>
      <c r="N428" s="2" t="s">
        <v>81</v>
      </c>
      <c r="O428" s="2" t="s">
        <v>44</v>
      </c>
      <c r="P428" s="2" t="s">
        <v>45</v>
      </c>
      <c r="Q428" s="2">
        <v>0</v>
      </c>
      <c r="R428" s="2">
        <v>0</v>
      </c>
      <c r="S428" s="2">
        <v>0</v>
      </c>
      <c r="T428" s="2" t="s">
        <v>46</v>
      </c>
      <c r="U428" s="2" t="s">
        <v>46</v>
      </c>
      <c r="V428" s="2">
        <v>0</v>
      </c>
      <c r="W428" s="2" t="s">
        <v>38</v>
      </c>
      <c r="X428" s="2">
        <v>9</v>
      </c>
      <c r="Y428" s="2"/>
      <c r="Z428" s="2">
        <v>0</v>
      </c>
      <c r="AA428" s="2" t="s">
        <v>39</v>
      </c>
      <c r="AB428" s="2">
        <v>72.900000000000006</v>
      </c>
      <c r="AC428" s="2">
        <v>0</v>
      </c>
      <c r="AD428" s="2">
        <v>0</v>
      </c>
      <c r="AE428" s="2" t="s">
        <v>47</v>
      </c>
      <c r="AF428" s="3">
        <v>42361</v>
      </c>
    </row>
    <row r="429" spans="1:32" x14ac:dyDescent="0.25">
      <c r="A429" s="2" t="s">
        <v>41</v>
      </c>
      <c r="B429" s="2">
        <v>1</v>
      </c>
      <c r="C429" s="2">
        <v>24</v>
      </c>
      <c r="D429" s="2">
        <v>2016</v>
      </c>
      <c r="E429" s="2" t="s">
        <v>66</v>
      </c>
      <c r="F429" s="2">
        <v>9</v>
      </c>
      <c r="G429" s="2">
        <v>22</v>
      </c>
      <c r="H429" s="2">
        <v>1</v>
      </c>
      <c r="I429" s="2">
        <v>2</v>
      </c>
      <c r="J429" s="2">
        <v>2</v>
      </c>
      <c r="K429" s="2">
        <v>0</v>
      </c>
      <c r="L429" s="2">
        <v>0</v>
      </c>
      <c r="M429" s="2" t="s">
        <v>34</v>
      </c>
      <c r="N429" s="2" t="s">
        <v>43</v>
      </c>
      <c r="O429" s="2" t="s">
        <v>49</v>
      </c>
      <c r="P429" s="2" t="s">
        <v>45</v>
      </c>
      <c r="Q429" s="2">
        <v>0</v>
      </c>
      <c r="R429" s="2">
        <v>0</v>
      </c>
      <c r="S429" s="2">
        <v>0</v>
      </c>
      <c r="T429" s="2" t="s">
        <v>46</v>
      </c>
      <c r="U429" s="2" t="s">
        <v>46</v>
      </c>
      <c r="V429" s="2">
        <v>0</v>
      </c>
      <c r="W429" s="2" t="s">
        <v>38</v>
      </c>
      <c r="X429" s="2">
        <v>86</v>
      </c>
      <c r="Y429" s="2"/>
      <c r="Z429" s="2">
        <v>0</v>
      </c>
      <c r="AA429" s="2" t="s">
        <v>39</v>
      </c>
      <c r="AB429" s="2">
        <v>72.8</v>
      </c>
      <c r="AC429" s="2">
        <v>0</v>
      </c>
      <c r="AD429" s="2">
        <v>0</v>
      </c>
      <c r="AE429" s="2" t="s">
        <v>47</v>
      </c>
      <c r="AF429" s="3">
        <v>42401</v>
      </c>
    </row>
    <row r="430" spans="1:32" x14ac:dyDescent="0.25">
      <c r="A430" s="2" t="s">
        <v>32</v>
      </c>
      <c r="B430" s="2">
        <v>0</v>
      </c>
      <c r="C430" s="2">
        <v>31</v>
      </c>
      <c r="D430" s="2">
        <v>2016</v>
      </c>
      <c r="E430" s="2" t="s">
        <v>54</v>
      </c>
      <c r="F430" s="2">
        <v>16</v>
      </c>
      <c r="G430" s="2">
        <v>16</v>
      </c>
      <c r="H430" s="2">
        <v>2</v>
      </c>
      <c r="I430" s="2">
        <v>5</v>
      </c>
      <c r="J430" s="2">
        <v>2</v>
      </c>
      <c r="K430" s="2">
        <v>0</v>
      </c>
      <c r="L430" s="2">
        <v>0</v>
      </c>
      <c r="M430" s="2" t="s">
        <v>34</v>
      </c>
      <c r="N430" s="2" t="s">
        <v>35</v>
      </c>
      <c r="O430" s="2" t="s">
        <v>49</v>
      </c>
      <c r="P430" s="2" t="s">
        <v>45</v>
      </c>
      <c r="Q430" s="2">
        <v>0</v>
      </c>
      <c r="R430" s="2">
        <v>0</v>
      </c>
      <c r="S430" s="2">
        <v>0</v>
      </c>
      <c r="T430" s="2" t="s">
        <v>46</v>
      </c>
      <c r="U430" s="2" t="s">
        <v>46</v>
      </c>
      <c r="V430" s="2">
        <v>0</v>
      </c>
      <c r="W430" s="2" t="s">
        <v>38</v>
      </c>
      <c r="X430" s="2">
        <v>6</v>
      </c>
      <c r="Y430" s="2"/>
      <c r="Z430" s="2">
        <v>0</v>
      </c>
      <c r="AA430" s="2" t="s">
        <v>39</v>
      </c>
      <c r="AB430" s="2">
        <v>41.4</v>
      </c>
      <c r="AC430" s="2">
        <v>0</v>
      </c>
      <c r="AD430" s="2">
        <v>0</v>
      </c>
      <c r="AE430" s="2" t="s">
        <v>40</v>
      </c>
      <c r="AF430" s="3">
        <v>42483</v>
      </c>
    </row>
    <row r="431" spans="1:32" x14ac:dyDescent="0.25">
      <c r="A431" s="2" t="s">
        <v>32</v>
      </c>
      <c r="B431" s="2">
        <v>0</v>
      </c>
      <c r="C431" s="2">
        <v>3</v>
      </c>
      <c r="D431" s="2">
        <v>2016</v>
      </c>
      <c r="E431" s="2" t="s">
        <v>52</v>
      </c>
      <c r="F431" s="2">
        <v>10</v>
      </c>
      <c r="G431" s="2">
        <v>4</v>
      </c>
      <c r="H431" s="2">
        <v>2</v>
      </c>
      <c r="I431" s="2">
        <v>3</v>
      </c>
      <c r="J431" s="2">
        <v>2</v>
      </c>
      <c r="K431" s="2">
        <v>0</v>
      </c>
      <c r="L431" s="2">
        <v>0</v>
      </c>
      <c r="M431" s="2" t="s">
        <v>34</v>
      </c>
      <c r="N431" s="2" t="s">
        <v>63</v>
      </c>
      <c r="O431" s="2" t="s">
        <v>44</v>
      </c>
      <c r="P431" s="2" t="s">
        <v>45</v>
      </c>
      <c r="Q431" s="2">
        <v>0</v>
      </c>
      <c r="R431" s="2">
        <v>0</v>
      </c>
      <c r="S431" s="2">
        <v>0</v>
      </c>
      <c r="T431" s="2" t="s">
        <v>57</v>
      </c>
      <c r="U431" s="2" t="s">
        <v>57</v>
      </c>
      <c r="V431" s="2">
        <v>2</v>
      </c>
      <c r="W431" s="2" t="s">
        <v>38</v>
      </c>
      <c r="X431" s="2">
        <v>240</v>
      </c>
      <c r="Y431" s="2"/>
      <c r="Z431" s="2">
        <v>0</v>
      </c>
      <c r="AA431" s="2" t="s">
        <v>39</v>
      </c>
      <c r="AB431" s="2">
        <v>58</v>
      </c>
      <c r="AC431" s="2">
        <v>0</v>
      </c>
      <c r="AD431" s="2">
        <v>1</v>
      </c>
      <c r="AE431" s="2" t="s">
        <v>40</v>
      </c>
      <c r="AF431" s="3">
        <v>42438</v>
      </c>
    </row>
    <row r="432" spans="1:32" x14ac:dyDescent="0.25">
      <c r="A432" s="2" t="s">
        <v>41</v>
      </c>
      <c r="B432" s="2">
        <v>1</v>
      </c>
      <c r="C432" s="2">
        <v>150</v>
      </c>
      <c r="D432" s="2">
        <v>2016</v>
      </c>
      <c r="E432" s="2" t="s">
        <v>59</v>
      </c>
      <c r="F432" s="2">
        <v>41</v>
      </c>
      <c r="G432" s="2">
        <v>3</v>
      </c>
      <c r="H432" s="2">
        <v>1</v>
      </c>
      <c r="I432" s="2">
        <v>2</v>
      </c>
      <c r="J432" s="2">
        <v>2</v>
      </c>
      <c r="K432" s="2">
        <v>1</v>
      </c>
      <c r="L432" s="2">
        <v>0</v>
      </c>
      <c r="M432" s="2" t="s">
        <v>34</v>
      </c>
      <c r="N432" s="2" t="s">
        <v>48</v>
      </c>
      <c r="O432" s="2" t="s">
        <v>44</v>
      </c>
      <c r="P432" s="2" t="s">
        <v>45</v>
      </c>
      <c r="Q432" s="2">
        <v>0</v>
      </c>
      <c r="R432" s="2">
        <v>0</v>
      </c>
      <c r="S432" s="2">
        <v>0</v>
      </c>
      <c r="T432" s="2" t="s">
        <v>46</v>
      </c>
      <c r="U432" s="2" t="s">
        <v>46</v>
      </c>
      <c r="V432" s="2">
        <v>0</v>
      </c>
      <c r="W432" s="2" t="s">
        <v>38</v>
      </c>
      <c r="X432" s="2">
        <v>9</v>
      </c>
      <c r="Y432" s="2"/>
      <c r="Z432" s="2">
        <v>0</v>
      </c>
      <c r="AA432" s="2" t="s">
        <v>39</v>
      </c>
      <c r="AB432" s="2">
        <v>135</v>
      </c>
      <c r="AC432" s="2">
        <v>0</v>
      </c>
      <c r="AD432" s="2">
        <v>0</v>
      </c>
      <c r="AE432" s="2" t="s">
        <v>47</v>
      </c>
      <c r="AF432" s="3">
        <v>42514</v>
      </c>
    </row>
    <row r="433" spans="1:32" x14ac:dyDescent="0.25">
      <c r="A433" s="2" t="s">
        <v>41</v>
      </c>
      <c r="B433" s="2">
        <v>0</v>
      </c>
      <c r="C433" s="2">
        <v>159</v>
      </c>
      <c r="D433" s="2">
        <v>2016</v>
      </c>
      <c r="E433" s="2" t="s">
        <v>69</v>
      </c>
      <c r="F433" s="2">
        <v>22</v>
      </c>
      <c r="G433" s="2">
        <v>26</v>
      </c>
      <c r="H433" s="2">
        <v>0</v>
      </c>
      <c r="I433" s="2">
        <v>3</v>
      </c>
      <c r="J433" s="2">
        <v>2</v>
      </c>
      <c r="K433" s="2">
        <v>1</v>
      </c>
      <c r="L433" s="2">
        <v>0</v>
      </c>
      <c r="M433" s="2" t="s">
        <v>34</v>
      </c>
      <c r="N433" s="2" t="s">
        <v>43</v>
      </c>
      <c r="O433" s="2" t="s">
        <v>44</v>
      </c>
      <c r="P433" s="2" t="s">
        <v>45</v>
      </c>
      <c r="Q433" s="2">
        <v>0</v>
      </c>
      <c r="R433" s="2">
        <v>0</v>
      </c>
      <c r="S433" s="2">
        <v>0</v>
      </c>
      <c r="T433" s="2" t="s">
        <v>46</v>
      </c>
      <c r="U433" s="2" t="s">
        <v>57</v>
      </c>
      <c r="V433" s="2">
        <v>7</v>
      </c>
      <c r="W433" s="2" t="s">
        <v>38</v>
      </c>
      <c r="X433" s="2">
        <v>9</v>
      </c>
      <c r="Y433" s="2"/>
      <c r="Z433" s="2">
        <v>0</v>
      </c>
      <c r="AA433" s="2" t="s">
        <v>39</v>
      </c>
      <c r="AB433" s="2">
        <v>119.85</v>
      </c>
      <c r="AC433" s="2">
        <v>0</v>
      </c>
      <c r="AD433" s="2">
        <v>1</v>
      </c>
      <c r="AE433" s="2" t="s">
        <v>40</v>
      </c>
      <c r="AF433" s="3">
        <v>42519</v>
      </c>
    </row>
    <row r="434" spans="1:32" x14ac:dyDescent="0.25">
      <c r="A434" s="2" t="s">
        <v>32</v>
      </c>
      <c r="B434" s="2">
        <v>0</v>
      </c>
      <c r="C434" s="2">
        <v>73</v>
      </c>
      <c r="D434" s="2">
        <v>2016</v>
      </c>
      <c r="E434" s="2" t="s">
        <v>61</v>
      </c>
      <c r="F434" s="2">
        <v>46</v>
      </c>
      <c r="G434" s="2">
        <v>12</v>
      </c>
      <c r="H434" s="2">
        <v>0</v>
      </c>
      <c r="I434" s="2">
        <v>1</v>
      </c>
      <c r="J434" s="2">
        <v>2</v>
      </c>
      <c r="K434" s="2">
        <v>0</v>
      </c>
      <c r="L434" s="2">
        <v>0</v>
      </c>
      <c r="M434" s="2" t="s">
        <v>34</v>
      </c>
      <c r="N434" s="2" t="s">
        <v>43</v>
      </c>
      <c r="O434" s="2" t="s">
        <v>44</v>
      </c>
      <c r="P434" s="2" t="s">
        <v>45</v>
      </c>
      <c r="Q434" s="2">
        <v>0</v>
      </c>
      <c r="R434" s="2">
        <v>0</v>
      </c>
      <c r="S434" s="2">
        <v>0</v>
      </c>
      <c r="T434" s="2" t="s">
        <v>46</v>
      </c>
      <c r="U434" s="2" t="s">
        <v>57</v>
      </c>
      <c r="V434" s="2">
        <v>0</v>
      </c>
      <c r="W434" s="2" t="s">
        <v>38</v>
      </c>
      <c r="X434" s="2">
        <v>240</v>
      </c>
      <c r="Y434" s="2"/>
      <c r="Z434" s="2">
        <v>0</v>
      </c>
      <c r="AA434" s="2" t="s">
        <v>39</v>
      </c>
      <c r="AB434" s="2">
        <v>37.799999999999997</v>
      </c>
      <c r="AC434" s="2">
        <v>0</v>
      </c>
      <c r="AD434" s="2">
        <v>1</v>
      </c>
      <c r="AE434" s="2" t="s">
        <v>40</v>
      </c>
      <c r="AF434" s="3">
        <v>42687</v>
      </c>
    </row>
    <row r="435" spans="1:32" x14ac:dyDescent="0.25">
      <c r="A435" s="2" t="s">
        <v>41</v>
      </c>
      <c r="B435" s="2">
        <v>1</v>
      </c>
      <c r="C435" s="2">
        <v>39</v>
      </c>
      <c r="D435" s="2">
        <v>2016</v>
      </c>
      <c r="E435" s="2" t="s">
        <v>52</v>
      </c>
      <c r="F435" s="2">
        <v>11</v>
      </c>
      <c r="G435" s="2">
        <v>6</v>
      </c>
      <c r="H435" s="2">
        <v>2</v>
      </c>
      <c r="I435" s="2">
        <v>3</v>
      </c>
      <c r="J435" s="2">
        <v>2</v>
      </c>
      <c r="K435" s="2">
        <v>0</v>
      </c>
      <c r="L435" s="2">
        <v>0</v>
      </c>
      <c r="M435" s="2" t="s">
        <v>34</v>
      </c>
      <c r="N435" s="2" t="s">
        <v>106</v>
      </c>
      <c r="O435" s="2" t="s">
        <v>44</v>
      </c>
      <c r="P435" s="2" t="s">
        <v>45</v>
      </c>
      <c r="Q435" s="2">
        <v>0</v>
      </c>
      <c r="R435" s="2">
        <v>0</v>
      </c>
      <c r="S435" s="2">
        <v>0</v>
      </c>
      <c r="T435" s="2" t="s">
        <v>46</v>
      </c>
      <c r="U435" s="2" t="s">
        <v>46</v>
      </c>
      <c r="V435" s="2">
        <v>0</v>
      </c>
      <c r="W435" s="2" t="s">
        <v>38</v>
      </c>
      <c r="X435" s="2">
        <v>9</v>
      </c>
      <c r="Y435" s="2"/>
      <c r="Z435" s="2">
        <v>0</v>
      </c>
      <c r="AA435" s="2" t="s">
        <v>39</v>
      </c>
      <c r="AB435" s="2">
        <v>116.1</v>
      </c>
      <c r="AC435" s="2">
        <v>0</v>
      </c>
      <c r="AD435" s="2">
        <v>1</v>
      </c>
      <c r="AE435" s="2" t="s">
        <v>47</v>
      </c>
      <c r="AF435" s="3">
        <v>42398</v>
      </c>
    </row>
    <row r="436" spans="1:32" x14ac:dyDescent="0.25">
      <c r="A436" s="2" t="s">
        <v>41</v>
      </c>
      <c r="B436" s="2">
        <v>0</v>
      </c>
      <c r="C436" s="2">
        <v>147</v>
      </c>
      <c r="D436" s="2">
        <v>2016</v>
      </c>
      <c r="E436" s="2" t="s">
        <v>42</v>
      </c>
      <c r="F436" s="2">
        <v>30</v>
      </c>
      <c r="G436" s="2">
        <v>22</v>
      </c>
      <c r="H436" s="2">
        <v>1</v>
      </c>
      <c r="I436" s="2">
        <v>2</v>
      </c>
      <c r="J436" s="2">
        <v>2</v>
      </c>
      <c r="K436" s="2">
        <v>1</v>
      </c>
      <c r="L436" s="2">
        <v>0</v>
      </c>
      <c r="M436" s="2" t="s">
        <v>34</v>
      </c>
      <c r="N436" s="2" t="s">
        <v>35</v>
      </c>
      <c r="O436" s="2" t="s">
        <v>49</v>
      </c>
      <c r="P436" s="2" t="s">
        <v>45</v>
      </c>
      <c r="Q436" s="2">
        <v>0</v>
      </c>
      <c r="R436" s="2">
        <v>0</v>
      </c>
      <c r="S436" s="2">
        <v>0</v>
      </c>
      <c r="T436" s="2" t="s">
        <v>46</v>
      </c>
      <c r="U436" s="2" t="s">
        <v>57</v>
      </c>
      <c r="V436" s="2">
        <v>0</v>
      </c>
      <c r="W436" s="2" t="s">
        <v>38</v>
      </c>
      <c r="X436" s="2">
        <v>22</v>
      </c>
      <c r="Y436" s="2"/>
      <c r="Z436" s="2">
        <v>0</v>
      </c>
      <c r="AA436" s="2" t="s">
        <v>39</v>
      </c>
      <c r="AB436" s="2">
        <v>84.58</v>
      </c>
      <c r="AC436" s="2">
        <v>0</v>
      </c>
      <c r="AD436" s="2">
        <v>1</v>
      </c>
      <c r="AE436" s="2" t="s">
        <v>40</v>
      </c>
      <c r="AF436" s="3">
        <v>42576</v>
      </c>
    </row>
    <row r="437" spans="1:32" x14ac:dyDescent="0.25">
      <c r="A437" s="2" t="s">
        <v>32</v>
      </c>
      <c r="B437" s="2">
        <v>0</v>
      </c>
      <c r="C437" s="2">
        <v>94</v>
      </c>
      <c r="D437" s="2">
        <v>2016</v>
      </c>
      <c r="E437" s="2" t="s">
        <v>83</v>
      </c>
      <c r="F437" s="2">
        <v>24</v>
      </c>
      <c r="G437" s="2">
        <v>10</v>
      </c>
      <c r="H437" s="2">
        <v>0</v>
      </c>
      <c r="I437" s="2">
        <v>2</v>
      </c>
      <c r="J437" s="2">
        <v>3</v>
      </c>
      <c r="K437" s="2">
        <v>0</v>
      </c>
      <c r="L437" s="2">
        <v>0</v>
      </c>
      <c r="M437" s="2" t="s">
        <v>34</v>
      </c>
      <c r="N437" s="2" t="s">
        <v>43</v>
      </c>
      <c r="O437" s="2" t="s">
        <v>44</v>
      </c>
      <c r="P437" s="2" t="s">
        <v>45</v>
      </c>
      <c r="Q437" s="2">
        <v>0</v>
      </c>
      <c r="R437" s="2">
        <v>0</v>
      </c>
      <c r="S437" s="2">
        <v>0</v>
      </c>
      <c r="T437" s="2" t="s">
        <v>46</v>
      </c>
      <c r="U437" s="2" t="s">
        <v>46</v>
      </c>
      <c r="V437" s="2">
        <v>6</v>
      </c>
      <c r="W437" s="2" t="s">
        <v>38</v>
      </c>
      <c r="X437" s="2">
        <v>240</v>
      </c>
      <c r="Y437" s="2"/>
      <c r="Z437" s="2">
        <v>0</v>
      </c>
      <c r="AA437" s="2" t="s">
        <v>51</v>
      </c>
      <c r="AB437" s="2">
        <v>163</v>
      </c>
      <c r="AC437" s="2">
        <v>1</v>
      </c>
      <c r="AD437" s="2">
        <v>0</v>
      </c>
      <c r="AE437" s="2" t="s">
        <v>40</v>
      </c>
      <c r="AF437" s="3">
        <v>42533</v>
      </c>
    </row>
    <row r="438" spans="1:32" x14ac:dyDescent="0.25">
      <c r="A438" s="2" t="s">
        <v>32</v>
      </c>
      <c r="B438" s="2">
        <v>0</v>
      </c>
      <c r="C438" s="2">
        <v>237</v>
      </c>
      <c r="D438" s="2">
        <v>2016</v>
      </c>
      <c r="E438" s="2" t="s">
        <v>33</v>
      </c>
      <c r="F438" s="2">
        <v>53</v>
      </c>
      <c r="G438" s="2">
        <v>29</v>
      </c>
      <c r="H438" s="2">
        <v>2</v>
      </c>
      <c r="I438" s="2">
        <v>6</v>
      </c>
      <c r="J438" s="2">
        <v>2</v>
      </c>
      <c r="K438" s="2">
        <v>0</v>
      </c>
      <c r="L438" s="2">
        <v>0</v>
      </c>
      <c r="M438" s="2" t="s">
        <v>34</v>
      </c>
      <c r="N438" s="2" t="s">
        <v>106</v>
      </c>
      <c r="O438" s="2" t="s">
        <v>44</v>
      </c>
      <c r="P438" s="2" t="s">
        <v>45</v>
      </c>
      <c r="Q438" s="2">
        <v>0</v>
      </c>
      <c r="R438" s="2">
        <v>0</v>
      </c>
      <c r="S438" s="2">
        <v>0</v>
      </c>
      <c r="T438" s="2" t="s">
        <v>57</v>
      </c>
      <c r="U438" s="2" t="s">
        <v>57</v>
      </c>
      <c r="V438" s="2">
        <v>1</v>
      </c>
      <c r="W438" s="2" t="s">
        <v>38</v>
      </c>
      <c r="X438" s="2">
        <v>240</v>
      </c>
      <c r="Y438" s="2"/>
      <c r="Z438" s="2">
        <v>0</v>
      </c>
      <c r="AA438" s="2" t="s">
        <v>39</v>
      </c>
      <c r="AB438" s="2">
        <v>68.25</v>
      </c>
      <c r="AC438" s="2">
        <v>0</v>
      </c>
      <c r="AD438" s="2">
        <v>2</v>
      </c>
      <c r="AE438" s="2" t="s">
        <v>40</v>
      </c>
      <c r="AF438" s="3">
        <v>42741</v>
      </c>
    </row>
    <row r="439" spans="1:32" x14ac:dyDescent="0.25">
      <c r="A439" s="2" t="s">
        <v>41</v>
      </c>
      <c r="B439" s="2">
        <v>1</v>
      </c>
      <c r="C439" s="2">
        <v>31</v>
      </c>
      <c r="D439" s="2">
        <v>2016</v>
      </c>
      <c r="E439" s="2" t="s">
        <v>54</v>
      </c>
      <c r="F439" s="2">
        <v>14</v>
      </c>
      <c r="G439" s="2">
        <v>2</v>
      </c>
      <c r="H439" s="2">
        <v>0</v>
      </c>
      <c r="I439" s="2">
        <v>1</v>
      </c>
      <c r="J439" s="2">
        <v>2</v>
      </c>
      <c r="K439" s="2">
        <v>0</v>
      </c>
      <c r="L439" s="2">
        <v>0</v>
      </c>
      <c r="M439" s="2" t="s">
        <v>34</v>
      </c>
      <c r="N439" s="2" t="s">
        <v>43</v>
      </c>
      <c r="O439" s="2" t="s">
        <v>44</v>
      </c>
      <c r="P439" s="2" t="s">
        <v>45</v>
      </c>
      <c r="Q439" s="2">
        <v>0</v>
      </c>
      <c r="R439" s="2">
        <v>0</v>
      </c>
      <c r="S439" s="2">
        <v>0</v>
      </c>
      <c r="T439" s="2" t="s">
        <v>46</v>
      </c>
      <c r="U439" s="2" t="s">
        <v>46</v>
      </c>
      <c r="V439" s="2">
        <v>0</v>
      </c>
      <c r="W439" s="2" t="s">
        <v>38</v>
      </c>
      <c r="X439" s="2">
        <v>9</v>
      </c>
      <c r="Y439" s="2"/>
      <c r="Z439" s="2">
        <v>0</v>
      </c>
      <c r="AA439" s="2" t="s">
        <v>39</v>
      </c>
      <c r="AB439" s="2">
        <v>117.9</v>
      </c>
      <c r="AC439" s="2">
        <v>0</v>
      </c>
      <c r="AD439" s="2">
        <v>0</v>
      </c>
      <c r="AE439" s="2" t="s">
        <v>47</v>
      </c>
      <c r="AF439" s="3">
        <v>42435</v>
      </c>
    </row>
    <row r="440" spans="1:32" x14ac:dyDescent="0.25">
      <c r="A440" s="2" t="s">
        <v>32</v>
      </c>
      <c r="B440" s="2">
        <v>0</v>
      </c>
      <c r="C440" s="2">
        <v>287</v>
      </c>
      <c r="D440" s="2">
        <v>2016</v>
      </c>
      <c r="E440" s="2" t="s">
        <v>62</v>
      </c>
      <c r="F440" s="2">
        <v>37</v>
      </c>
      <c r="G440" s="2">
        <v>5</v>
      </c>
      <c r="H440" s="2">
        <v>2</v>
      </c>
      <c r="I440" s="2">
        <v>5</v>
      </c>
      <c r="J440" s="2">
        <v>2</v>
      </c>
      <c r="K440" s="2">
        <v>0</v>
      </c>
      <c r="L440" s="2">
        <v>0</v>
      </c>
      <c r="M440" s="2" t="s">
        <v>34</v>
      </c>
      <c r="N440" s="2" t="s">
        <v>35</v>
      </c>
      <c r="O440" s="2" t="s">
        <v>64</v>
      </c>
      <c r="P440" s="2" t="s">
        <v>45</v>
      </c>
      <c r="Q440" s="2">
        <v>0</v>
      </c>
      <c r="R440" s="2">
        <v>0</v>
      </c>
      <c r="S440" s="2">
        <v>0</v>
      </c>
      <c r="T440" s="2" t="s">
        <v>46</v>
      </c>
      <c r="U440" s="2" t="s">
        <v>46</v>
      </c>
      <c r="V440" s="2">
        <v>0</v>
      </c>
      <c r="W440" s="2" t="s">
        <v>120</v>
      </c>
      <c r="X440" s="2">
        <v>418</v>
      </c>
      <c r="Y440" s="2"/>
      <c r="Z440" s="2">
        <v>0</v>
      </c>
      <c r="AA440" s="2" t="s">
        <v>51</v>
      </c>
      <c r="AB440" s="2">
        <v>69</v>
      </c>
      <c r="AC440" s="2">
        <v>0</v>
      </c>
      <c r="AD440" s="2">
        <v>0</v>
      </c>
      <c r="AE440" s="2" t="s">
        <v>40</v>
      </c>
      <c r="AF440" s="3">
        <v>42625</v>
      </c>
    </row>
    <row r="441" spans="1:32" x14ac:dyDescent="0.25">
      <c r="A441" s="2" t="s">
        <v>32</v>
      </c>
      <c r="B441" s="2">
        <v>0</v>
      </c>
      <c r="C441" s="2">
        <v>2</v>
      </c>
      <c r="D441" s="2">
        <v>2016</v>
      </c>
      <c r="E441" s="2" t="s">
        <v>66</v>
      </c>
      <c r="F441" s="2">
        <v>6</v>
      </c>
      <c r="G441" s="2">
        <v>6</v>
      </c>
      <c r="H441" s="2">
        <v>0</v>
      </c>
      <c r="I441" s="2">
        <v>1</v>
      </c>
      <c r="J441" s="2">
        <v>2</v>
      </c>
      <c r="K441" s="2">
        <v>0</v>
      </c>
      <c r="L441" s="2">
        <v>0</v>
      </c>
      <c r="M441" s="2" t="s">
        <v>34</v>
      </c>
      <c r="N441" s="2" t="s">
        <v>43</v>
      </c>
      <c r="O441" s="2" t="s">
        <v>36</v>
      </c>
      <c r="P441" s="2" t="s">
        <v>36</v>
      </c>
      <c r="Q441" s="2">
        <v>0</v>
      </c>
      <c r="R441" s="2">
        <v>0</v>
      </c>
      <c r="S441" s="2">
        <v>0</v>
      </c>
      <c r="T441" s="2" t="s">
        <v>72</v>
      </c>
      <c r="U441" s="2" t="s">
        <v>37</v>
      </c>
      <c r="V441" s="2">
        <v>0</v>
      </c>
      <c r="W441" s="2" t="s">
        <v>38</v>
      </c>
      <c r="X441" s="2"/>
      <c r="Y441" s="2"/>
      <c r="Z441" s="2">
        <v>0</v>
      </c>
      <c r="AA441" s="2" t="s">
        <v>51</v>
      </c>
      <c r="AB441" s="2">
        <v>58</v>
      </c>
      <c r="AC441" s="2">
        <v>0</v>
      </c>
      <c r="AD441" s="2">
        <v>0</v>
      </c>
      <c r="AE441" s="2" t="s">
        <v>40</v>
      </c>
      <c r="AF441" s="3">
        <v>42407</v>
      </c>
    </row>
    <row r="442" spans="1:32" x14ac:dyDescent="0.25">
      <c r="A442" s="2" t="s">
        <v>41</v>
      </c>
      <c r="B442" s="2">
        <v>1</v>
      </c>
      <c r="C442" s="2">
        <v>54</v>
      </c>
      <c r="D442" s="2">
        <v>2016</v>
      </c>
      <c r="E442" s="2" t="s">
        <v>52</v>
      </c>
      <c r="F442" s="2">
        <v>12</v>
      </c>
      <c r="G442" s="2">
        <v>18</v>
      </c>
      <c r="H442" s="2">
        <v>1</v>
      </c>
      <c r="I442" s="2">
        <v>2</v>
      </c>
      <c r="J442" s="2">
        <v>2</v>
      </c>
      <c r="K442" s="2">
        <v>0</v>
      </c>
      <c r="L442" s="2">
        <v>0</v>
      </c>
      <c r="M442" s="2" t="s">
        <v>55</v>
      </c>
      <c r="N442" s="2" t="s">
        <v>115</v>
      </c>
      <c r="O442" s="2" t="s">
        <v>44</v>
      </c>
      <c r="P442" s="2" t="s">
        <v>45</v>
      </c>
      <c r="Q442" s="2">
        <v>0</v>
      </c>
      <c r="R442" s="2">
        <v>0</v>
      </c>
      <c r="S442" s="2">
        <v>0</v>
      </c>
      <c r="T442" s="2" t="s">
        <v>46</v>
      </c>
      <c r="U442" s="2" t="s">
        <v>46</v>
      </c>
      <c r="V442" s="2">
        <v>0</v>
      </c>
      <c r="W442" s="2" t="s">
        <v>38</v>
      </c>
      <c r="X442" s="2">
        <v>9</v>
      </c>
      <c r="Y442" s="2"/>
      <c r="Z442" s="2">
        <v>0</v>
      </c>
      <c r="AA442" s="2" t="s">
        <v>39</v>
      </c>
      <c r="AB442" s="2">
        <v>88.2</v>
      </c>
      <c r="AC442" s="2">
        <v>0</v>
      </c>
      <c r="AD442" s="2">
        <v>0</v>
      </c>
      <c r="AE442" s="2" t="s">
        <v>47</v>
      </c>
      <c r="AF442" s="3">
        <v>42413</v>
      </c>
    </row>
    <row r="443" spans="1:32" x14ac:dyDescent="0.25">
      <c r="A443" s="2" t="s">
        <v>32</v>
      </c>
      <c r="B443" s="2">
        <v>0</v>
      </c>
      <c r="C443" s="2">
        <v>0</v>
      </c>
      <c r="D443" s="2">
        <v>2016</v>
      </c>
      <c r="E443" s="2" t="s">
        <v>59</v>
      </c>
      <c r="F443" s="2">
        <v>43</v>
      </c>
      <c r="G443" s="2">
        <v>19</v>
      </c>
      <c r="H443" s="2">
        <v>0</v>
      </c>
      <c r="I443" s="2">
        <v>1</v>
      </c>
      <c r="J443" s="2">
        <v>2</v>
      </c>
      <c r="K443" s="2">
        <v>1</v>
      </c>
      <c r="L443" s="2">
        <v>0</v>
      </c>
      <c r="M443" s="2" t="s">
        <v>34</v>
      </c>
      <c r="N443" s="2" t="s">
        <v>43</v>
      </c>
      <c r="O443" s="2" t="s">
        <v>36</v>
      </c>
      <c r="P443" s="2" t="s">
        <v>36</v>
      </c>
      <c r="Q443" s="2">
        <v>0</v>
      </c>
      <c r="R443" s="2">
        <v>0</v>
      </c>
      <c r="S443" s="2">
        <v>0</v>
      </c>
      <c r="T443" s="2" t="s">
        <v>46</v>
      </c>
      <c r="U443" s="2" t="s">
        <v>46</v>
      </c>
      <c r="V443" s="2">
        <v>0</v>
      </c>
      <c r="W443" s="2" t="s">
        <v>38</v>
      </c>
      <c r="X443" s="2"/>
      <c r="Y443" s="2"/>
      <c r="Z443" s="2">
        <v>0</v>
      </c>
      <c r="AA443" s="2" t="s">
        <v>39</v>
      </c>
      <c r="AB443" s="2">
        <v>85</v>
      </c>
      <c r="AC443" s="2">
        <v>1</v>
      </c>
      <c r="AD443" s="2">
        <v>1</v>
      </c>
      <c r="AE443" s="2" t="s">
        <v>40</v>
      </c>
      <c r="AF443" s="3">
        <v>42663</v>
      </c>
    </row>
    <row r="444" spans="1:32" x14ac:dyDescent="0.25">
      <c r="A444" s="2" t="s">
        <v>41</v>
      </c>
      <c r="B444" s="2">
        <v>0</v>
      </c>
      <c r="C444" s="2">
        <v>14</v>
      </c>
      <c r="D444" s="2">
        <v>2016</v>
      </c>
      <c r="E444" s="2" t="s">
        <v>61</v>
      </c>
      <c r="F444" s="2">
        <v>49</v>
      </c>
      <c r="G444" s="2">
        <v>28</v>
      </c>
      <c r="H444" s="2">
        <v>1</v>
      </c>
      <c r="I444" s="2">
        <v>2</v>
      </c>
      <c r="J444" s="2">
        <v>2</v>
      </c>
      <c r="K444" s="2">
        <v>0</v>
      </c>
      <c r="L444" s="2">
        <v>0</v>
      </c>
      <c r="M444" s="2" t="s">
        <v>34</v>
      </c>
      <c r="N444" s="2" t="s">
        <v>70</v>
      </c>
      <c r="O444" s="2" t="s">
        <v>49</v>
      </c>
      <c r="P444" s="2" t="s">
        <v>45</v>
      </c>
      <c r="Q444" s="2">
        <v>0</v>
      </c>
      <c r="R444" s="2">
        <v>0</v>
      </c>
      <c r="S444" s="2">
        <v>0</v>
      </c>
      <c r="T444" s="2" t="s">
        <v>46</v>
      </c>
      <c r="U444" s="2" t="s">
        <v>46</v>
      </c>
      <c r="V444" s="2">
        <v>0</v>
      </c>
      <c r="W444" s="2" t="s">
        <v>38</v>
      </c>
      <c r="X444" s="2">
        <v>28</v>
      </c>
      <c r="Y444" s="2"/>
      <c r="Z444" s="2">
        <v>0</v>
      </c>
      <c r="AA444" s="2" t="s">
        <v>39</v>
      </c>
      <c r="AB444" s="2">
        <v>80</v>
      </c>
      <c r="AC444" s="2">
        <v>0</v>
      </c>
      <c r="AD444" s="2">
        <v>0</v>
      </c>
      <c r="AE444" s="2" t="s">
        <v>40</v>
      </c>
      <c r="AF444" s="3">
        <v>42705</v>
      </c>
    </row>
    <row r="445" spans="1:32" x14ac:dyDescent="0.25">
      <c r="A445" s="2" t="s">
        <v>32</v>
      </c>
      <c r="B445" s="2">
        <v>0</v>
      </c>
      <c r="C445" s="2">
        <v>0</v>
      </c>
      <c r="D445" s="2">
        <v>2016</v>
      </c>
      <c r="E445" s="2" t="s">
        <v>52</v>
      </c>
      <c r="F445" s="2">
        <v>12</v>
      </c>
      <c r="G445" s="2">
        <v>14</v>
      </c>
      <c r="H445" s="2">
        <v>1</v>
      </c>
      <c r="I445" s="2">
        <v>0</v>
      </c>
      <c r="J445" s="2">
        <v>1</v>
      </c>
      <c r="K445" s="2">
        <v>0</v>
      </c>
      <c r="L445" s="2">
        <v>0</v>
      </c>
      <c r="M445" s="2" t="s">
        <v>34</v>
      </c>
      <c r="N445" s="2" t="s">
        <v>43</v>
      </c>
      <c r="O445" s="2" t="s">
        <v>36</v>
      </c>
      <c r="P445" s="2" t="s">
        <v>36</v>
      </c>
      <c r="Q445" s="2">
        <v>0</v>
      </c>
      <c r="R445" s="2">
        <v>0</v>
      </c>
      <c r="S445" s="2">
        <v>0</v>
      </c>
      <c r="T445" s="2" t="s">
        <v>46</v>
      </c>
      <c r="U445" s="2" t="s">
        <v>57</v>
      </c>
      <c r="V445" s="2">
        <v>0</v>
      </c>
      <c r="W445" s="2" t="s">
        <v>38</v>
      </c>
      <c r="X445" s="2"/>
      <c r="Y445" s="2">
        <v>47</v>
      </c>
      <c r="Z445" s="2">
        <v>0</v>
      </c>
      <c r="AA445" s="2" t="s">
        <v>39</v>
      </c>
      <c r="AB445" s="2">
        <v>30</v>
      </c>
      <c r="AC445" s="2">
        <v>0</v>
      </c>
      <c r="AD445" s="2">
        <v>0</v>
      </c>
      <c r="AE445" s="2" t="s">
        <v>40</v>
      </c>
      <c r="AF445" s="3">
        <v>42444</v>
      </c>
    </row>
    <row r="446" spans="1:32" x14ac:dyDescent="0.25">
      <c r="A446" s="2" t="s">
        <v>41</v>
      </c>
      <c r="B446" s="2">
        <v>0</v>
      </c>
      <c r="C446" s="2">
        <v>135</v>
      </c>
      <c r="D446" s="2">
        <v>2016</v>
      </c>
      <c r="E446" s="2" t="s">
        <v>67</v>
      </c>
      <c r="F446" s="2">
        <v>32</v>
      </c>
      <c r="G446" s="2">
        <v>2</v>
      </c>
      <c r="H446" s="2">
        <v>0</v>
      </c>
      <c r="I446" s="2">
        <v>2</v>
      </c>
      <c r="J446" s="2">
        <v>2</v>
      </c>
      <c r="K446" s="2">
        <v>1</v>
      </c>
      <c r="L446" s="2">
        <v>0</v>
      </c>
      <c r="M446" s="2" t="s">
        <v>34</v>
      </c>
      <c r="N446" s="2" t="s">
        <v>43</v>
      </c>
      <c r="O446" s="2" t="s">
        <v>44</v>
      </c>
      <c r="P446" s="2" t="s">
        <v>45</v>
      </c>
      <c r="Q446" s="2">
        <v>0</v>
      </c>
      <c r="R446" s="2">
        <v>0</v>
      </c>
      <c r="S446" s="2">
        <v>0</v>
      </c>
      <c r="T446" s="2" t="s">
        <v>46</v>
      </c>
      <c r="U446" s="2" t="s">
        <v>46</v>
      </c>
      <c r="V446" s="2">
        <v>0</v>
      </c>
      <c r="W446" s="2" t="s">
        <v>38</v>
      </c>
      <c r="X446" s="2">
        <v>9</v>
      </c>
      <c r="Y446" s="2"/>
      <c r="Z446" s="2">
        <v>0</v>
      </c>
      <c r="AA446" s="2" t="s">
        <v>39</v>
      </c>
      <c r="AB446" s="2">
        <v>130.5</v>
      </c>
      <c r="AC446" s="2">
        <v>1</v>
      </c>
      <c r="AD446" s="2">
        <v>0</v>
      </c>
      <c r="AE446" s="2" t="s">
        <v>40</v>
      </c>
      <c r="AF446" s="3">
        <v>42586</v>
      </c>
    </row>
    <row r="447" spans="1:32" x14ac:dyDescent="0.25">
      <c r="A447" s="2" t="s">
        <v>41</v>
      </c>
      <c r="B447" s="2">
        <v>1</v>
      </c>
      <c r="C447" s="2">
        <v>451</v>
      </c>
      <c r="D447" s="2">
        <v>2016</v>
      </c>
      <c r="E447" s="2" t="s">
        <v>69</v>
      </c>
      <c r="F447" s="2">
        <v>21</v>
      </c>
      <c r="G447" s="2">
        <v>16</v>
      </c>
      <c r="H447" s="2">
        <v>1</v>
      </c>
      <c r="I447" s="2">
        <v>2</v>
      </c>
      <c r="J447" s="2">
        <v>2</v>
      </c>
      <c r="K447" s="2">
        <v>0</v>
      </c>
      <c r="L447" s="2">
        <v>0</v>
      </c>
      <c r="M447" s="2" t="s">
        <v>34</v>
      </c>
      <c r="N447" s="2" t="s">
        <v>43</v>
      </c>
      <c r="O447" s="2" t="s">
        <v>64</v>
      </c>
      <c r="P447" s="2" t="s">
        <v>45</v>
      </c>
      <c r="Q447" s="2">
        <v>0</v>
      </c>
      <c r="R447" s="2">
        <v>0</v>
      </c>
      <c r="S447" s="2">
        <v>0</v>
      </c>
      <c r="T447" s="2" t="s">
        <v>46</v>
      </c>
      <c r="U447" s="2" t="s">
        <v>46</v>
      </c>
      <c r="V447" s="2">
        <v>0</v>
      </c>
      <c r="W447" s="2" t="s">
        <v>68</v>
      </c>
      <c r="X447" s="2">
        <v>1</v>
      </c>
      <c r="Y447" s="2"/>
      <c r="Z447" s="2">
        <v>0</v>
      </c>
      <c r="AA447" s="2" t="s">
        <v>39</v>
      </c>
      <c r="AB447" s="2">
        <v>60</v>
      </c>
      <c r="AC447" s="2">
        <v>0</v>
      </c>
      <c r="AD447" s="2">
        <v>0</v>
      </c>
      <c r="AE447" s="2" t="s">
        <v>47</v>
      </c>
      <c r="AF447" s="3">
        <v>42443</v>
      </c>
    </row>
    <row r="448" spans="1:32" x14ac:dyDescent="0.25">
      <c r="A448" s="2" t="s">
        <v>32</v>
      </c>
      <c r="B448" s="2">
        <v>0</v>
      </c>
      <c r="C448" s="2">
        <v>14</v>
      </c>
      <c r="D448" s="2">
        <v>2016</v>
      </c>
      <c r="E448" s="2" t="s">
        <v>52</v>
      </c>
      <c r="F448" s="2">
        <v>12</v>
      </c>
      <c r="G448" s="2">
        <v>19</v>
      </c>
      <c r="H448" s="2">
        <v>2</v>
      </c>
      <c r="I448" s="2">
        <v>3</v>
      </c>
      <c r="J448" s="2">
        <v>2</v>
      </c>
      <c r="K448" s="2">
        <v>0</v>
      </c>
      <c r="L448" s="2">
        <v>0</v>
      </c>
      <c r="M448" s="2" t="s">
        <v>77</v>
      </c>
      <c r="N448" s="2" t="s">
        <v>63</v>
      </c>
      <c r="O448" s="2" t="s">
        <v>49</v>
      </c>
      <c r="P448" s="2" t="s">
        <v>45</v>
      </c>
      <c r="Q448" s="2">
        <v>0</v>
      </c>
      <c r="R448" s="2">
        <v>0</v>
      </c>
      <c r="S448" s="2">
        <v>0</v>
      </c>
      <c r="T448" s="2" t="s">
        <v>46</v>
      </c>
      <c r="U448" s="2" t="s">
        <v>46</v>
      </c>
      <c r="V448" s="2">
        <v>1</v>
      </c>
      <c r="W448" s="2" t="s">
        <v>38</v>
      </c>
      <c r="X448" s="2">
        <v>196</v>
      </c>
      <c r="Y448" s="2"/>
      <c r="Z448" s="2">
        <v>0</v>
      </c>
      <c r="AA448" s="2" t="s">
        <v>39</v>
      </c>
      <c r="AB448" s="2">
        <v>58</v>
      </c>
      <c r="AC448" s="2">
        <v>0</v>
      </c>
      <c r="AD448" s="2">
        <v>0</v>
      </c>
      <c r="AE448" s="2" t="s">
        <v>40</v>
      </c>
      <c r="AF448" s="3">
        <v>42453</v>
      </c>
    </row>
    <row r="449" spans="1:32" x14ac:dyDescent="0.25">
      <c r="A449" s="2" t="s">
        <v>32</v>
      </c>
      <c r="B449" s="2">
        <v>0</v>
      </c>
      <c r="C449" s="2">
        <v>83</v>
      </c>
      <c r="D449" s="2">
        <v>2016</v>
      </c>
      <c r="E449" s="2" t="s">
        <v>42</v>
      </c>
      <c r="F449" s="2">
        <v>31</v>
      </c>
      <c r="G449" s="2">
        <v>25</v>
      </c>
      <c r="H449" s="2">
        <v>3</v>
      </c>
      <c r="I449" s="2">
        <v>5</v>
      </c>
      <c r="J449" s="2">
        <v>1</v>
      </c>
      <c r="K449" s="2">
        <v>0</v>
      </c>
      <c r="L449" s="2">
        <v>0</v>
      </c>
      <c r="M449" s="2" t="s">
        <v>34</v>
      </c>
      <c r="N449" s="2" t="s">
        <v>35</v>
      </c>
      <c r="O449" s="2" t="s">
        <v>64</v>
      </c>
      <c r="P449" s="2" t="s">
        <v>76</v>
      </c>
      <c r="Q449" s="2">
        <v>0</v>
      </c>
      <c r="R449" s="2">
        <v>0</v>
      </c>
      <c r="S449" s="2">
        <v>0</v>
      </c>
      <c r="T449" s="2" t="s">
        <v>46</v>
      </c>
      <c r="U449" s="2" t="s">
        <v>96</v>
      </c>
      <c r="V449" s="2">
        <v>1</v>
      </c>
      <c r="W449" s="2" t="s">
        <v>38</v>
      </c>
      <c r="X449" s="2">
        <v>307</v>
      </c>
      <c r="Y449" s="2"/>
      <c r="Z449" s="2">
        <v>0</v>
      </c>
      <c r="AA449" s="2" t="s">
        <v>51</v>
      </c>
      <c r="AB449" s="2">
        <v>139</v>
      </c>
      <c r="AC449" s="2">
        <v>0</v>
      </c>
      <c r="AD449" s="2">
        <v>0</v>
      </c>
      <c r="AE449" s="2" t="s">
        <v>40</v>
      </c>
      <c r="AF449" s="3">
        <v>42584</v>
      </c>
    </row>
    <row r="450" spans="1:32" x14ac:dyDescent="0.25">
      <c r="A450" s="2" t="s">
        <v>41</v>
      </c>
      <c r="B450" s="2">
        <v>0</v>
      </c>
      <c r="C450" s="2">
        <v>195</v>
      </c>
      <c r="D450" s="2">
        <v>2016</v>
      </c>
      <c r="E450" s="2" t="s">
        <v>42</v>
      </c>
      <c r="F450" s="2">
        <v>30</v>
      </c>
      <c r="G450" s="2">
        <v>21</v>
      </c>
      <c r="H450" s="2">
        <v>2</v>
      </c>
      <c r="I450" s="2">
        <v>5</v>
      </c>
      <c r="J450" s="2">
        <v>2</v>
      </c>
      <c r="K450" s="2">
        <v>0</v>
      </c>
      <c r="L450" s="2">
        <v>0</v>
      </c>
      <c r="M450" s="2" t="s">
        <v>34</v>
      </c>
      <c r="N450" s="2" t="s">
        <v>98</v>
      </c>
      <c r="O450" s="2" t="s">
        <v>44</v>
      </c>
      <c r="P450" s="2" t="s">
        <v>45</v>
      </c>
      <c r="Q450" s="2">
        <v>0</v>
      </c>
      <c r="R450" s="2">
        <v>0</v>
      </c>
      <c r="S450" s="2">
        <v>0</v>
      </c>
      <c r="T450" s="2" t="s">
        <v>46</v>
      </c>
      <c r="U450" s="2" t="s">
        <v>46</v>
      </c>
      <c r="V450" s="2">
        <v>0</v>
      </c>
      <c r="W450" s="2" t="s">
        <v>38</v>
      </c>
      <c r="X450" s="2">
        <v>9</v>
      </c>
      <c r="Y450" s="2"/>
      <c r="Z450" s="2">
        <v>0</v>
      </c>
      <c r="AA450" s="2" t="s">
        <v>39</v>
      </c>
      <c r="AB450" s="2">
        <v>90.95</v>
      </c>
      <c r="AC450" s="2">
        <v>0</v>
      </c>
      <c r="AD450" s="2">
        <v>1</v>
      </c>
      <c r="AE450" s="2" t="s">
        <v>40</v>
      </c>
      <c r="AF450" s="3">
        <v>42579</v>
      </c>
    </row>
    <row r="451" spans="1:32" x14ac:dyDescent="0.25">
      <c r="A451" s="2" t="s">
        <v>41</v>
      </c>
      <c r="B451" s="2">
        <v>1</v>
      </c>
      <c r="C451" s="2">
        <v>104</v>
      </c>
      <c r="D451" s="2">
        <v>2016</v>
      </c>
      <c r="E451" s="2" t="s">
        <v>59</v>
      </c>
      <c r="F451" s="2">
        <v>42</v>
      </c>
      <c r="G451" s="2">
        <v>9</v>
      </c>
      <c r="H451" s="2">
        <v>1</v>
      </c>
      <c r="I451" s="2">
        <v>0</v>
      </c>
      <c r="J451" s="2">
        <v>2</v>
      </c>
      <c r="K451" s="2">
        <v>0</v>
      </c>
      <c r="L451" s="2">
        <v>0</v>
      </c>
      <c r="M451" s="2" t="s">
        <v>55</v>
      </c>
      <c r="N451" s="2" t="s">
        <v>70</v>
      </c>
      <c r="O451" s="2" t="s">
        <v>44</v>
      </c>
      <c r="P451" s="2" t="s">
        <v>45</v>
      </c>
      <c r="Q451" s="2">
        <v>0</v>
      </c>
      <c r="R451" s="2">
        <v>0</v>
      </c>
      <c r="S451" s="2">
        <v>0</v>
      </c>
      <c r="T451" s="2" t="s">
        <v>46</v>
      </c>
      <c r="U451" s="2" t="s">
        <v>46</v>
      </c>
      <c r="V451" s="2">
        <v>0</v>
      </c>
      <c r="W451" s="2" t="s">
        <v>38</v>
      </c>
      <c r="X451" s="2">
        <v>9</v>
      </c>
      <c r="Y451" s="2"/>
      <c r="Z451" s="2">
        <v>0</v>
      </c>
      <c r="AA451" s="2" t="s">
        <v>39</v>
      </c>
      <c r="AB451" s="2">
        <v>108</v>
      </c>
      <c r="AC451" s="2">
        <v>0</v>
      </c>
      <c r="AD451" s="2">
        <v>1</v>
      </c>
      <c r="AE451" s="2" t="s">
        <v>47</v>
      </c>
      <c r="AF451" s="3">
        <v>42651</v>
      </c>
    </row>
    <row r="452" spans="1:32" x14ac:dyDescent="0.25">
      <c r="A452" s="2" t="s">
        <v>41</v>
      </c>
      <c r="B452" s="2">
        <v>1</v>
      </c>
      <c r="C452" s="2">
        <v>65</v>
      </c>
      <c r="D452" s="2">
        <v>2016</v>
      </c>
      <c r="E452" s="2" t="s">
        <v>62</v>
      </c>
      <c r="F452" s="2">
        <v>37</v>
      </c>
      <c r="G452" s="2">
        <v>9</v>
      </c>
      <c r="H452" s="2">
        <v>0</v>
      </c>
      <c r="I452" s="2">
        <v>2</v>
      </c>
      <c r="J452" s="2">
        <v>2</v>
      </c>
      <c r="K452" s="2">
        <v>0</v>
      </c>
      <c r="L452" s="2">
        <v>0</v>
      </c>
      <c r="M452" s="2" t="s">
        <v>34</v>
      </c>
      <c r="N452" s="2" t="s">
        <v>70</v>
      </c>
      <c r="O452" s="2" t="s">
        <v>44</v>
      </c>
      <c r="P452" s="2" t="s">
        <v>45</v>
      </c>
      <c r="Q452" s="2">
        <v>0</v>
      </c>
      <c r="R452" s="2">
        <v>0</v>
      </c>
      <c r="S452" s="2">
        <v>0</v>
      </c>
      <c r="T452" s="2" t="s">
        <v>57</v>
      </c>
      <c r="U452" s="2" t="s">
        <v>57</v>
      </c>
      <c r="V452" s="2">
        <v>0</v>
      </c>
      <c r="W452" s="2" t="s">
        <v>38</v>
      </c>
      <c r="X452" s="2">
        <v>9</v>
      </c>
      <c r="Y452" s="2"/>
      <c r="Z452" s="2">
        <v>0</v>
      </c>
      <c r="AA452" s="2" t="s">
        <v>39</v>
      </c>
      <c r="AB452" s="2">
        <v>149.4</v>
      </c>
      <c r="AC452" s="2">
        <v>0</v>
      </c>
      <c r="AD452" s="2">
        <v>1</v>
      </c>
      <c r="AE452" s="2" t="s">
        <v>47</v>
      </c>
      <c r="AF452" s="3">
        <v>42618</v>
      </c>
    </row>
    <row r="453" spans="1:32" x14ac:dyDescent="0.25">
      <c r="A453" s="2" t="s">
        <v>41</v>
      </c>
      <c r="B453" s="2">
        <v>0</v>
      </c>
      <c r="C453" s="2">
        <v>98</v>
      </c>
      <c r="D453" s="2">
        <v>2016</v>
      </c>
      <c r="E453" s="2" t="s">
        <v>52</v>
      </c>
      <c r="F453" s="2">
        <v>12</v>
      </c>
      <c r="G453" s="2">
        <v>17</v>
      </c>
      <c r="H453" s="2">
        <v>2</v>
      </c>
      <c r="I453" s="2">
        <v>3</v>
      </c>
      <c r="J453" s="2">
        <v>2</v>
      </c>
      <c r="K453" s="2">
        <v>0</v>
      </c>
      <c r="L453" s="2">
        <v>0</v>
      </c>
      <c r="M453" s="2" t="s">
        <v>34</v>
      </c>
      <c r="N453" s="2" t="s">
        <v>106</v>
      </c>
      <c r="O453" s="2" t="s">
        <v>44</v>
      </c>
      <c r="P453" s="2" t="s">
        <v>45</v>
      </c>
      <c r="Q453" s="2">
        <v>0</v>
      </c>
      <c r="R453" s="2">
        <v>0</v>
      </c>
      <c r="S453" s="2">
        <v>0</v>
      </c>
      <c r="T453" s="2" t="s">
        <v>46</v>
      </c>
      <c r="U453" s="2" t="s">
        <v>46</v>
      </c>
      <c r="V453" s="2">
        <v>0</v>
      </c>
      <c r="W453" s="2" t="s">
        <v>38</v>
      </c>
      <c r="X453" s="2">
        <v>9</v>
      </c>
      <c r="Y453" s="2"/>
      <c r="Z453" s="2">
        <v>0</v>
      </c>
      <c r="AA453" s="2" t="s">
        <v>39</v>
      </c>
      <c r="AB453" s="2">
        <v>73.95</v>
      </c>
      <c r="AC453" s="2">
        <v>0</v>
      </c>
      <c r="AD453" s="2">
        <v>0</v>
      </c>
      <c r="AE453" s="2" t="s">
        <v>40</v>
      </c>
      <c r="AF453" s="3">
        <v>42451</v>
      </c>
    </row>
    <row r="454" spans="1:32" x14ac:dyDescent="0.25">
      <c r="A454" s="2" t="s">
        <v>41</v>
      </c>
      <c r="B454" s="2">
        <v>0</v>
      </c>
      <c r="C454" s="2">
        <v>117</v>
      </c>
      <c r="D454" s="2">
        <v>2016</v>
      </c>
      <c r="E454" s="2" t="s">
        <v>61</v>
      </c>
      <c r="F454" s="2">
        <v>47</v>
      </c>
      <c r="G454" s="2">
        <v>13</v>
      </c>
      <c r="H454" s="2">
        <v>2</v>
      </c>
      <c r="I454" s="2">
        <v>0</v>
      </c>
      <c r="J454" s="2">
        <v>2</v>
      </c>
      <c r="K454" s="2">
        <v>0</v>
      </c>
      <c r="L454" s="2">
        <v>0</v>
      </c>
      <c r="M454" s="2" t="s">
        <v>55</v>
      </c>
      <c r="N454" s="2" t="s">
        <v>103</v>
      </c>
      <c r="O454" s="2" t="s">
        <v>44</v>
      </c>
      <c r="P454" s="2" t="s">
        <v>45</v>
      </c>
      <c r="Q454" s="2">
        <v>0</v>
      </c>
      <c r="R454" s="2">
        <v>0</v>
      </c>
      <c r="S454" s="2">
        <v>0</v>
      </c>
      <c r="T454" s="2" t="s">
        <v>46</v>
      </c>
      <c r="U454" s="2" t="s">
        <v>46</v>
      </c>
      <c r="V454" s="2">
        <v>0</v>
      </c>
      <c r="W454" s="2" t="s">
        <v>38</v>
      </c>
      <c r="X454" s="2">
        <v>9</v>
      </c>
      <c r="Y454" s="2"/>
      <c r="Z454" s="2">
        <v>0</v>
      </c>
      <c r="AA454" s="2" t="s">
        <v>39</v>
      </c>
      <c r="AB454" s="2">
        <v>79.2</v>
      </c>
      <c r="AC454" s="2">
        <v>0</v>
      </c>
      <c r="AD454" s="2">
        <v>0</v>
      </c>
      <c r="AE454" s="2" t="s">
        <v>40</v>
      </c>
      <c r="AF454" s="3">
        <v>42689</v>
      </c>
    </row>
    <row r="455" spans="1:32" x14ac:dyDescent="0.25">
      <c r="A455" s="2" t="s">
        <v>41</v>
      </c>
      <c r="B455" s="2">
        <v>0</v>
      </c>
      <c r="C455" s="2">
        <v>68</v>
      </c>
      <c r="D455" s="2">
        <v>2016</v>
      </c>
      <c r="E455" s="2" t="s">
        <v>66</v>
      </c>
      <c r="F455" s="2">
        <v>8</v>
      </c>
      <c r="G455" s="2">
        <v>20</v>
      </c>
      <c r="H455" s="2">
        <v>2</v>
      </c>
      <c r="I455" s="2">
        <v>5</v>
      </c>
      <c r="J455" s="2">
        <v>2</v>
      </c>
      <c r="K455" s="2">
        <v>0</v>
      </c>
      <c r="L455" s="2">
        <v>0</v>
      </c>
      <c r="M455" s="2" t="s">
        <v>34</v>
      </c>
      <c r="N455" s="2" t="s">
        <v>56</v>
      </c>
      <c r="O455" s="2" t="s">
        <v>49</v>
      </c>
      <c r="P455" s="2" t="s">
        <v>45</v>
      </c>
      <c r="Q455" s="2">
        <v>0</v>
      </c>
      <c r="R455" s="2">
        <v>0</v>
      </c>
      <c r="S455" s="2">
        <v>0</v>
      </c>
      <c r="T455" s="2" t="s">
        <v>46</v>
      </c>
      <c r="U455" s="2" t="s">
        <v>46</v>
      </c>
      <c r="V455" s="2">
        <v>0</v>
      </c>
      <c r="W455" s="2" t="s">
        <v>38</v>
      </c>
      <c r="X455" s="2">
        <v>27</v>
      </c>
      <c r="Y455" s="2"/>
      <c r="Z455" s="2">
        <v>0</v>
      </c>
      <c r="AA455" s="2" t="s">
        <v>39</v>
      </c>
      <c r="AB455" s="2">
        <v>43.43</v>
      </c>
      <c r="AC455" s="2">
        <v>0</v>
      </c>
      <c r="AD455" s="2">
        <v>0</v>
      </c>
      <c r="AE455" s="2" t="s">
        <v>40</v>
      </c>
      <c r="AF455" s="3">
        <v>42427</v>
      </c>
    </row>
    <row r="456" spans="1:32" x14ac:dyDescent="0.25">
      <c r="A456" s="2" t="s">
        <v>41</v>
      </c>
      <c r="B456" s="2">
        <v>0</v>
      </c>
      <c r="C456" s="2">
        <v>4</v>
      </c>
      <c r="D456" s="2">
        <v>2016</v>
      </c>
      <c r="E456" s="2" t="s">
        <v>66</v>
      </c>
      <c r="F456" s="2">
        <v>8</v>
      </c>
      <c r="G456" s="2">
        <v>16</v>
      </c>
      <c r="H456" s="2">
        <v>0</v>
      </c>
      <c r="I456" s="2">
        <v>3</v>
      </c>
      <c r="J456" s="2">
        <v>1</v>
      </c>
      <c r="K456" s="2">
        <v>0</v>
      </c>
      <c r="L456" s="2">
        <v>0</v>
      </c>
      <c r="M456" s="2" t="s">
        <v>34</v>
      </c>
      <c r="N456" s="2" t="s">
        <v>43</v>
      </c>
      <c r="O456" s="2" t="s">
        <v>76</v>
      </c>
      <c r="P456" s="2" t="s">
        <v>76</v>
      </c>
      <c r="Q456" s="2">
        <v>1</v>
      </c>
      <c r="R456" s="2">
        <v>0</v>
      </c>
      <c r="S456" s="2">
        <v>5</v>
      </c>
      <c r="T456" s="2" t="s">
        <v>46</v>
      </c>
      <c r="U456" s="2" t="s">
        <v>46</v>
      </c>
      <c r="V456" s="2">
        <v>0</v>
      </c>
      <c r="W456" s="2" t="s">
        <v>38</v>
      </c>
      <c r="X456" s="2"/>
      <c r="Y456" s="2">
        <v>40</v>
      </c>
      <c r="Z456" s="2">
        <v>0</v>
      </c>
      <c r="AA456" s="2" t="s">
        <v>39</v>
      </c>
      <c r="AB456" s="2">
        <v>65</v>
      </c>
      <c r="AC456" s="2">
        <v>0</v>
      </c>
      <c r="AD456" s="2">
        <v>1</v>
      </c>
      <c r="AE456" s="2" t="s">
        <v>40</v>
      </c>
      <c r="AF456" s="3">
        <v>42419</v>
      </c>
    </row>
    <row r="457" spans="1:32" x14ac:dyDescent="0.25">
      <c r="A457" s="2" t="s">
        <v>41</v>
      </c>
      <c r="B457" s="2">
        <v>0</v>
      </c>
      <c r="C457" s="2">
        <v>50</v>
      </c>
      <c r="D457" s="2">
        <v>2016</v>
      </c>
      <c r="E457" s="2" t="s">
        <v>52</v>
      </c>
      <c r="F457" s="2">
        <v>14</v>
      </c>
      <c r="G457" s="2">
        <v>31</v>
      </c>
      <c r="H457" s="2">
        <v>0</v>
      </c>
      <c r="I457" s="2">
        <v>3</v>
      </c>
      <c r="J457" s="2">
        <v>2</v>
      </c>
      <c r="K457" s="2">
        <v>0</v>
      </c>
      <c r="L457" s="2">
        <v>0</v>
      </c>
      <c r="M457" s="2" t="s">
        <v>34</v>
      </c>
      <c r="N457" s="2" t="s">
        <v>43</v>
      </c>
      <c r="O457" s="2" t="s">
        <v>64</v>
      </c>
      <c r="P457" s="2" t="s">
        <v>45</v>
      </c>
      <c r="Q457" s="2">
        <v>0</v>
      </c>
      <c r="R457" s="2">
        <v>0</v>
      </c>
      <c r="S457" s="2">
        <v>0</v>
      </c>
      <c r="T457" s="2" t="s">
        <v>46</v>
      </c>
      <c r="U457" s="2" t="s">
        <v>46</v>
      </c>
      <c r="V457" s="2">
        <v>0</v>
      </c>
      <c r="W457" s="2" t="s">
        <v>38</v>
      </c>
      <c r="X457" s="2">
        <v>1</v>
      </c>
      <c r="Y457" s="2"/>
      <c r="Z457" s="2">
        <v>0</v>
      </c>
      <c r="AA457" s="2" t="s">
        <v>51</v>
      </c>
      <c r="AB457" s="2">
        <v>65</v>
      </c>
      <c r="AC457" s="2">
        <v>0</v>
      </c>
      <c r="AD457" s="2">
        <v>0</v>
      </c>
      <c r="AE457" s="2" t="s">
        <v>40</v>
      </c>
      <c r="AF457" s="3">
        <v>42463</v>
      </c>
    </row>
    <row r="458" spans="1:32" x14ac:dyDescent="0.25">
      <c r="A458" s="2" t="s">
        <v>41</v>
      </c>
      <c r="B458" s="2">
        <v>0</v>
      </c>
      <c r="C458" s="2">
        <v>56</v>
      </c>
      <c r="D458" s="2">
        <v>2016</v>
      </c>
      <c r="E458" s="2" t="s">
        <v>61</v>
      </c>
      <c r="F458" s="2">
        <v>48</v>
      </c>
      <c r="G458" s="2">
        <v>22</v>
      </c>
      <c r="H458" s="2">
        <v>0</v>
      </c>
      <c r="I458" s="2">
        <v>4</v>
      </c>
      <c r="J458" s="2">
        <v>3</v>
      </c>
      <c r="K458" s="2">
        <v>0</v>
      </c>
      <c r="L458" s="2">
        <v>0</v>
      </c>
      <c r="M458" s="2" t="s">
        <v>34</v>
      </c>
      <c r="N458" s="2" t="s">
        <v>106</v>
      </c>
      <c r="O458" s="2" t="s">
        <v>44</v>
      </c>
      <c r="P458" s="2" t="s">
        <v>45</v>
      </c>
      <c r="Q458" s="2">
        <v>0</v>
      </c>
      <c r="R458" s="2">
        <v>0</v>
      </c>
      <c r="S458" s="2">
        <v>0</v>
      </c>
      <c r="T458" s="2" t="s">
        <v>57</v>
      </c>
      <c r="U458" s="2" t="s">
        <v>57</v>
      </c>
      <c r="V458" s="2">
        <v>0</v>
      </c>
      <c r="W458" s="2" t="s">
        <v>38</v>
      </c>
      <c r="X458" s="2">
        <v>9</v>
      </c>
      <c r="Y458" s="2"/>
      <c r="Z458" s="2">
        <v>0</v>
      </c>
      <c r="AA458" s="2" t="s">
        <v>39</v>
      </c>
      <c r="AB458" s="2">
        <v>119</v>
      </c>
      <c r="AC458" s="2">
        <v>0</v>
      </c>
      <c r="AD458" s="2">
        <v>2</v>
      </c>
      <c r="AE458" s="2" t="s">
        <v>40</v>
      </c>
      <c r="AF458" s="3">
        <v>42700</v>
      </c>
    </row>
    <row r="459" spans="1:32" x14ac:dyDescent="0.25">
      <c r="A459" s="2" t="s">
        <v>41</v>
      </c>
      <c r="B459" s="2">
        <v>1</v>
      </c>
      <c r="C459" s="2">
        <v>102</v>
      </c>
      <c r="D459" s="2">
        <v>2016</v>
      </c>
      <c r="E459" s="2" t="s">
        <v>59</v>
      </c>
      <c r="F459" s="2">
        <v>42</v>
      </c>
      <c r="G459" s="2">
        <v>9</v>
      </c>
      <c r="H459" s="2">
        <v>1</v>
      </c>
      <c r="I459" s="2">
        <v>0</v>
      </c>
      <c r="J459" s="2">
        <v>2</v>
      </c>
      <c r="K459" s="2">
        <v>0</v>
      </c>
      <c r="L459" s="2">
        <v>0</v>
      </c>
      <c r="M459" s="2" t="s">
        <v>55</v>
      </c>
      <c r="N459" s="2" t="s">
        <v>70</v>
      </c>
      <c r="O459" s="2" t="s">
        <v>44</v>
      </c>
      <c r="P459" s="2" t="s">
        <v>45</v>
      </c>
      <c r="Q459" s="2">
        <v>0</v>
      </c>
      <c r="R459" s="2">
        <v>0</v>
      </c>
      <c r="S459" s="2">
        <v>0</v>
      </c>
      <c r="T459" s="2" t="s">
        <v>46</v>
      </c>
      <c r="U459" s="2" t="s">
        <v>46</v>
      </c>
      <c r="V459" s="2">
        <v>0</v>
      </c>
      <c r="W459" s="2" t="s">
        <v>38</v>
      </c>
      <c r="X459" s="2">
        <v>9</v>
      </c>
      <c r="Y459" s="2"/>
      <c r="Z459" s="2">
        <v>0</v>
      </c>
      <c r="AA459" s="2" t="s">
        <v>39</v>
      </c>
      <c r="AB459" s="2">
        <v>108</v>
      </c>
      <c r="AC459" s="2">
        <v>0</v>
      </c>
      <c r="AD459" s="2">
        <v>1</v>
      </c>
      <c r="AE459" s="2" t="s">
        <v>47</v>
      </c>
      <c r="AF459" s="3">
        <v>42651</v>
      </c>
    </row>
    <row r="460" spans="1:32" x14ac:dyDescent="0.25">
      <c r="A460" s="2" t="s">
        <v>32</v>
      </c>
      <c r="B460" s="2">
        <v>0</v>
      </c>
      <c r="C460" s="2">
        <v>0</v>
      </c>
      <c r="D460" s="2">
        <v>2016</v>
      </c>
      <c r="E460" s="2" t="s">
        <v>59</v>
      </c>
      <c r="F460" s="2">
        <v>44</v>
      </c>
      <c r="G460" s="2">
        <v>28</v>
      </c>
      <c r="H460" s="2">
        <v>0</v>
      </c>
      <c r="I460" s="2">
        <v>1</v>
      </c>
      <c r="J460" s="2">
        <v>2</v>
      </c>
      <c r="K460" s="2">
        <v>0</v>
      </c>
      <c r="L460" s="2">
        <v>0</v>
      </c>
      <c r="M460" s="2" t="s">
        <v>34</v>
      </c>
      <c r="N460" s="2" t="s">
        <v>95</v>
      </c>
      <c r="O460" s="2" t="s">
        <v>36</v>
      </c>
      <c r="P460" s="2" t="s">
        <v>36</v>
      </c>
      <c r="Q460" s="2">
        <v>1</v>
      </c>
      <c r="R460" s="2">
        <v>0</v>
      </c>
      <c r="S460" s="2">
        <v>0</v>
      </c>
      <c r="T460" s="2" t="s">
        <v>57</v>
      </c>
      <c r="U460" s="2" t="s">
        <v>57</v>
      </c>
      <c r="V460" s="2">
        <v>0</v>
      </c>
      <c r="W460" s="2" t="s">
        <v>38</v>
      </c>
      <c r="X460" s="2"/>
      <c r="Y460" s="2"/>
      <c r="Z460" s="2">
        <v>0</v>
      </c>
      <c r="AA460" s="2" t="s">
        <v>39</v>
      </c>
      <c r="AB460" s="2">
        <v>78</v>
      </c>
      <c r="AC460" s="2">
        <v>0</v>
      </c>
      <c r="AD460" s="2">
        <v>1</v>
      </c>
      <c r="AE460" s="2" t="s">
        <v>40</v>
      </c>
      <c r="AF460" s="3">
        <v>42672</v>
      </c>
    </row>
    <row r="461" spans="1:32" x14ac:dyDescent="0.25">
      <c r="A461" s="2" t="s">
        <v>41</v>
      </c>
      <c r="B461" s="2">
        <v>0</v>
      </c>
      <c r="C461" s="2">
        <v>39</v>
      </c>
      <c r="D461" s="2">
        <v>2016</v>
      </c>
      <c r="E461" s="2" t="s">
        <v>62</v>
      </c>
      <c r="F461" s="2">
        <v>38</v>
      </c>
      <c r="G461" s="2">
        <v>16</v>
      </c>
      <c r="H461" s="2">
        <v>1</v>
      </c>
      <c r="I461" s="2">
        <v>2</v>
      </c>
      <c r="J461" s="2">
        <v>2</v>
      </c>
      <c r="K461" s="2">
        <v>2</v>
      </c>
      <c r="L461" s="2">
        <v>0</v>
      </c>
      <c r="M461" s="2" t="s">
        <v>34</v>
      </c>
      <c r="N461" s="2" t="s">
        <v>112</v>
      </c>
      <c r="O461" s="2" t="s">
        <v>36</v>
      </c>
      <c r="P461" s="2" t="s">
        <v>36</v>
      </c>
      <c r="Q461" s="2">
        <v>0</v>
      </c>
      <c r="R461" s="2">
        <v>0</v>
      </c>
      <c r="S461" s="2">
        <v>0</v>
      </c>
      <c r="T461" s="2" t="s">
        <v>84</v>
      </c>
      <c r="U461" s="2" t="s">
        <v>84</v>
      </c>
      <c r="V461" s="2">
        <v>0</v>
      </c>
      <c r="W461" s="2" t="s">
        <v>38</v>
      </c>
      <c r="X461" s="2">
        <v>14</v>
      </c>
      <c r="Y461" s="2"/>
      <c r="Z461" s="2">
        <v>0</v>
      </c>
      <c r="AA461" s="2" t="s">
        <v>39</v>
      </c>
      <c r="AB461" s="2">
        <v>226.95</v>
      </c>
      <c r="AC461" s="2">
        <v>0</v>
      </c>
      <c r="AD461" s="2">
        <v>2</v>
      </c>
      <c r="AE461" s="2" t="s">
        <v>40</v>
      </c>
      <c r="AF461" s="3">
        <v>42632</v>
      </c>
    </row>
    <row r="462" spans="1:32" x14ac:dyDescent="0.25">
      <c r="A462" s="2" t="s">
        <v>32</v>
      </c>
      <c r="B462" s="2">
        <v>0</v>
      </c>
      <c r="C462" s="2">
        <v>12</v>
      </c>
      <c r="D462" s="2">
        <v>2016</v>
      </c>
      <c r="E462" s="2" t="s">
        <v>54</v>
      </c>
      <c r="F462" s="2">
        <v>18</v>
      </c>
      <c r="G462" s="2">
        <v>27</v>
      </c>
      <c r="H462" s="2">
        <v>0</v>
      </c>
      <c r="I462" s="2">
        <v>3</v>
      </c>
      <c r="J462" s="2">
        <v>2</v>
      </c>
      <c r="K462" s="2">
        <v>0</v>
      </c>
      <c r="L462" s="2">
        <v>0</v>
      </c>
      <c r="M462" s="2" t="s">
        <v>77</v>
      </c>
      <c r="N462" s="2" t="s">
        <v>43</v>
      </c>
      <c r="O462" s="2" t="s">
        <v>64</v>
      </c>
      <c r="P462" s="2" t="s">
        <v>36</v>
      </c>
      <c r="Q462" s="2">
        <v>0</v>
      </c>
      <c r="R462" s="2">
        <v>0</v>
      </c>
      <c r="S462" s="2">
        <v>0</v>
      </c>
      <c r="T462" s="2" t="s">
        <v>46</v>
      </c>
      <c r="U462" s="2" t="s">
        <v>46</v>
      </c>
      <c r="V462" s="2">
        <v>1</v>
      </c>
      <c r="W462" s="2" t="s">
        <v>38</v>
      </c>
      <c r="X462" s="2">
        <v>385</v>
      </c>
      <c r="Y462" s="2"/>
      <c r="Z462" s="2">
        <v>0</v>
      </c>
      <c r="AA462" s="2" t="s">
        <v>51</v>
      </c>
      <c r="AB462" s="2">
        <v>85.33</v>
      </c>
      <c r="AC462" s="2">
        <v>0</v>
      </c>
      <c r="AD462" s="2">
        <v>0</v>
      </c>
      <c r="AE462" s="2" t="s">
        <v>40</v>
      </c>
      <c r="AF462" s="3">
        <v>42490</v>
      </c>
    </row>
    <row r="463" spans="1:32" x14ac:dyDescent="0.25">
      <c r="A463" s="2" t="s">
        <v>32</v>
      </c>
      <c r="B463" s="2">
        <v>0</v>
      </c>
      <c r="C463" s="2">
        <v>9</v>
      </c>
      <c r="D463" s="2">
        <v>2016</v>
      </c>
      <c r="E463" s="2" t="s">
        <v>74</v>
      </c>
      <c r="F463" s="2">
        <v>4</v>
      </c>
      <c r="G463" s="2">
        <v>17</v>
      </c>
      <c r="H463" s="2">
        <v>1</v>
      </c>
      <c r="I463" s="2">
        <v>0</v>
      </c>
      <c r="J463" s="2">
        <v>2</v>
      </c>
      <c r="K463" s="2">
        <v>0</v>
      </c>
      <c r="L463" s="2">
        <v>0</v>
      </c>
      <c r="M463" s="2" t="s">
        <v>34</v>
      </c>
      <c r="N463" s="2" t="s">
        <v>35</v>
      </c>
      <c r="O463" s="2" t="s">
        <v>44</v>
      </c>
      <c r="P463" s="2" t="s">
        <v>45</v>
      </c>
      <c r="Q463" s="2">
        <v>0</v>
      </c>
      <c r="R463" s="2">
        <v>0</v>
      </c>
      <c r="S463" s="2">
        <v>0</v>
      </c>
      <c r="T463" s="2" t="s">
        <v>84</v>
      </c>
      <c r="U463" s="2" t="s">
        <v>84</v>
      </c>
      <c r="V463" s="2">
        <v>0</v>
      </c>
      <c r="W463" s="2" t="s">
        <v>38</v>
      </c>
      <c r="X463" s="2">
        <v>240</v>
      </c>
      <c r="Y463" s="2"/>
      <c r="Z463" s="2">
        <v>0</v>
      </c>
      <c r="AA463" s="2" t="s">
        <v>39</v>
      </c>
      <c r="AB463" s="2">
        <v>76</v>
      </c>
      <c r="AC463" s="2">
        <v>0</v>
      </c>
      <c r="AD463" s="2">
        <v>1</v>
      </c>
      <c r="AE463" s="2" t="s">
        <v>40</v>
      </c>
      <c r="AF463" s="3">
        <v>42387</v>
      </c>
    </row>
    <row r="464" spans="1:32" x14ac:dyDescent="0.25">
      <c r="A464" s="2" t="s">
        <v>41</v>
      </c>
      <c r="B464" s="2">
        <v>1</v>
      </c>
      <c r="C464" s="2">
        <v>288</v>
      </c>
      <c r="D464" s="2">
        <v>2016</v>
      </c>
      <c r="E464" s="2" t="s">
        <v>54</v>
      </c>
      <c r="F464" s="2">
        <v>17</v>
      </c>
      <c r="G464" s="2">
        <v>21</v>
      </c>
      <c r="H464" s="2">
        <v>0</v>
      </c>
      <c r="I464" s="2">
        <v>2</v>
      </c>
      <c r="J464" s="2">
        <v>2</v>
      </c>
      <c r="K464" s="2">
        <v>0</v>
      </c>
      <c r="L464" s="2">
        <v>0</v>
      </c>
      <c r="M464" s="2" t="s">
        <v>34</v>
      </c>
      <c r="N464" s="2" t="s">
        <v>43</v>
      </c>
      <c r="O464" s="2" t="s">
        <v>64</v>
      </c>
      <c r="P464" s="2" t="s">
        <v>45</v>
      </c>
      <c r="Q464" s="2">
        <v>0</v>
      </c>
      <c r="R464" s="2">
        <v>0</v>
      </c>
      <c r="S464" s="2">
        <v>0</v>
      </c>
      <c r="T464" s="2" t="s">
        <v>46</v>
      </c>
      <c r="U464" s="2" t="s">
        <v>46</v>
      </c>
      <c r="V464" s="2">
        <v>0</v>
      </c>
      <c r="W464" s="2" t="s">
        <v>68</v>
      </c>
      <c r="X464" s="2">
        <v>1</v>
      </c>
      <c r="Y464" s="2"/>
      <c r="Z464" s="2">
        <v>0</v>
      </c>
      <c r="AA464" s="2" t="s">
        <v>39</v>
      </c>
      <c r="AB464" s="2">
        <v>62</v>
      </c>
      <c r="AC464" s="2">
        <v>0</v>
      </c>
      <c r="AD464" s="2">
        <v>0</v>
      </c>
      <c r="AE464" s="2" t="s">
        <v>47</v>
      </c>
      <c r="AF464" s="3">
        <v>42298</v>
      </c>
    </row>
    <row r="465" spans="1:32" x14ac:dyDescent="0.25">
      <c r="A465" s="2" t="s">
        <v>41</v>
      </c>
      <c r="B465" s="2">
        <v>0</v>
      </c>
      <c r="C465" s="2">
        <v>198</v>
      </c>
      <c r="D465" s="2">
        <v>2016</v>
      </c>
      <c r="E465" s="2" t="s">
        <v>69</v>
      </c>
      <c r="F465" s="2">
        <v>21</v>
      </c>
      <c r="G465" s="2">
        <v>20</v>
      </c>
      <c r="H465" s="2">
        <v>0</v>
      </c>
      <c r="I465" s="2">
        <v>1</v>
      </c>
      <c r="J465" s="2">
        <v>2</v>
      </c>
      <c r="K465" s="2">
        <v>0</v>
      </c>
      <c r="L465" s="2">
        <v>0</v>
      </c>
      <c r="M465" s="2" t="s">
        <v>34</v>
      </c>
      <c r="N465" s="2" t="s">
        <v>43</v>
      </c>
      <c r="O465" s="2" t="s">
        <v>64</v>
      </c>
      <c r="P465" s="2" t="s">
        <v>45</v>
      </c>
      <c r="Q465" s="2">
        <v>0</v>
      </c>
      <c r="R465" s="2">
        <v>0</v>
      </c>
      <c r="S465" s="2">
        <v>0</v>
      </c>
      <c r="T465" s="2" t="s">
        <v>46</v>
      </c>
      <c r="U465" s="2" t="s">
        <v>57</v>
      </c>
      <c r="V465" s="2">
        <v>0</v>
      </c>
      <c r="W465" s="2" t="s">
        <v>38</v>
      </c>
      <c r="X465" s="2">
        <v>1</v>
      </c>
      <c r="Y465" s="2"/>
      <c r="Z465" s="2">
        <v>98</v>
      </c>
      <c r="AA465" s="2" t="s">
        <v>51</v>
      </c>
      <c r="AB465" s="2">
        <v>65</v>
      </c>
      <c r="AC465" s="2">
        <v>0</v>
      </c>
      <c r="AD465" s="2">
        <v>0</v>
      </c>
      <c r="AE465" s="2" t="s">
        <v>40</v>
      </c>
      <c r="AF465" s="3">
        <v>42511</v>
      </c>
    </row>
    <row r="466" spans="1:32" x14ac:dyDescent="0.25">
      <c r="A466" s="2" t="s">
        <v>41</v>
      </c>
      <c r="B466" s="2">
        <v>1</v>
      </c>
      <c r="C466" s="2">
        <v>188</v>
      </c>
      <c r="D466" s="2">
        <v>2016</v>
      </c>
      <c r="E466" s="2" t="s">
        <v>67</v>
      </c>
      <c r="F466" s="2">
        <v>33</v>
      </c>
      <c r="G466" s="2">
        <v>13</v>
      </c>
      <c r="H466" s="2">
        <v>1</v>
      </c>
      <c r="I466" s="2">
        <v>1</v>
      </c>
      <c r="J466" s="2">
        <v>2</v>
      </c>
      <c r="K466" s="2">
        <v>0</v>
      </c>
      <c r="L466" s="2">
        <v>0</v>
      </c>
      <c r="M466" s="2" t="s">
        <v>34</v>
      </c>
      <c r="N466" s="2" t="s">
        <v>100</v>
      </c>
      <c r="O466" s="2" t="s">
        <v>44</v>
      </c>
      <c r="P466" s="2" t="s">
        <v>45</v>
      </c>
      <c r="Q466" s="2">
        <v>0</v>
      </c>
      <c r="R466" s="2">
        <v>0</v>
      </c>
      <c r="S466" s="2">
        <v>0</v>
      </c>
      <c r="T466" s="2" t="s">
        <v>46</v>
      </c>
      <c r="U466" s="2" t="s">
        <v>46</v>
      </c>
      <c r="V466" s="2">
        <v>0</v>
      </c>
      <c r="W466" s="2" t="s">
        <v>38</v>
      </c>
      <c r="X466" s="2">
        <v>9</v>
      </c>
      <c r="Y466" s="2"/>
      <c r="Z466" s="2">
        <v>0</v>
      </c>
      <c r="AA466" s="2" t="s">
        <v>39</v>
      </c>
      <c r="AB466" s="2">
        <v>105.3</v>
      </c>
      <c r="AC466" s="2">
        <v>0</v>
      </c>
      <c r="AD466" s="2">
        <v>0</v>
      </c>
      <c r="AE466" s="2" t="s">
        <v>47</v>
      </c>
      <c r="AF466" s="3">
        <v>42430</v>
      </c>
    </row>
    <row r="467" spans="1:32" x14ac:dyDescent="0.25">
      <c r="A467" s="2" t="s">
        <v>32</v>
      </c>
      <c r="B467" s="2">
        <v>0</v>
      </c>
      <c r="C467" s="2">
        <v>3</v>
      </c>
      <c r="D467" s="2">
        <v>2016</v>
      </c>
      <c r="E467" s="2" t="s">
        <v>52</v>
      </c>
      <c r="F467" s="2">
        <v>11</v>
      </c>
      <c r="G467" s="2">
        <v>12</v>
      </c>
      <c r="H467" s="2">
        <v>2</v>
      </c>
      <c r="I467" s="2">
        <v>1</v>
      </c>
      <c r="J467" s="2">
        <v>2</v>
      </c>
      <c r="K467" s="2">
        <v>0</v>
      </c>
      <c r="L467" s="2">
        <v>0</v>
      </c>
      <c r="M467" s="2" t="s">
        <v>34</v>
      </c>
      <c r="N467" s="2" t="s">
        <v>63</v>
      </c>
      <c r="O467" s="2" t="s">
        <v>49</v>
      </c>
      <c r="P467" s="2" t="s">
        <v>45</v>
      </c>
      <c r="Q467" s="2">
        <v>0</v>
      </c>
      <c r="R467" s="2">
        <v>0</v>
      </c>
      <c r="S467" s="2">
        <v>0</v>
      </c>
      <c r="T467" s="2" t="s">
        <v>104</v>
      </c>
      <c r="U467" s="2" t="s">
        <v>104</v>
      </c>
      <c r="V467" s="2">
        <v>0</v>
      </c>
      <c r="W467" s="2" t="s">
        <v>38</v>
      </c>
      <c r="X467" s="2">
        <v>8</v>
      </c>
      <c r="Y467" s="2"/>
      <c r="Z467" s="2">
        <v>0</v>
      </c>
      <c r="AA467" s="2" t="s">
        <v>39</v>
      </c>
      <c r="AB467" s="2">
        <v>8</v>
      </c>
      <c r="AC467" s="2">
        <v>0</v>
      </c>
      <c r="AD467" s="2">
        <v>0</v>
      </c>
      <c r="AE467" s="2" t="s">
        <v>40</v>
      </c>
      <c r="AF467" s="3">
        <v>42444</v>
      </c>
    </row>
    <row r="468" spans="1:32" x14ac:dyDescent="0.25">
      <c r="A468" s="2" t="s">
        <v>41</v>
      </c>
      <c r="B468" s="2">
        <v>0</v>
      </c>
      <c r="C468" s="2">
        <v>144</v>
      </c>
      <c r="D468" s="2">
        <v>2016</v>
      </c>
      <c r="E468" s="2" t="s">
        <v>42</v>
      </c>
      <c r="F468" s="2">
        <v>31</v>
      </c>
      <c r="G468" s="2">
        <v>25</v>
      </c>
      <c r="H468" s="2">
        <v>1</v>
      </c>
      <c r="I468" s="2">
        <v>5</v>
      </c>
      <c r="J468" s="2">
        <v>2</v>
      </c>
      <c r="K468" s="2">
        <v>0</v>
      </c>
      <c r="L468" s="2">
        <v>0</v>
      </c>
      <c r="M468" s="2" t="s">
        <v>34</v>
      </c>
      <c r="N468" s="2" t="s">
        <v>82</v>
      </c>
      <c r="O468" s="2" t="s">
        <v>44</v>
      </c>
      <c r="P468" s="2" t="s">
        <v>45</v>
      </c>
      <c r="Q468" s="2">
        <v>0</v>
      </c>
      <c r="R468" s="2">
        <v>0</v>
      </c>
      <c r="S468" s="2">
        <v>0</v>
      </c>
      <c r="T468" s="2" t="s">
        <v>46</v>
      </c>
      <c r="U468" s="2" t="s">
        <v>46</v>
      </c>
      <c r="V468" s="2">
        <v>0</v>
      </c>
      <c r="W468" s="2" t="s">
        <v>38</v>
      </c>
      <c r="X468" s="2">
        <v>9</v>
      </c>
      <c r="Y468" s="2"/>
      <c r="Z468" s="2">
        <v>0</v>
      </c>
      <c r="AA468" s="2" t="s">
        <v>39</v>
      </c>
      <c r="AB468" s="2">
        <v>100.87</v>
      </c>
      <c r="AC468" s="2">
        <v>0</v>
      </c>
      <c r="AD468" s="2">
        <v>1</v>
      </c>
      <c r="AE468" s="2" t="s">
        <v>40</v>
      </c>
      <c r="AF468" s="3">
        <v>42582</v>
      </c>
    </row>
    <row r="469" spans="1:32" x14ac:dyDescent="0.25">
      <c r="A469" s="2" t="s">
        <v>32</v>
      </c>
      <c r="B469" s="2">
        <v>0</v>
      </c>
      <c r="C469" s="2">
        <v>21</v>
      </c>
      <c r="D469" s="2">
        <v>2016</v>
      </c>
      <c r="E469" s="2" t="s">
        <v>74</v>
      </c>
      <c r="F469" s="2">
        <v>1</v>
      </c>
      <c r="G469" s="2">
        <v>2</v>
      </c>
      <c r="H469" s="2">
        <v>4</v>
      </c>
      <c r="I469" s="2">
        <v>10</v>
      </c>
      <c r="J469" s="2">
        <v>1</v>
      </c>
      <c r="K469" s="2">
        <v>0</v>
      </c>
      <c r="L469" s="2">
        <v>0</v>
      </c>
      <c r="M469" s="2" t="s">
        <v>34</v>
      </c>
      <c r="N469" s="2" t="s">
        <v>56</v>
      </c>
      <c r="O469" s="2" t="s">
        <v>49</v>
      </c>
      <c r="P469" s="2" t="s">
        <v>45</v>
      </c>
      <c r="Q469" s="2">
        <v>0</v>
      </c>
      <c r="R469" s="2">
        <v>0</v>
      </c>
      <c r="S469" s="2">
        <v>0</v>
      </c>
      <c r="T469" s="2" t="s">
        <v>72</v>
      </c>
      <c r="U469" s="2" t="s">
        <v>72</v>
      </c>
      <c r="V469" s="2">
        <v>0</v>
      </c>
      <c r="W469" s="2" t="s">
        <v>38</v>
      </c>
      <c r="X469" s="2">
        <v>314</v>
      </c>
      <c r="Y469" s="2"/>
      <c r="Z469" s="2">
        <v>0</v>
      </c>
      <c r="AA469" s="2" t="s">
        <v>39</v>
      </c>
      <c r="AB469" s="2">
        <v>46.07</v>
      </c>
      <c r="AC469" s="2">
        <v>0</v>
      </c>
      <c r="AD469" s="2">
        <v>0</v>
      </c>
      <c r="AE469" s="2" t="s">
        <v>40</v>
      </c>
      <c r="AF469" s="3">
        <v>42385</v>
      </c>
    </row>
    <row r="470" spans="1:32" x14ac:dyDescent="0.25">
      <c r="A470" s="2" t="s">
        <v>41</v>
      </c>
      <c r="B470" s="2">
        <v>0</v>
      </c>
      <c r="C470" s="2">
        <v>99</v>
      </c>
      <c r="D470" s="2">
        <v>2016</v>
      </c>
      <c r="E470" s="2" t="s">
        <v>66</v>
      </c>
      <c r="F470" s="2">
        <v>8</v>
      </c>
      <c r="G470" s="2">
        <v>19</v>
      </c>
      <c r="H470" s="2">
        <v>0</v>
      </c>
      <c r="I470" s="2">
        <v>2</v>
      </c>
      <c r="J470" s="2">
        <v>1</v>
      </c>
      <c r="K470" s="2">
        <v>0</v>
      </c>
      <c r="L470" s="2">
        <v>0</v>
      </c>
      <c r="M470" s="2" t="s">
        <v>34</v>
      </c>
      <c r="N470" s="2" t="s">
        <v>43</v>
      </c>
      <c r="O470" s="2" t="s">
        <v>76</v>
      </c>
      <c r="P470" s="2" t="s">
        <v>45</v>
      </c>
      <c r="Q470" s="2">
        <v>0</v>
      </c>
      <c r="R470" s="2">
        <v>0</v>
      </c>
      <c r="S470" s="2">
        <v>0</v>
      </c>
      <c r="T470" s="2" t="s">
        <v>46</v>
      </c>
      <c r="U470" s="2" t="s">
        <v>46</v>
      </c>
      <c r="V470" s="2">
        <v>1</v>
      </c>
      <c r="W470" s="2" t="s">
        <v>38</v>
      </c>
      <c r="X470" s="2"/>
      <c r="Y470" s="2">
        <v>67</v>
      </c>
      <c r="Z470" s="2">
        <v>0</v>
      </c>
      <c r="AA470" s="2" t="s">
        <v>51</v>
      </c>
      <c r="AB470" s="2">
        <v>81</v>
      </c>
      <c r="AC470" s="2">
        <v>0</v>
      </c>
      <c r="AD470" s="2">
        <v>0</v>
      </c>
      <c r="AE470" s="2" t="s">
        <v>40</v>
      </c>
      <c r="AF470" s="3">
        <v>42421</v>
      </c>
    </row>
    <row r="471" spans="1:32" x14ac:dyDescent="0.25">
      <c r="A471" s="2" t="s">
        <v>41</v>
      </c>
      <c r="B471" s="2">
        <v>1</v>
      </c>
      <c r="C471" s="2">
        <v>96</v>
      </c>
      <c r="D471" s="2">
        <v>2016</v>
      </c>
      <c r="E471" s="2" t="s">
        <v>59</v>
      </c>
      <c r="F471" s="2">
        <v>44</v>
      </c>
      <c r="G471" s="2">
        <v>28</v>
      </c>
      <c r="H471" s="2">
        <v>1</v>
      </c>
      <c r="I471" s="2">
        <v>2</v>
      </c>
      <c r="J471" s="2">
        <v>2</v>
      </c>
      <c r="K471" s="2">
        <v>2</v>
      </c>
      <c r="L471" s="2">
        <v>0</v>
      </c>
      <c r="M471" s="2" t="s">
        <v>34</v>
      </c>
      <c r="N471" s="2" t="s">
        <v>35</v>
      </c>
      <c r="O471" s="2" t="s">
        <v>44</v>
      </c>
      <c r="P471" s="2" t="s">
        <v>45</v>
      </c>
      <c r="Q471" s="2">
        <v>0</v>
      </c>
      <c r="R471" s="2">
        <v>0</v>
      </c>
      <c r="S471" s="2">
        <v>0</v>
      </c>
      <c r="T471" s="2" t="s">
        <v>37</v>
      </c>
      <c r="U471" s="2" t="s">
        <v>37</v>
      </c>
      <c r="V471" s="2">
        <v>0</v>
      </c>
      <c r="W471" s="2" t="s">
        <v>38</v>
      </c>
      <c r="X471" s="2">
        <v>9</v>
      </c>
      <c r="Y471" s="2"/>
      <c r="Z471" s="2">
        <v>0</v>
      </c>
      <c r="AA471" s="2" t="s">
        <v>39</v>
      </c>
      <c r="AB471" s="2">
        <v>162.9</v>
      </c>
      <c r="AC471" s="2">
        <v>0</v>
      </c>
      <c r="AD471" s="2">
        <v>1</v>
      </c>
      <c r="AE471" s="2" t="s">
        <v>47</v>
      </c>
      <c r="AF471" s="3">
        <v>42666</v>
      </c>
    </row>
    <row r="472" spans="1:32" x14ac:dyDescent="0.25">
      <c r="A472" s="2" t="s">
        <v>41</v>
      </c>
      <c r="B472" s="2">
        <v>0</v>
      </c>
      <c r="C472" s="2">
        <v>50</v>
      </c>
      <c r="D472" s="2">
        <v>2016</v>
      </c>
      <c r="E472" s="2" t="s">
        <v>61</v>
      </c>
      <c r="F472" s="2">
        <v>47</v>
      </c>
      <c r="G472" s="2">
        <v>17</v>
      </c>
      <c r="H472" s="2">
        <v>0</v>
      </c>
      <c r="I472" s="2">
        <v>1</v>
      </c>
      <c r="J472" s="2">
        <v>2</v>
      </c>
      <c r="K472" s="2">
        <v>0</v>
      </c>
      <c r="L472" s="2">
        <v>0</v>
      </c>
      <c r="M472" s="2" t="s">
        <v>55</v>
      </c>
      <c r="N472" s="2" t="s">
        <v>48</v>
      </c>
      <c r="O472" s="2" t="s">
        <v>44</v>
      </c>
      <c r="P472" s="2" t="s">
        <v>45</v>
      </c>
      <c r="Q472" s="2">
        <v>0</v>
      </c>
      <c r="R472" s="2">
        <v>0</v>
      </c>
      <c r="S472" s="2">
        <v>0</v>
      </c>
      <c r="T472" s="2" t="s">
        <v>46</v>
      </c>
      <c r="U472" s="2" t="s">
        <v>46</v>
      </c>
      <c r="V472" s="2">
        <v>0</v>
      </c>
      <c r="W472" s="2" t="s">
        <v>38</v>
      </c>
      <c r="X472" s="2">
        <v>9</v>
      </c>
      <c r="Y472" s="2"/>
      <c r="Z472" s="2">
        <v>0</v>
      </c>
      <c r="AA472" s="2" t="s">
        <v>39</v>
      </c>
      <c r="AB472" s="2">
        <v>79.2</v>
      </c>
      <c r="AC472" s="2">
        <v>0</v>
      </c>
      <c r="AD472" s="2">
        <v>1</v>
      </c>
      <c r="AE472" s="2" t="s">
        <v>40</v>
      </c>
      <c r="AF472" s="3">
        <v>42692</v>
      </c>
    </row>
    <row r="473" spans="1:32" x14ac:dyDescent="0.25">
      <c r="A473" s="2" t="s">
        <v>32</v>
      </c>
      <c r="B473" s="2">
        <v>1</v>
      </c>
      <c r="C473" s="2">
        <v>468</v>
      </c>
      <c r="D473" s="2">
        <v>2016</v>
      </c>
      <c r="E473" s="2" t="s">
        <v>69</v>
      </c>
      <c r="F473" s="2">
        <v>20</v>
      </c>
      <c r="G473" s="2">
        <v>12</v>
      </c>
      <c r="H473" s="2">
        <v>0</v>
      </c>
      <c r="I473" s="2">
        <v>2</v>
      </c>
      <c r="J473" s="2">
        <v>2</v>
      </c>
      <c r="K473" s="2">
        <v>0</v>
      </c>
      <c r="L473" s="2">
        <v>0</v>
      </c>
      <c r="M473" s="2" t="s">
        <v>60</v>
      </c>
      <c r="N473" s="2" t="s">
        <v>43</v>
      </c>
      <c r="O473" s="2" t="s">
        <v>64</v>
      </c>
      <c r="P473" s="2" t="s">
        <v>45</v>
      </c>
      <c r="Q473" s="2">
        <v>0</v>
      </c>
      <c r="R473" s="2">
        <v>0</v>
      </c>
      <c r="S473" s="2">
        <v>0</v>
      </c>
      <c r="T473" s="2" t="s">
        <v>46</v>
      </c>
      <c r="U473" s="2" t="s">
        <v>46</v>
      </c>
      <c r="V473" s="2">
        <v>0</v>
      </c>
      <c r="W473" s="2" t="s">
        <v>38</v>
      </c>
      <c r="X473" s="2">
        <v>249</v>
      </c>
      <c r="Y473" s="2"/>
      <c r="Z473" s="2">
        <v>0</v>
      </c>
      <c r="AA473" s="2" t="s">
        <v>51</v>
      </c>
      <c r="AB473" s="2">
        <v>67</v>
      </c>
      <c r="AC473" s="2">
        <v>0</v>
      </c>
      <c r="AD473" s="2">
        <v>0</v>
      </c>
      <c r="AE473" s="2" t="s">
        <v>47</v>
      </c>
      <c r="AF473" s="3">
        <v>42433</v>
      </c>
    </row>
    <row r="474" spans="1:32" x14ac:dyDescent="0.25">
      <c r="A474" s="2" t="s">
        <v>41</v>
      </c>
      <c r="B474" s="2">
        <v>1</v>
      </c>
      <c r="C474" s="2">
        <v>245</v>
      </c>
      <c r="D474" s="2">
        <v>2016</v>
      </c>
      <c r="E474" s="2" t="s">
        <v>83</v>
      </c>
      <c r="F474" s="2">
        <v>25</v>
      </c>
      <c r="G474" s="2">
        <v>17</v>
      </c>
      <c r="H474" s="2">
        <v>0</v>
      </c>
      <c r="I474" s="2">
        <v>2</v>
      </c>
      <c r="J474" s="2">
        <v>2</v>
      </c>
      <c r="K474" s="2">
        <v>0</v>
      </c>
      <c r="L474" s="2">
        <v>0</v>
      </c>
      <c r="M474" s="2" t="s">
        <v>34</v>
      </c>
      <c r="N474" s="2" t="s">
        <v>43</v>
      </c>
      <c r="O474" s="2" t="s">
        <v>49</v>
      </c>
      <c r="P474" s="2" t="s">
        <v>45</v>
      </c>
      <c r="Q474" s="2">
        <v>0</v>
      </c>
      <c r="R474" s="2">
        <v>0</v>
      </c>
      <c r="S474" s="2">
        <v>0</v>
      </c>
      <c r="T474" s="2" t="s">
        <v>46</v>
      </c>
      <c r="U474" s="2" t="s">
        <v>46</v>
      </c>
      <c r="V474" s="2">
        <v>0</v>
      </c>
      <c r="W474" s="2" t="s">
        <v>68</v>
      </c>
      <c r="X474" s="2">
        <v>12</v>
      </c>
      <c r="Y474" s="2"/>
      <c r="Z474" s="2">
        <v>0</v>
      </c>
      <c r="AA474" s="2" t="s">
        <v>39</v>
      </c>
      <c r="AB474" s="2">
        <v>75</v>
      </c>
      <c r="AC474" s="2">
        <v>0</v>
      </c>
      <c r="AD474" s="2">
        <v>0</v>
      </c>
      <c r="AE474" s="2" t="s">
        <v>47</v>
      </c>
      <c r="AF474" s="3">
        <v>42409</v>
      </c>
    </row>
    <row r="475" spans="1:32" x14ac:dyDescent="0.25">
      <c r="A475" s="2" t="s">
        <v>32</v>
      </c>
      <c r="B475" s="2">
        <v>0</v>
      </c>
      <c r="C475" s="2">
        <v>542</v>
      </c>
      <c r="D475" s="2">
        <v>2016</v>
      </c>
      <c r="E475" s="2" t="s">
        <v>62</v>
      </c>
      <c r="F475" s="2">
        <v>40</v>
      </c>
      <c r="G475" s="2">
        <v>26</v>
      </c>
      <c r="H475" s="2">
        <v>2</v>
      </c>
      <c r="I475" s="2">
        <v>5</v>
      </c>
      <c r="J475" s="2">
        <v>2</v>
      </c>
      <c r="K475" s="2">
        <v>0</v>
      </c>
      <c r="L475" s="2">
        <v>0</v>
      </c>
      <c r="M475" s="2" t="s">
        <v>60</v>
      </c>
      <c r="N475" s="2" t="s">
        <v>35</v>
      </c>
      <c r="O475" s="2" t="s">
        <v>64</v>
      </c>
      <c r="P475" s="2" t="s">
        <v>45</v>
      </c>
      <c r="Q475" s="2">
        <v>0</v>
      </c>
      <c r="R475" s="2">
        <v>0</v>
      </c>
      <c r="S475" s="2">
        <v>0</v>
      </c>
      <c r="T475" s="2" t="s">
        <v>46</v>
      </c>
      <c r="U475" s="2" t="s">
        <v>46</v>
      </c>
      <c r="V475" s="2">
        <v>1</v>
      </c>
      <c r="W475" s="2" t="s">
        <v>38</v>
      </c>
      <c r="X475" s="2">
        <v>253</v>
      </c>
      <c r="Y475" s="2"/>
      <c r="Z475" s="2">
        <v>0</v>
      </c>
      <c r="AA475" s="2" t="s">
        <v>51</v>
      </c>
      <c r="AB475" s="2">
        <v>68</v>
      </c>
      <c r="AC475" s="2">
        <v>0</v>
      </c>
      <c r="AD475" s="2">
        <v>0</v>
      </c>
      <c r="AE475" s="2" t="s">
        <v>40</v>
      </c>
      <c r="AF475" s="3">
        <v>42646</v>
      </c>
    </row>
    <row r="476" spans="1:32" x14ac:dyDescent="0.25">
      <c r="A476" s="2" t="s">
        <v>32</v>
      </c>
      <c r="B476" s="2">
        <v>1</v>
      </c>
      <c r="C476" s="2">
        <v>385</v>
      </c>
      <c r="D476" s="2">
        <v>2016</v>
      </c>
      <c r="E476" s="2" t="s">
        <v>62</v>
      </c>
      <c r="F476" s="2">
        <v>39</v>
      </c>
      <c r="G476" s="2">
        <v>21</v>
      </c>
      <c r="H476" s="2">
        <v>0</v>
      </c>
      <c r="I476" s="2">
        <v>4</v>
      </c>
      <c r="J476" s="2">
        <v>2</v>
      </c>
      <c r="K476" s="2">
        <v>0</v>
      </c>
      <c r="L476" s="2">
        <v>0</v>
      </c>
      <c r="M476" s="2" t="s">
        <v>34</v>
      </c>
      <c r="N476" s="2" t="s">
        <v>43</v>
      </c>
      <c r="O476" s="2" t="s">
        <v>64</v>
      </c>
      <c r="P476" s="2" t="s">
        <v>36</v>
      </c>
      <c r="Q476" s="2">
        <v>0</v>
      </c>
      <c r="R476" s="2">
        <v>0</v>
      </c>
      <c r="S476" s="2">
        <v>0</v>
      </c>
      <c r="T476" s="2" t="s">
        <v>46</v>
      </c>
      <c r="U476" s="2" t="s">
        <v>46</v>
      </c>
      <c r="V476" s="2">
        <v>0</v>
      </c>
      <c r="W476" s="2" t="s">
        <v>68</v>
      </c>
      <c r="X476" s="2"/>
      <c r="Y476" s="2"/>
      <c r="Z476" s="2">
        <v>0</v>
      </c>
      <c r="AA476" s="2" t="s">
        <v>39</v>
      </c>
      <c r="AB476" s="2">
        <v>66</v>
      </c>
      <c r="AC476" s="2">
        <v>0</v>
      </c>
      <c r="AD476" s="2">
        <v>0</v>
      </c>
      <c r="AE476" s="2" t="s">
        <v>47</v>
      </c>
      <c r="AF476" s="3">
        <v>42291</v>
      </c>
    </row>
    <row r="477" spans="1:32" x14ac:dyDescent="0.25">
      <c r="A477" s="2" t="s">
        <v>41</v>
      </c>
      <c r="B477" s="2">
        <v>1</v>
      </c>
      <c r="C477" s="2">
        <v>146</v>
      </c>
      <c r="D477" s="2">
        <v>2016</v>
      </c>
      <c r="E477" s="2" t="s">
        <v>54</v>
      </c>
      <c r="F477" s="2">
        <v>18</v>
      </c>
      <c r="G477" s="2">
        <v>24</v>
      </c>
      <c r="H477" s="2">
        <v>2</v>
      </c>
      <c r="I477" s="2">
        <v>0</v>
      </c>
      <c r="J477" s="2">
        <v>2</v>
      </c>
      <c r="K477" s="2">
        <v>0</v>
      </c>
      <c r="L477" s="2">
        <v>0</v>
      </c>
      <c r="M477" s="2" t="s">
        <v>34</v>
      </c>
      <c r="N477" s="2" t="s">
        <v>43</v>
      </c>
      <c r="O477" s="2" t="s">
        <v>49</v>
      </c>
      <c r="P477" s="2" t="s">
        <v>45</v>
      </c>
      <c r="Q477" s="2">
        <v>0</v>
      </c>
      <c r="R477" s="2">
        <v>0</v>
      </c>
      <c r="S477" s="2">
        <v>0</v>
      </c>
      <c r="T477" s="2" t="s">
        <v>46</v>
      </c>
      <c r="U477" s="2" t="s">
        <v>46</v>
      </c>
      <c r="V477" s="2">
        <v>0</v>
      </c>
      <c r="W477" s="2" t="s">
        <v>68</v>
      </c>
      <c r="X477" s="2">
        <v>26</v>
      </c>
      <c r="Y477" s="2"/>
      <c r="Z477" s="2">
        <v>50</v>
      </c>
      <c r="AA477" s="2" t="s">
        <v>39</v>
      </c>
      <c r="AB477" s="2">
        <v>95</v>
      </c>
      <c r="AC477" s="2">
        <v>0</v>
      </c>
      <c r="AD477" s="2">
        <v>0</v>
      </c>
      <c r="AE477" s="2" t="s">
        <v>47</v>
      </c>
      <c r="AF477" s="3">
        <v>42388</v>
      </c>
    </row>
    <row r="478" spans="1:32" x14ac:dyDescent="0.25">
      <c r="A478" s="2" t="s">
        <v>32</v>
      </c>
      <c r="B478" s="2">
        <v>0</v>
      </c>
      <c r="C478" s="2">
        <v>19</v>
      </c>
      <c r="D478" s="2">
        <v>2016</v>
      </c>
      <c r="E478" s="2" t="s">
        <v>42</v>
      </c>
      <c r="F478" s="2">
        <v>30</v>
      </c>
      <c r="G478" s="2">
        <v>21</v>
      </c>
      <c r="H478" s="2">
        <v>0</v>
      </c>
      <c r="I478" s="2">
        <v>3</v>
      </c>
      <c r="J478" s="2">
        <v>2</v>
      </c>
      <c r="K478" s="2">
        <v>0</v>
      </c>
      <c r="L478" s="2">
        <v>0</v>
      </c>
      <c r="M478" s="2" t="s">
        <v>34</v>
      </c>
      <c r="N478" s="2" t="s">
        <v>63</v>
      </c>
      <c r="O478" s="2" t="s">
        <v>44</v>
      </c>
      <c r="P478" s="2" t="s">
        <v>45</v>
      </c>
      <c r="Q478" s="2">
        <v>0</v>
      </c>
      <c r="R478" s="2">
        <v>0</v>
      </c>
      <c r="S478" s="2">
        <v>0</v>
      </c>
      <c r="T478" s="2" t="s">
        <v>46</v>
      </c>
      <c r="U478" s="2" t="s">
        <v>46</v>
      </c>
      <c r="V478" s="2">
        <v>0</v>
      </c>
      <c r="W478" s="2" t="s">
        <v>38</v>
      </c>
      <c r="X478" s="2">
        <v>240</v>
      </c>
      <c r="Y478" s="2"/>
      <c r="Z478" s="2">
        <v>0</v>
      </c>
      <c r="AA478" s="2" t="s">
        <v>39</v>
      </c>
      <c r="AB478" s="2">
        <v>194.33</v>
      </c>
      <c r="AC478" s="2">
        <v>1</v>
      </c>
      <c r="AD478" s="2">
        <v>1</v>
      </c>
      <c r="AE478" s="2" t="s">
        <v>40</v>
      </c>
      <c r="AF478" s="3">
        <v>42575</v>
      </c>
    </row>
    <row r="479" spans="1:32" x14ac:dyDescent="0.25">
      <c r="A479" s="2" t="s">
        <v>41</v>
      </c>
      <c r="B479" s="2">
        <v>0</v>
      </c>
      <c r="C479" s="2">
        <v>2</v>
      </c>
      <c r="D479" s="2">
        <v>2016</v>
      </c>
      <c r="E479" s="2" t="s">
        <v>69</v>
      </c>
      <c r="F479" s="2">
        <v>20</v>
      </c>
      <c r="G479" s="2">
        <v>14</v>
      </c>
      <c r="H479" s="2">
        <v>1</v>
      </c>
      <c r="I479" s="2">
        <v>1</v>
      </c>
      <c r="J479" s="2">
        <v>2</v>
      </c>
      <c r="K479" s="2">
        <v>1</v>
      </c>
      <c r="L479" s="2">
        <v>0</v>
      </c>
      <c r="M479" s="2" t="s">
        <v>34</v>
      </c>
      <c r="N479" s="2" t="s">
        <v>43</v>
      </c>
      <c r="O479" s="2" t="s">
        <v>36</v>
      </c>
      <c r="P479" s="2" t="s">
        <v>36</v>
      </c>
      <c r="Q479" s="2">
        <v>0</v>
      </c>
      <c r="R479" s="2">
        <v>0</v>
      </c>
      <c r="S479" s="2">
        <v>0</v>
      </c>
      <c r="T479" s="2" t="s">
        <v>84</v>
      </c>
      <c r="U479" s="2" t="s">
        <v>84</v>
      </c>
      <c r="V479" s="2">
        <v>2</v>
      </c>
      <c r="W479" s="2" t="s">
        <v>38</v>
      </c>
      <c r="X479" s="2"/>
      <c r="Y479" s="2"/>
      <c r="Z479" s="2">
        <v>0</v>
      </c>
      <c r="AA479" s="2" t="s">
        <v>39</v>
      </c>
      <c r="AB479" s="2">
        <v>90</v>
      </c>
      <c r="AC479" s="2">
        <v>1</v>
      </c>
      <c r="AD479" s="2">
        <v>1</v>
      </c>
      <c r="AE479" s="2" t="s">
        <v>40</v>
      </c>
      <c r="AF479" s="3">
        <v>42506</v>
      </c>
    </row>
    <row r="480" spans="1:32" x14ac:dyDescent="0.25">
      <c r="A480" s="2" t="s">
        <v>32</v>
      </c>
      <c r="B480" s="2">
        <v>0</v>
      </c>
      <c r="C480" s="2">
        <v>37</v>
      </c>
      <c r="D480" s="2">
        <v>2016</v>
      </c>
      <c r="E480" s="2" t="s">
        <v>69</v>
      </c>
      <c r="F480" s="2">
        <v>20</v>
      </c>
      <c r="G480" s="2">
        <v>8</v>
      </c>
      <c r="H480" s="2">
        <v>2</v>
      </c>
      <c r="I480" s="2">
        <v>0</v>
      </c>
      <c r="J480" s="2">
        <v>2</v>
      </c>
      <c r="K480" s="2">
        <v>0</v>
      </c>
      <c r="L480" s="2">
        <v>0</v>
      </c>
      <c r="M480" s="2" t="s">
        <v>34</v>
      </c>
      <c r="N480" s="2" t="s">
        <v>43</v>
      </c>
      <c r="O480" s="2" t="s">
        <v>49</v>
      </c>
      <c r="P480" s="2" t="s">
        <v>45</v>
      </c>
      <c r="Q480" s="2">
        <v>0</v>
      </c>
      <c r="R480" s="2">
        <v>0</v>
      </c>
      <c r="S480" s="2">
        <v>0</v>
      </c>
      <c r="T480" s="2" t="s">
        <v>46</v>
      </c>
      <c r="U480" s="2" t="s">
        <v>46</v>
      </c>
      <c r="V480" s="2">
        <v>1</v>
      </c>
      <c r="W480" s="2" t="s">
        <v>38</v>
      </c>
      <c r="X480" s="2">
        <v>168</v>
      </c>
      <c r="Y480" s="2"/>
      <c r="Z480" s="2">
        <v>0</v>
      </c>
      <c r="AA480" s="2" t="s">
        <v>39</v>
      </c>
      <c r="AB480" s="2">
        <v>46</v>
      </c>
      <c r="AC480" s="2">
        <v>0</v>
      </c>
      <c r="AD480" s="2">
        <v>1</v>
      </c>
      <c r="AE480" s="2" t="s">
        <v>40</v>
      </c>
      <c r="AF480" s="3">
        <v>42500</v>
      </c>
    </row>
    <row r="481" spans="1:32" x14ac:dyDescent="0.25">
      <c r="A481" s="2" t="s">
        <v>41</v>
      </c>
      <c r="B481" s="2">
        <v>1</v>
      </c>
      <c r="C481" s="2">
        <v>37</v>
      </c>
      <c r="D481" s="2">
        <v>2016</v>
      </c>
      <c r="E481" s="2" t="s">
        <v>59</v>
      </c>
      <c r="F481" s="2">
        <v>42</v>
      </c>
      <c r="G481" s="2">
        <v>13</v>
      </c>
      <c r="H481" s="2">
        <v>0</v>
      </c>
      <c r="I481" s="2">
        <v>3</v>
      </c>
      <c r="J481" s="2">
        <v>2</v>
      </c>
      <c r="K481" s="2">
        <v>0</v>
      </c>
      <c r="L481" s="2">
        <v>0</v>
      </c>
      <c r="M481" s="2" t="s">
        <v>34</v>
      </c>
      <c r="N481" s="2" t="s">
        <v>43</v>
      </c>
      <c r="O481" s="2" t="s">
        <v>49</v>
      </c>
      <c r="P481" s="2" t="s">
        <v>45</v>
      </c>
      <c r="Q481" s="2">
        <v>0</v>
      </c>
      <c r="R481" s="2">
        <v>0</v>
      </c>
      <c r="S481" s="2">
        <v>0</v>
      </c>
      <c r="T481" s="2" t="s">
        <v>46</v>
      </c>
      <c r="U481" s="2" t="s">
        <v>46</v>
      </c>
      <c r="V481" s="2">
        <v>0</v>
      </c>
      <c r="W481" s="2" t="s">
        <v>38</v>
      </c>
      <c r="X481" s="2">
        <v>56</v>
      </c>
      <c r="Y481" s="2"/>
      <c r="Z481" s="2">
        <v>0</v>
      </c>
      <c r="AA481" s="2" t="s">
        <v>51</v>
      </c>
      <c r="AB481" s="2">
        <v>105</v>
      </c>
      <c r="AC481" s="2">
        <v>0</v>
      </c>
      <c r="AD481" s="2">
        <v>0</v>
      </c>
      <c r="AE481" s="2" t="s">
        <v>47</v>
      </c>
      <c r="AF481" s="3">
        <v>42619</v>
      </c>
    </row>
    <row r="482" spans="1:32" x14ac:dyDescent="0.25">
      <c r="A482" s="2" t="s">
        <v>41</v>
      </c>
      <c r="B482" s="2">
        <v>0</v>
      </c>
      <c r="C482" s="2">
        <v>12</v>
      </c>
      <c r="D482" s="2">
        <v>2016</v>
      </c>
      <c r="E482" s="2" t="s">
        <v>69</v>
      </c>
      <c r="F482" s="2">
        <v>20</v>
      </c>
      <c r="G482" s="2">
        <v>11</v>
      </c>
      <c r="H482" s="2">
        <v>0</v>
      </c>
      <c r="I482" s="2">
        <v>4</v>
      </c>
      <c r="J482" s="2">
        <v>2</v>
      </c>
      <c r="K482" s="2">
        <v>0</v>
      </c>
      <c r="L482" s="2">
        <v>0</v>
      </c>
      <c r="M482" s="2" t="s">
        <v>34</v>
      </c>
      <c r="N482" s="2" t="s">
        <v>103</v>
      </c>
      <c r="O482" s="2" t="s">
        <v>49</v>
      </c>
      <c r="P482" s="2" t="s">
        <v>45</v>
      </c>
      <c r="Q482" s="2">
        <v>0</v>
      </c>
      <c r="R482" s="2">
        <v>0</v>
      </c>
      <c r="S482" s="2">
        <v>0</v>
      </c>
      <c r="T482" s="2" t="s">
        <v>46</v>
      </c>
      <c r="U482" s="2" t="s">
        <v>46</v>
      </c>
      <c r="V482" s="2">
        <v>0</v>
      </c>
      <c r="W482" s="2" t="s">
        <v>38</v>
      </c>
      <c r="X482" s="2">
        <v>138</v>
      </c>
      <c r="Y482" s="2"/>
      <c r="Z482" s="2">
        <v>0</v>
      </c>
      <c r="AA482" s="2" t="s">
        <v>39</v>
      </c>
      <c r="AB482" s="2">
        <v>104</v>
      </c>
      <c r="AC482" s="2">
        <v>0</v>
      </c>
      <c r="AD482" s="2">
        <v>0</v>
      </c>
      <c r="AE482" s="2" t="s">
        <v>40</v>
      </c>
      <c r="AF482" s="3">
        <v>42505</v>
      </c>
    </row>
    <row r="483" spans="1:32" x14ac:dyDescent="0.25">
      <c r="A483" s="2" t="s">
        <v>32</v>
      </c>
      <c r="B483" s="2">
        <v>1</v>
      </c>
      <c r="C483" s="2">
        <v>196</v>
      </c>
      <c r="D483" s="2">
        <v>2016</v>
      </c>
      <c r="E483" s="2" t="s">
        <v>67</v>
      </c>
      <c r="F483" s="2">
        <v>36</v>
      </c>
      <c r="G483" s="2">
        <v>29</v>
      </c>
      <c r="H483" s="2">
        <v>2</v>
      </c>
      <c r="I483" s="2">
        <v>5</v>
      </c>
      <c r="J483" s="2">
        <v>2</v>
      </c>
      <c r="K483" s="2">
        <v>0</v>
      </c>
      <c r="L483" s="2">
        <v>0</v>
      </c>
      <c r="M483" s="2" t="s">
        <v>34</v>
      </c>
      <c r="N483" s="2" t="s">
        <v>43</v>
      </c>
      <c r="O483" s="2" t="s">
        <v>49</v>
      </c>
      <c r="P483" s="2" t="s">
        <v>45</v>
      </c>
      <c r="Q483" s="2">
        <v>0</v>
      </c>
      <c r="R483" s="2">
        <v>0</v>
      </c>
      <c r="S483" s="2">
        <v>0</v>
      </c>
      <c r="T483" s="2" t="s">
        <v>72</v>
      </c>
      <c r="U483" s="2" t="s">
        <v>72</v>
      </c>
      <c r="V483" s="2">
        <v>0</v>
      </c>
      <c r="W483" s="2" t="s">
        <v>38</v>
      </c>
      <c r="X483" s="2">
        <v>314</v>
      </c>
      <c r="Y483" s="2"/>
      <c r="Z483" s="2">
        <v>0</v>
      </c>
      <c r="AA483" s="2" t="s">
        <v>39</v>
      </c>
      <c r="AB483" s="2">
        <v>121.47</v>
      </c>
      <c r="AC483" s="2">
        <v>0</v>
      </c>
      <c r="AD483" s="2">
        <v>1</v>
      </c>
      <c r="AE483" s="2" t="s">
        <v>47</v>
      </c>
      <c r="AF483" s="3">
        <v>42599</v>
      </c>
    </row>
    <row r="484" spans="1:32" x14ac:dyDescent="0.25">
      <c r="A484" s="2" t="s">
        <v>41</v>
      </c>
      <c r="B484" s="2">
        <v>0</v>
      </c>
      <c r="C484" s="2">
        <v>0</v>
      </c>
      <c r="D484" s="2">
        <v>2016</v>
      </c>
      <c r="E484" s="2" t="s">
        <v>74</v>
      </c>
      <c r="F484" s="2">
        <v>4</v>
      </c>
      <c r="G484" s="2">
        <v>22</v>
      </c>
      <c r="H484" s="2">
        <v>1</v>
      </c>
      <c r="I484" s="2">
        <v>2</v>
      </c>
      <c r="J484" s="2">
        <v>2</v>
      </c>
      <c r="K484" s="2">
        <v>0</v>
      </c>
      <c r="L484" s="2">
        <v>0</v>
      </c>
      <c r="M484" s="2" t="s">
        <v>34</v>
      </c>
      <c r="N484" s="2" t="s">
        <v>43</v>
      </c>
      <c r="O484" s="2" t="s">
        <v>36</v>
      </c>
      <c r="P484" s="2" t="s">
        <v>36</v>
      </c>
      <c r="Q484" s="2">
        <v>0</v>
      </c>
      <c r="R484" s="2">
        <v>0</v>
      </c>
      <c r="S484" s="2">
        <v>0</v>
      </c>
      <c r="T484" s="2" t="s">
        <v>57</v>
      </c>
      <c r="U484" s="2" t="s">
        <v>57</v>
      </c>
      <c r="V484" s="2">
        <v>0</v>
      </c>
      <c r="W484" s="2" t="s">
        <v>38</v>
      </c>
      <c r="X484" s="2"/>
      <c r="Y484" s="2"/>
      <c r="Z484" s="2">
        <v>0</v>
      </c>
      <c r="AA484" s="2" t="s">
        <v>39</v>
      </c>
      <c r="AB484" s="2">
        <v>106</v>
      </c>
      <c r="AC484" s="2">
        <v>0</v>
      </c>
      <c r="AD484" s="2">
        <v>1</v>
      </c>
      <c r="AE484" s="2" t="s">
        <v>40</v>
      </c>
      <c r="AF484" s="3">
        <v>42394</v>
      </c>
    </row>
    <row r="485" spans="1:32" x14ac:dyDescent="0.25">
      <c r="A485" s="2" t="s">
        <v>41</v>
      </c>
      <c r="B485" s="2">
        <v>1</v>
      </c>
      <c r="C485" s="2">
        <v>10</v>
      </c>
      <c r="D485" s="2">
        <v>2016</v>
      </c>
      <c r="E485" s="2" t="s">
        <v>74</v>
      </c>
      <c r="F485" s="2">
        <v>1</v>
      </c>
      <c r="G485" s="2">
        <v>2</v>
      </c>
      <c r="H485" s="2">
        <v>2</v>
      </c>
      <c r="I485" s="2">
        <v>1</v>
      </c>
      <c r="J485" s="2">
        <v>2</v>
      </c>
      <c r="K485" s="2">
        <v>0</v>
      </c>
      <c r="L485" s="2">
        <v>0</v>
      </c>
      <c r="M485" s="2" t="s">
        <v>34</v>
      </c>
      <c r="N485" s="2" t="s">
        <v>63</v>
      </c>
      <c r="O485" s="2" t="s">
        <v>44</v>
      </c>
      <c r="P485" s="2" t="s">
        <v>45</v>
      </c>
      <c r="Q485" s="2">
        <v>0</v>
      </c>
      <c r="R485" s="2">
        <v>0</v>
      </c>
      <c r="S485" s="2">
        <v>0</v>
      </c>
      <c r="T485" s="2" t="s">
        <v>86</v>
      </c>
      <c r="U485" s="2" t="s">
        <v>86</v>
      </c>
      <c r="V485" s="2">
        <v>0</v>
      </c>
      <c r="W485" s="2" t="s">
        <v>38</v>
      </c>
      <c r="X485" s="2">
        <v>9</v>
      </c>
      <c r="Y485" s="2"/>
      <c r="Z485" s="2">
        <v>0</v>
      </c>
      <c r="AA485" s="2" t="s">
        <v>39</v>
      </c>
      <c r="AB485" s="2">
        <v>83.58</v>
      </c>
      <c r="AC485" s="2">
        <v>0</v>
      </c>
      <c r="AD485" s="2">
        <v>0</v>
      </c>
      <c r="AE485" s="2" t="s">
        <v>47</v>
      </c>
      <c r="AF485" s="3">
        <v>42369</v>
      </c>
    </row>
    <row r="486" spans="1:32" x14ac:dyDescent="0.25">
      <c r="A486" s="2" t="s">
        <v>41</v>
      </c>
      <c r="B486" s="2">
        <v>0</v>
      </c>
      <c r="C486" s="2">
        <v>16</v>
      </c>
      <c r="D486" s="2">
        <v>2016</v>
      </c>
      <c r="E486" s="2" t="s">
        <v>33</v>
      </c>
      <c r="F486" s="2">
        <v>50</v>
      </c>
      <c r="G486" s="2">
        <v>9</v>
      </c>
      <c r="H486" s="2">
        <v>1</v>
      </c>
      <c r="I486" s="2">
        <v>2</v>
      </c>
      <c r="J486" s="2">
        <v>2</v>
      </c>
      <c r="K486" s="2">
        <v>0</v>
      </c>
      <c r="L486" s="2">
        <v>0</v>
      </c>
      <c r="M486" s="2" t="s">
        <v>34</v>
      </c>
      <c r="N486" s="2" t="s">
        <v>56</v>
      </c>
      <c r="O486" s="2" t="s">
        <v>36</v>
      </c>
      <c r="P486" s="2" t="s">
        <v>36</v>
      </c>
      <c r="Q486" s="2">
        <v>0</v>
      </c>
      <c r="R486" s="2">
        <v>0</v>
      </c>
      <c r="S486" s="2">
        <v>0</v>
      </c>
      <c r="T486" s="2" t="s">
        <v>46</v>
      </c>
      <c r="U486" s="2" t="s">
        <v>46</v>
      </c>
      <c r="V486" s="2">
        <v>0</v>
      </c>
      <c r="W486" s="2" t="s">
        <v>38</v>
      </c>
      <c r="X486" s="2">
        <v>14</v>
      </c>
      <c r="Y486" s="2"/>
      <c r="Z486" s="2">
        <v>0</v>
      </c>
      <c r="AA486" s="2" t="s">
        <v>39</v>
      </c>
      <c r="AB486" s="2">
        <v>81.09</v>
      </c>
      <c r="AC486" s="2">
        <v>0</v>
      </c>
      <c r="AD486" s="2">
        <v>1</v>
      </c>
      <c r="AE486" s="2" t="s">
        <v>40</v>
      </c>
      <c r="AF486" s="3">
        <v>42716</v>
      </c>
    </row>
    <row r="487" spans="1:32" x14ac:dyDescent="0.25">
      <c r="A487" s="2" t="s">
        <v>32</v>
      </c>
      <c r="B487" s="2">
        <v>0</v>
      </c>
      <c r="C487" s="2">
        <v>4</v>
      </c>
      <c r="D487" s="2">
        <v>2016</v>
      </c>
      <c r="E487" s="2" t="s">
        <v>67</v>
      </c>
      <c r="F487" s="2">
        <v>32</v>
      </c>
      <c r="G487" s="2">
        <v>4</v>
      </c>
      <c r="H487" s="2">
        <v>1</v>
      </c>
      <c r="I487" s="2">
        <v>3</v>
      </c>
      <c r="J487" s="2">
        <v>2</v>
      </c>
      <c r="K487" s="2">
        <v>0</v>
      </c>
      <c r="L487" s="2">
        <v>1</v>
      </c>
      <c r="M487" s="2" t="s">
        <v>60</v>
      </c>
      <c r="N487" s="2" t="s">
        <v>43</v>
      </c>
      <c r="O487" s="2" t="s">
        <v>44</v>
      </c>
      <c r="P487" s="2" t="s">
        <v>45</v>
      </c>
      <c r="Q487" s="2">
        <v>0</v>
      </c>
      <c r="R487" s="2">
        <v>0</v>
      </c>
      <c r="S487" s="2">
        <v>0</v>
      </c>
      <c r="T487" s="2" t="s">
        <v>46</v>
      </c>
      <c r="U487" s="2" t="s">
        <v>46</v>
      </c>
      <c r="V487" s="2">
        <v>1</v>
      </c>
      <c r="W487" s="2" t="s">
        <v>38</v>
      </c>
      <c r="X487" s="2">
        <v>240</v>
      </c>
      <c r="Y487" s="2"/>
      <c r="Z487" s="2">
        <v>0</v>
      </c>
      <c r="AA487" s="2" t="s">
        <v>39</v>
      </c>
      <c r="AB487" s="2">
        <v>253.5</v>
      </c>
      <c r="AC487" s="2">
        <v>0</v>
      </c>
      <c r="AD487" s="2">
        <v>1</v>
      </c>
      <c r="AE487" s="2" t="s">
        <v>40</v>
      </c>
      <c r="AF487" s="3">
        <v>42590</v>
      </c>
    </row>
    <row r="488" spans="1:32" x14ac:dyDescent="0.25">
      <c r="A488" s="2" t="s">
        <v>41</v>
      </c>
      <c r="B488" s="2">
        <v>0</v>
      </c>
      <c r="C488" s="2">
        <v>22</v>
      </c>
      <c r="D488" s="2">
        <v>2016</v>
      </c>
      <c r="E488" s="2" t="s">
        <v>54</v>
      </c>
      <c r="F488" s="2">
        <v>16</v>
      </c>
      <c r="G488" s="2">
        <v>14</v>
      </c>
      <c r="H488" s="2">
        <v>2</v>
      </c>
      <c r="I488" s="2">
        <v>3</v>
      </c>
      <c r="J488" s="2">
        <v>3</v>
      </c>
      <c r="K488" s="2">
        <v>0</v>
      </c>
      <c r="L488" s="2">
        <v>0</v>
      </c>
      <c r="M488" s="2" t="s">
        <v>34</v>
      </c>
      <c r="N488" s="2" t="s">
        <v>70</v>
      </c>
      <c r="O488" s="2" t="s">
        <v>44</v>
      </c>
      <c r="P488" s="2" t="s">
        <v>45</v>
      </c>
      <c r="Q488" s="2">
        <v>0</v>
      </c>
      <c r="R488" s="2">
        <v>0</v>
      </c>
      <c r="S488" s="2">
        <v>0</v>
      </c>
      <c r="T488" s="2" t="s">
        <v>57</v>
      </c>
      <c r="U488" s="2" t="s">
        <v>57</v>
      </c>
      <c r="V488" s="2">
        <v>0</v>
      </c>
      <c r="W488" s="2" t="s">
        <v>38</v>
      </c>
      <c r="X488" s="2">
        <v>9</v>
      </c>
      <c r="Y488" s="2"/>
      <c r="Z488" s="2">
        <v>0</v>
      </c>
      <c r="AA488" s="2" t="s">
        <v>39</v>
      </c>
      <c r="AB488" s="2">
        <v>152.6</v>
      </c>
      <c r="AC488" s="2">
        <v>0</v>
      </c>
      <c r="AD488" s="2">
        <v>2</v>
      </c>
      <c r="AE488" s="2" t="s">
        <v>40</v>
      </c>
      <c r="AF488" s="3">
        <v>42479</v>
      </c>
    </row>
    <row r="489" spans="1:32" x14ac:dyDescent="0.25">
      <c r="A489" s="2" t="s">
        <v>41</v>
      </c>
      <c r="B489" s="2">
        <v>0</v>
      </c>
      <c r="C489" s="2">
        <v>85</v>
      </c>
      <c r="D489" s="2">
        <v>2016</v>
      </c>
      <c r="E489" s="2" t="s">
        <v>54</v>
      </c>
      <c r="F489" s="2">
        <v>14</v>
      </c>
      <c r="G489" s="2">
        <v>1</v>
      </c>
      <c r="H489" s="2">
        <v>0</v>
      </c>
      <c r="I489" s="2">
        <v>2</v>
      </c>
      <c r="J489" s="2">
        <v>1</v>
      </c>
      <c r="K489" s="2">
        <v>0</v>
      </c>
      <c r="L489" s="2">
        <v>0</v>
      </c>
      <c r="M489" s="2" t="s">
        <v>34</v>
      </c>
      <c r="N489" s="2" t="s">
        <v>53</v>
      </c>
      <c r="O489" s="2" t="s">
        <v>44</v>
      </c>
      <c r="P489" s="2" t="s">
        <v>45</v>
      </c>
      <c r="Q489" s="2">
        <v>0</v>
      </c>
      <c r="R489" s="2">
        <v>0</v>
      </c>
      <c r="S489" s="2">
        <v>0</v>
      </c>
      <c r="T489" s="2" t="s">
        <v>46</v>
      </c>
      <c r="U489" s="2" t="s">
        <v>46</v>
      </c>
      <c r="V489" s="2">
        <v>1</v>
      </c>
      <c r="W489" s="2" t="s">
        <v>38</v>
      </c>
      <c r="X489" s="2">
        <v>9</v>
      </c>
      <c r="Y489" s="2"/>
      <c r="Z489" s="2">
        <v>0</v>
      </c>
      <c r="AA489" s="2" t="s">
        <v>51</v>
      </c>
      <c r="AB489" s="2">
        <v>81.900000000000006</v>
      </c>
      <c r="AC489" s="2">
        <v>0</v>
      </c>
      <c r="AD489" s="2">
        <v>0</v>
      </c>
      <c r="AE489" s="2" t="s">
        <v>40</v>
      </c>
      <c r="AF489" s="3">
        <v>42463</v>
      </c>
    </row>
    <row r="490" spans="1:32" x14ac:dyDescent="0.25">
      <c r="A490" s="2" t="s">
        <v>41</v>
      </c>
      <c r="B490" s="2">
        <v>0</v>
      </c>
      <c r="C490" s="2">
        <v>301</v>
      </c>
      <c r="D490" s="2">
        <v>2016</v>
      </c>
      <c r="E490" s="2" t="s">
        <v>42</v>
      </c>
      <c r="F490" s="2">
        <v>31</v>
      </c>
      <c r="G490" s="2">
        <v>30</v>
      </c>
      <c r="H490" s="2">
        <v>1</v>
      </c>
      <c r="I490" s="2">
        <v>1</v>
      </c>
      <c r="J490" s="2">
        <v>1</v>
      </c>
      <c r="K490" s="2">
        <v>0</v>
      </c>
      <c r="L490" s="2">
        <v>0</v>
      </c>
      <c r="M490" s="2" t="s">
        <v>60</v>
      </c>
      <c r="N490" s="2" t="s">
        <v>56</v>
      </c>
      <c r="O490" s="2" t="s">
        <v>49</v>
      </c>
      <c r="P490" s="2" t="s">
        <v>45</v>
      </c>
      <c r="Q490" s="2">
        <v>0</v>
      </c>
      <c r="R490" s="2">
        <v>0</v>
      </c>
      <c r="S490" s="2">
        <v>0</v>
      </c>
      <c r="T490" s="2" t="s">
        <v>46</v>
      </c>
      <c r="U490" s="2" t="s">
        <v>57</v>
      </c>
      <c r="V490" s="2">
        <v>1</v>
      </c>
      <c r="W490" s="2" t="s">
        <v>38</v>
      </c>
      <c r="X490" s="2">
        <v>6</v>
      </c>
      <c r="Y490" s="2"/>
      <c r="Z490" s="2">
        <v>0</v>
      </c>
      <c r="AA490" s="2" t="s">
        <v>51</v>
      </c>
      <c r="AB490" s="2">
        <v>90</v>
      </c>
      <c r="AC490" s="2">
        <v>0</v>
      </c>
      <c r="AD490" s="2">
        <v>0</v>
      </c>
      <c r="AE490" s="2" t="s">
        <v>40</v>
      </c>
      <c r="AF490" s="3">
        <v>42583</v>
      </c>
    </row>
    <row r="491" spans="1:32" x14ac:dyDescent="0.25">
      <c r="A491" s="2" t="s">
        <v>41</v>
      </c>
      <c r="B491" s="2">
        <v>1</v>
      </c>
      <c r="C491" s="2">
        <v>95</v>
      </c>
      <c r="D491" s="2">
        <v>2016</v>
      </c>
      <c r="E491" s="2" t="s">
        <v>61</v>
      </c>
      <c r="F491" s="2">
        <v>45</v>
      </c>
      <c r="G491" s="2">
        <v>5</v>
      </c>
      <c r="H491" s="2">
        <v>0</v>
      </c>
      <c r="I491" s="2">
        <v>1</v>
      </c>
      <c r="J491" s="2">
        <v>1</v>
      </c>
      <c r="K491" s="2">
        <v>0</v>
      </c>
      <c r="L491" s="2">
        <v>0</v>
      </c>
      <c r="M491" s="2" t="s">
        <v>34</v>
      </c>
      <c r="N491" s="2" t="s">
        <v>43</v>
      </c>
      <c r="O491" s="2" t="s">
        <v>64</v>
      </c>
      <c r="P491" s="2" t="s">
        <v>45</v>
      </c>
      <c r="Q491" s="2">
        <v>0</v>
      </c>
      <c r="R491" s="2">
        <v>0</v>
      </c>
      <c r="S491" s="2">
        <v>0</v>
      </c>
      <c r="T491" s="2" t="s">
        <v>46</v>
      </c>
      <c r="U491" s="2" t="s">
        <v>46</v>
      </c>
      <c r="V491" s="2">
        <v>0</v>
      </c>
      <c r="W491" s="2" t="s">
        <v>38</v>
      </c>
      <c r="X491" s="2"/>
      <c r="Y491" s="2"/>
      <c r="Z491" s="2">
        <v>0</v>
      </c>
      <c r="AA491" s="2" t="s">
        <v>51</v>
      </c>
      <c r="AB491" s="2">
        <v>75</v>
      </c>
      <c r="AC491" s="2">
        <v>0</v>
      </c>
      <c r="AD491" s="2">
        <v>0</v>
      </c>
      <c r="AE491" s="2" t="s">
        <v>47</v>
      </c>
      <c r="AF491" s="3">
        <v>42664</v>
      </c>
    </row>
    <row r="492" spans="1:32" x14ac:dyDescent="0.25">
      <c r="A492" s="2" t="s">
        <v>32</v>
      </c>
      <c r="B492" s="2">
        <v>0</v>
      </c>
      <c r="C492" s="2">
        <v>364</v>
      </c>
      <c r="D492" s="2">
        <v>2016</v>
      </c>
      <c r="E492" s="2" t="s">
        <v>59</v>
      </c>
      <c r="F492" s="2">
        <v>42</v>
      </c>
      <c r="G492" s="2">
        <v>12</v>
      </c>
      <c r="H492" s="2">
        <v>1</v>
      </c>
      <c r="I492" s="2">
        <v>4</v>
      </c>
      <c r="J492" s="2">
        <v>2</v>
      </c>
      <c r="K492" s="2">
        <v>0</v>
      </c>
      <c r="L492" s="2">
        <v>0</v>
      </c>
      <c r="M492" s="2" t="s">
        <v>34</v>
      </c>
      <c r="N492" s="2" t="s">
        <v>35</v>
      </c>
      <c r="O492" s="2" t="s">
        <v>64</v>
      </c>
      <c r="P492" s="2" t="s">
        <v>76</v>
      </c>
      <c r="Q492" s="2">
        <v>0</v>
      </c>
      <c r="R492" s="2">
        <v>0</v>
      </c>
      <c r="S492" s="2">
        <v>0</v>
      </c>
      <c r="T492" s="2" t="s">
        <v>46</v>
      </c>
      <c r="U492" s="2" t="s">
        <v>46</v>
      </c>
      <c r="V492" s="2">
        <v>1</v>
      </c>
      <c r="W492" s="2" t="s">
        <v>38</v>
      </c>
      <c r="X492" s="2"/>
      <c r="Y492" s="2">
        <v>223</v>
      </c>
      <c r="Z492" s="2">
        <v>0</v>
      </c>
      <c r="AA492" s="2" t="s">
        <v>51</v>
      </c>
      <c r="AB492" s="2">
        <v>66</v>
      </c>
      <c r="AC492" s="2">
        <v>0</v>
      </c>
      <c r="AD492" s="2">
        <v>0</v>
      </c>
      <c r="AE492" s="2" t="s">
        <v>40</v>
      </c>
      <c r="AF492" s="3">
        <v>42660</v>
      </c>
    </row>
    <row r="493" spans="1:32" x14ac:dyDescent="0.25">
      <c r="A493" s="2" t="s">
        <v>32</v>
      </c>
      <c r="B493" s="2">
        <v>0</v>
      </c>
      <c r="C493" s="2">
        <v>0</v>
      </c>
      <c r="D493" s="2">
        <v>2016</v>
      </c>
      <c r="E493" s="2" t="s">
        <v>66</v>
      </c>
      <c r="F493" s="2">
        <v>9</v>
      </c>
      <c r="G493" s="2">
        <v>27</v>
      </c>
      <c r="H493" s="2">
        <v>0</v>
      </c>
      <c r="I493" s="2">
        <v>1</v>
      </c>
      <c r="J493" s="2">
        <v>2</v>
      </c>
      <c r="K493" s="2">
        <v>1</v>
      </c>
      <c r="L493" s="2">
        <v>0</v>
      </c>
      <c r="M493" s="2" t="s">
        <v>60</v>
      </c>
      <c r="N493" s="2" t="s">
        <v>43</v>
      </c>
      <c r="O493" s="2" t="s">
        <v>44</v>
      </c>
      <c r="P493" s="2" t="s">
        <v>45</v>
      </c>
      <c r="Q493" s="2">
        <v>0</v>
      </c>
      <c r="R493" s="2">
        <v>0</v>
      </c>
      <c r="S493" s="2">
        <v>0</v>
      </c>
      <c r="T493" s="2" t="s">
        <v>84</v>
      </c>
      <c r="U493" s="2" t="s">
        <v>84</v>
      </c>
      <c r="V493" s="2">
        <v>0</v>
      </c>
      <c r="W493" s="2" t="s">
        <v>38</v>
      </c>
      <c r="X493" s="2">
        <v>240</v>
      </c>
      <c r="Y493" s="2"/>
      <c r="Z493" s="2">
        <v>0</v>
      </c>
      <c r="AA493" s="2" t="s">
        <v>39</v>
      </c>
      <c r="AB493" s="2">
        <v>146</v>
      </c>
      <c r="AC493" s="2">
        <v>1</v>
      </c>
      <c r="AD493" s="2">
        <v>0</v>
      </c>
      <c r="AE493" s="2" t="s">
        <v>40</v>
      </c>
      <c r="AF493" s="3">
        <v>42428</v>
      </c>
    </row>
    <row r="494" spans="1:32" x14ac:dyDescent="0.25">
      <c r="A494" s="2" t="s">
        <v>32</v>
      </c>
      <c r="B494" s="2">
        <v>1</v>
      </c>
      <c r="C494" s="2">
        <v>18</v>
      </c>
      <c r="D494" s="2">
        <v>2016</v>
      </c>
      <c r="E494" s="2" t="s">
        <v>69</v>
      </c>
      <c r="F494" s="2">
        <v>22</v>
      </c>
      <c r="G494" s="2">
        <v>27</v>
      </c>
      <c r="H494" s="2">
        <v>0</v>
      </c>
      <c r="I494" s="2">
        <v>2</v>
      </c>
      <c r="J494" s="2">
        <v>2</v>
      </c>
      <c r="K494" s="2">
        <v>2</v>
      </c>
      <c r="L494" s="2">
        <v>0</v>
      </c>
      <c r="M494" s="2" t="s">
        <v>34</v>
      </c>
      <c r="N494" s="2" t="s">
        <v>71</v>
      </c>
      <c r="O494" s="2" t="s">
        <v>44</v>
      </c>
      <c r="P494" s="2" t="s">
        <v>45</v>
      </c>
      <c r="Q494" s="2">
        <v>0</v>
      </c>
      <c r="R494" s="2">
        <v>0</v>
      </c>
      <c r="S494" s="2">
        <v>0</v>
      </c>
      <c r="T494" s="2" t="s">
        <v>84</v>
      </c>
      <c r="U494" s="2" t="s">
        <v>84</v>
      </c>
      <c r="V494" s="2">
        <v>0</v>
      </c>
      <c r="W494" s="2" t="s">
        <v>38</v>
      </c>
      <c r="X494" s="2">
        <v>240</v>
      </c>
      <c r="Y494" s="2"/>
      <c r="Z494" s="2">
        <v>0</v>
      </c>
      <c r="AA494" s="2" t="s">
        <v>39</v>
      </c>
      <c r="AB494" s="2">
        <v>145</v>
      </c>
      <c r="AC494" s="2">
        <v>0</v>
      </c>
      <c r="AD494" s="2">
        <v>1</v>
      </c>
      <c r="AE494" s="2" t="s">
        <v>47</v>
      </c>
      <c r="AF494" s="3">
        <v>42504</v>
      </c>
    </row>
    <row r="495" spans="1:32" x14ac:dyDescent="0.25">
      <c r="A495" s="2" t="s">
        <v>41</v>
      </c>
      <c r="B495" s="2">
        <v>0</v>
      </c>
      <c r="C495" s="2">
        <v>65</v>
      </c>
      <c r="D495" s="2">
        <v>2016</v>
      </c>
      <c r="E495" s="2" t="s">
        <v>52</v>
      </c>
      <c r="F495" s="2">
        <v>14</v>
      </c>
      <c r="G495" s="2">
        <v>28</v>
      </c>
      <c r="H495" s="2">
        <v>1</v>
      </c>
      <c r="I495" s="2">
        <v>2</v>
      </c>
      <c r="J495" s="2">
        <v>2</v>
      </c>
      <c r="K495" s="2">
        <v>1</v>
      </c>
      <c r="L495" s="2">
        <v>0</v>
      </c>
      <c r="M495" s="2" t="s">
        <v>34</v>
      </c>
      <c r="N495" s="2" t="s">
        <v>43</v>
      </c>
      <c r="O495" s="2" t="s">
        <v>44</v>
      </c>
      <c r="P495" s="2" t="s">
        <v>45</v>
      </c>
      <c r="Q495" s="2">
        <v>0</v>
      </c>
      <c r="R495" s="2">
        <v>0</v>
      </c>
      <c r="S495" s="2">
        <v>0</v>
      </c>
      <c r="T495" s="2" t="s">
        <v>46</v>
      </c>
      <c r="U495" s="2" t="s">
        <v>57</v>
      </c>
      <c r="V495" s="2">
        <v>0</v>
      </c>
      <c r="W495" s="2" t="s">
        <v>38</v>
      </c>
      <c r="X495" s="2">
        <v>9</v>
      </c>
      <c r="Y495" s="2"/>
      <c r="Z495" s="2">
        <v>0</v>
      </c>
      <c r="AA495" s="2" t="s">
        <v>51</v>
      </c>
      <c r="AB495" s="2">
        <v>103.5</v>
      </c>
      <c r="AC495" s="2">
        <v>0</v>
      </c>
      <c r="AD495" s="2">
        <v>2</v>
      </c>
      <c r="AE495" s="2" t="s">
        <v>40</v>
      </c>
      <c r="AF495" s="3">
        <v>42460</v>
      </c>
    </row>
    <row r="496" spans="1:32" x14ac:dyDescent="0.25">
      <c r="A496" s="2" t="s">
        <v>41</v>
      </c>
      <c r="B496" s="2">
        <v>0</v>
      </c>
      <c r="C496" s="2">
        <v>0</v>
      </c>
      <c r="D496" s="2">
        <v>2016</v>
      </c>
      <c r="E496" s="2" t="s">
        <v>69</v>
      </c>
      <c r="F496" s="2">
        <v>20</v>
      </c>
      <c r="G496" s="2">
        <v>14</v>
      </c>
      <c r="H496" s="2">
        <v>0</v>
      </c>
      <c r="I496" s="2">
        <v>1</v>
      </c>
      <c r="J496" s="2">
        <v>2</v>
      </c>
      <c r="K496" s="2">
        <v>0</v>
      </c>
      <c r="L496" s="2">
        <v>0</v>
      </c>
      <c r="M496" s="2" t="s">
        <v>34</v>
      </c>
      <c r="N496" s="2" t="s">
        <v>43</v>
      </c>
      <c r="O496" s="2" t="s">
        <v>116</v>
      </c>
      <c r="P496" s="2" t="s">
        <v>36</v>
      </c>
      <c r="Q496" s="2">
        <v>0</v>
      </c>
      <c r="R496" s="2">
        <v>0</v>
      </c>
      <c r="S496" s="2">
        <v>0</v>
      </c>
      <c r="T496" s="2" t="s">
        <v>46</v>
      </c>
      <c r="U496" s="2" t="s">
        <v>86</v>
      </c>
      <c r="V496" s="2">
        <v>0</v>
      </c>
      <c r="W496" s="2" t="s">
        <v>38</v>
      </c>
      <c r="X496" s="2"/>
      <c r="Y496" s="2"/>
      <c r="Z496" s="2">
        <v>0</v>
      </c>
      <c r="AA496" s="2" t="s">
        <v>39</v>
      </c>
      <c r="AB496" s="2">
        <v>0</v>
      </c>
      <c r="AC496" s="2">
        <v>0</v>
      </c>
      <c r="AD496" s="2">
        <v>0</v>
      </c>
      <c r="AE496" s="2" t="s">
        <v>40</v>
      </c>
      <c r="AF496" s="3">
        <v>42505</v>
      </c>
    </row>
    <row r="497" spans="1:32" x14ac:dyDescent="0.25">
      <c r="A497" s="2" t="s">
        <v>41</v>
      </c>
      <c r="B497" s="2">
        <v>1</v>
      </c>
      <c r="C497" s="2">
        <v>68</v>
      </c>
      <c r="D497" s="2">
        <v>2016</v>
      </c>
      <c r="E497" s="2" t="s">
        <v>66</v>
      </c>
      <c r="F497" s="2">
        <v>8</v>
      </c>
      <c r="G497" s="2">
        <v>17</v>
      </c>
      <c r="H497" s="2">
        <v>0</v>
      </c>
      <c r="I497" s="2">
        <v>2</v>
      </c>
      <c r="J497" s="2">
        <v>2</v>
      </c>
      <c r="K497" s="2">
        <v>0</v>
      </c>
      <c r="L497" s="2">
        <v>0</v>
      </c>
      <c r="M497" s="2" t="s">
        <v>34</v>
      </c>
      <c r="N497" s="2" t="s">
        <v>43</v>
      </c>
      <c r="O497" s="2" t="s">
        <v>64</v>
      </c>
      <c r="P497" s="2" t="s">
        <v>45</v>
      </c>
      <c r="Q497" s="2">
        <v>0</v>
      </c>
      <c r="R497" s="2">
        <v>1</v>
      </c>
      <c r="S497" s="2">
        <v>0</v>
      </c>
      <c r="T497" s="2" t="s">
        <v>46</v>
      </c>
      <c r="U497" s="2" t="s">
        <v>46</v>
      </c>
      <c r="V497" s="2">
        <v>0</v>
      </c>
      <c r="W497" s="2" t="s">
        <v>68</v>
      </c>
      <c r="X497" s="2">
        <v>37</v>
      </c>
      <c r="Y497" s="2"/>
      <c r="Z497" s="2">
        <v>0</v>
      </c>
      <c r="AA497" s="2" t="s">
        <v>39</v>
      </c>
      <c r="AB497" s="2">
        <v>75</v>
      </c>
      <c r="AC497" s="2">
        <v>0</v>
      </c>
      <c r="AD497" s="2">
        <v>0</v>
      </c>
      <c r="AE497" s="2" t="s">
        <v>47</v>
      </c>
      <c r="AF497" s="3">
        <v>42375</v>
      </c>
    </row>
    <row r="498" spans="1:32" x14ac:dyDescent="0.25">
      <c r="A498" s="2" t="s">
        <v>32</v>
      </c>
      <c r="B498" s="2">
        <v>0</v>
      </c>
      <c r="C498" s="2">
        <v>44</v>
      </c>
      <c r="D498" s="2">
        <v>2016</v>
      </c>
      <c r="E498" s="2" t="s">
        <v>69</v>
      </c>
      <c r="F498" s="2">
        <v>21</v>
      </c>
      <c r="G498" s="2">
        <v>18</v>
      </c>
      <c r="H498" s="2">
        <v>0</v>
      </c>
      <c r="I498" s="2">
        <v>2</v>
      </c>
      <c r="J498" s="2">
        <v>2</v>
      </c>
      <c r="K498" s="2">
        <v>0</v>
      </c>
      <c r="L498" s="2">
        <v>0</v>
      </c>
      <c r="M498" s="2" t="s">
        <v>34</v>
      </c>
      <c r="N498" s="2" t="s">
        <v>63</v>
      </c>
      <c r="O498" s="2" t="s">
        <v>44</v>
      </c>
      <c r="P498" s="2" t="s">
        <v>45</v>
      </c>
      <c r="Q498" s="2">
        <v>0</v>
      </c>
      <c r="R498" s="2">
        <v>0</v>
      </c>
      <c r="S498" s="2">
        <v>0</v>
      </c>
      <c r="T498" s="2" t="s">
        <v>46</v>
      </c>
      <c r="U498" s="2" t="s">
        <v>46</v>
      </c>
      <c r="V498" s="2">
        <v>0</v>
      </c>
      <c r="W498" s="2" t="s">
        <v>38</v>
      </c>
      <c r="X498" s="2">
        <v>240</v>
      </c>
      <c r="Y498" s="2"/>
      <c r="Z498" s="2">
        <v>0</v>
      </c>
      <c r="AA498" s="2" t="s">
        <v>39</v>
      </c>
      <c r="AB498" s="2">
        <v>81</v>
      </c>
      <c r="AC498" s="2">
        <v>1</v>
      </c>
      <c r="AD498" s="2">
        <v>1</v>
      </c>
      <c r="AE498" s="2" t="s">
        <v>40</v>
      </c>
      <c r="AF498" s="3">
        <v>42510</v>
      </c>
    </row>
    <row r="499" spans="1:32" x14ac:dyDescent="0.25">
      <c r="A499" s="2" t="s">
        <v>41</v>
      </c>
      <c r="B499" s="2">
        <v>0</v>
      </c>
      <c r="C499" s="2">
        <v>0</v>
      </c>
      <c r="D499" s="2">
        <v>2016</v>
      </c>
      <c r="E499" s="2" t="s">
        <v>54</v>
      </c>
      <c r="F499" s="2">
        <v>18</v>
      </c>
      <c r="G499" s="2">
        <v>29</v>
      </c>
      <c r="H499" s="2">
        <v>0</v>
      </c>
      <c r="I499" s="2">
        <v>2</v>
      </c>
      <c r="J499" s="2">
        <v>1</v>
      </c>
      <c r="K499" s="2">
        <v>0</v>
      </c>
      <c r="L499" s="2">
        <v>0</v>
      </c>
      <c r="M499" s="2" t="s">
        <v>34</v>
      </c>
      <c r="N499" s="2" t="s">
        <v>43</v>
      </c>
      <c r="O499" s="2" t="s">
        <v>64</v>
      </c>
      <c r="P499" s="2" t="s">
        <v>45</v>
      </c>
      <c r="Q499" s="2">
        <v>0</v>
      </c>
      <c r="R499" s="2">
        <v>0</v>
      </c>
      <c r="S499" s="2">
        <v>0</v>
      </c>
      <c r="T499" s="2" t="s">
        <v>46</v>
      </c>
      <c r="U499" s="2" t="s">
        <v>86</v>
      </c>
      <c r="V499" s="2">
        <v>0</v>
      </c>
      <c r="W499" s="2" t="s">
        <v>38</v>
      </c>
      <c r="X499" s="2">
        <v>29</v>
      </c>
      <c r="Y499" s="2"/>
      <c r="Z499" s="2">
        <v>0</v>
      </c>
      <c r="AA499" s="2" t="s">
        <v>51</v>
      </c>
      <c r="AB499" s="2">
        <v>100</v>
      </c>
      <c r="AC499" s="2">
        <v>0</v>
      </c>
      <c r="AD499" s="2">
        <v>0</v>
      </c>
      <c r="AE499" s="2" t="s">
        <v>40</v>
      </c>
      <c r="AF499" s="3">
        <v>42491</v>
      </c>
    </row>
    <row r="500" spans="1:32" x14ac:dyDescent="0.25">
      <c r="A500" s="2" t="s">
        <v>41</v>
      </c>
      <c r="B500" s="2">
        <v>0</v>
      </c>
      <c r="C500" s="2">
        <v>172</v>
      </c>
      <c r="D500" s="2">
        <v>2016</v>
      </c>
      <c r="E500" s="2" t="s">
        <v>42</v>
      </c>
      <c r="F500" s="2">
        <v>31</v>
      </c>
      <c r="G500" s="2">
        <v>26</v>
      </c>
      <c r="H500" s="2">
        <v>1</v>
      </c>
      <c r="I500" s="2">
        <v>5</v>
      </c>
      <c r="J500" s="2">
        <v>2</v>
      </c>
      <c r="K500" s="2">
        <v>0</v>
      </c>
      <c r="L500" s="2">
        <v>0</v>
      </c>
      <c r="M500" s="2" t="s">
        <v>34</v>
      </c>
      <c r="N500" s="2" t="s">
        <v>56</v>
      </c>
      <c r="O500" s="2" t="s">
        <v>49</v>
      </c>
      <c r="P500" s="2" t="s">
        <v>45</v>
      </c>
      <c r="Q500" s="2">
        <v>0</v>
      </c>
      <c r="R500" s="2">
        <v>0</v>
      </c>
      <c r="S500" s="2">
        <v>0</v>
      </c>
      <c r="T500" s="2" t="s">
        <v>46</v>
      </c>
      <c r="U500" s="2" t="s">
        <v>46</v>
      </c>
      <c r="V500" s="2">
        <v>0</v>
      </c>
      <c r="W500" s="2" t="s">
        <v>38</v>
      </c>
      <c r="X500" s="2">
        <v>27</v>
      </c>
      <c r="Y500" s="2"/>
      <c r="Z500" s="2">
        <v>0</v>
      </c>
      <c r="AA500" s="2" t="s">
        <v>39</v>
      </c>
      <c r="AB500" s="2">
        <v>72.25</v>
      </c>
      <c r="AC500" s="2">
        <v>0</v>
      </c>
      <c r="AD500" s="2">
        <v>0</v>
      </c>
      <c r="AE500" s="2" t="s">
        <v>40</v>
      </c>
      <c r="AF500" s="3">
        <v>42583</v>
      </c>
    </row>
    <row r="501" spans="1:32" x14ac:dyDescent="0.25">
      <c r="A501" s="2" t="s">
        <v>41</v>
      </c>
      <c r="B501" s="2">
        <v>1</v>
      </c>
      <c r="C501" s="2">
        <v>199</v>
      </c>
      <c r="D501" s="2">
        <v>2016</v>
      </c>
      <c r="E501" s="2" t="s">
        <v>59</v>
      </c>
      <c r="F501" s="2">
        <v>44</v>
      </c>
      <c r="G501" s="2">
        <v>28</v>
      </c>
      <c r="H501" s="2">
        <v>0</v>
      </c>
      <c r="I501" s="2">
        <v>2</v>
      </c>
      <c r="J501" s="2">
        <v>2</v>
      </c>
      <c r="K501" s="2">
        <v>0</v>
      </c>
      <c r="L501" s="2">
        <v>0</v>
      </c>
      <c r="M501" s="2" t="s">
        <v>34</v>
      </c>
      <c r="N501" s="2" t="s">
        <v>43</v>
      </c>
      <c r="O501" s="2" t="s">
        <v>64</v>
      </c>
      <c r="P501" s="2" t="s">
        <v>45</v>
      </c>
      <c r="Q501" s="2">
        <v>0</v>
      </c>
      <c r="R501" s="2">
        <v>0</v>
      </c>
      <c r="S501" s="2">
        <v>0</v>
      </c>
      <c r="T501" s="2" t="s">
        <v>46</v>
      </c>
      <c r="U501" s="2" t="s">
        <v>46</v>
      </c>
      <c r="V501" s="2">
        <v>0</v>
      </c>
      <c r="W501" s="2" t="s">
        <v>38</v>
      </c>
      <c r="X501" s="2">
        <v>29</v>
      </c>
      <c r="Y501" s="2"/>
      <c r="Z501" s="2">
        <v>0</v>
      </c>
      <c r="AA501" s="2" t="s">
        <v>51</v>
      </c>
      <c r="AB501" s="2">
        <v>95</v>
      </c>
      <c r="AC501" s="2">
        <v>0</v>
      </c>
      <c r="AD501" s="2">
        <v>0</v>
      </c>
      <c r="AE501" s="2" t="s">
        <v>47</v>
      </c>
      <c r="AF501" s="3">
        <v>42664</v>
      </c>
    </row>
    <row r="502" spans="1:32" x14ac:dyDescent="0.25">
      <c r="A502" s="2" t="s">
        <v>41</v>
      </c>
      <c r="B502" s="2">
        <v>1</v>
      </c>
      <c r="C502" s="2">
        <v>267</v>
      </c>
      <c r="D502" s="2">
        <v>2016</v>
      </c>
      <c r="E502" s="2" t="s">
        <v>52</v>
      </c>
      <c r="F502" s="2">
        <v>14</v>
      </c>
      <c r="G502" s="2">
        <v>31</v>
      </c>
      <c r="H502" s="2">
        <v>0</v>
      </c>
      <c r="I502" s="2">
        <v>2</v>
      </c>
      <c r="J502" s="2">
        <v>2</v>
      </c>
      <c r="K502" s="2">
        <v>0</v>
      </c>
      <c r="L502" s="2">
        <v>0</v>
      </c>
      <c r="M502" s="2" t="s">
        <v>34</v>
      </c>
      <c r="N502" s="2" t="s">
        <v>43</v>
      </c>
      <c r="O502" s="2" t="s">
        <v>64</v>
      </c>
      <c r="P502" s="2" t="s">
        <v>45</v>
      </c>
      <c r="Q502" s="2">
        <v>0</v>
      </c>
      <c r="R502" s="2">
        <v>0</v>
      </c>
      <c r="S502" s="2">
        <v>0</v>
      </c>
      <c r="T502" s="2" t="s">
        <v>46</v>
      </c>
      <c r="U502" s="2" t="s">
        <v>46</v>
      </c>
      <c r="V502" s="2">
        <v>0</v>
      </c>
      <c r="W502" s="2" t="s">
        <v>68</v>
      </c>
      <c r="X502" s="2">
        <v>1</v>
      </c>
      <c r="Y502" s="2"/>
      <c r="Z502" s="2">
        <v>0</v>
      </c>
      <c r="AA502" s="2" t="s">
        <v>39</v>
      </c>
      <c r="AB502" s="2">
        <v>62</v>
      </c>
      <c r="AC502" s="2">
        <v>0</v>
      </c>
      <c r="AD502" s="2">
        <v>0</v>
      </c>
      <c r="AE502" s="2" t="s">
        <v>47</v>
      </c>
      <c r="AF502" s="3">
        <v>42298</v>
      </c>
    </row>
    <row r="503" spans="1:32" x14ac:dyDescent="0.25">
      <c r="A503" s="2" t="s">
        <v>32</v>
      </c>
      <c r="B503" s="2">
        <v>1</v>
      </c>
      <c r="C503" s="2">
        <v>82</v>
      </c>
      <c r="D503" s="2">
        <v>2016</v>
      </c>
      <c r="E503" s="2" t="s">
        <v>66</v>
      </c>
      <c r="F503" s="2">
        <v>7</v>
      </c>
      <c r="G503" s="2">
        <v>7</v>
      </c>
      <c r="H503" s="2">
        <v>2</v>
      </c>
      <c r="I503" s="2">
        <v>0</v>
      </c>
      <c r="J503" s="2">
        <v>2</v>
      </c>
      <c r="K503" s="2">
        <v>0</v>
      </c>
      <c r="L503" s="2">
        <v>0</v>
      </c>
      <c r="M503" s="2" t="s">
        <v>77</v>
      </c>
      <c r="N503" s="2" t="s">
        <v>43</v>
      </c>
      <c r="O503" s="2" t="s">
        <v>64</v>
      </c>
      <c r="P503" s="2" t="s">
        <v>45</v>
      </c>
      <c r="Q503" s="2">
        <v>1</v>
      </c>
      <c r="R503" s="2">
        <v>1</v>
      </c>
      <c r="S503" s="2">
        <v>0</v>
      </c>
      <c r="T503" s="2" t="s">
        <v>46</v>
      </c>
      <c r="U503" s="2" t="s">
        <v>46</v>
      </c>
      <c r="V503" s="2">
        <v>0</v>
      </c>
      <c r="W503" s="2" t="s">
        <v>38</v>
      </c>
      <c r="X503" s="2">
        <v>67</v>
      </c>
      <c r="Y503" s="2"/>
      <c r="Z503" s="2">
        <v>0</v>
      </c>
      <c r="AA503" s="2" t="s">
        <v>51</v>
      </c>
      <c r="AB503" s="2">
        <v>66</v>
      </c>
      <c r="AC503" s="2">
        <v>0</v>
      </c>
      <c r="AD503" s="2">
        <v>0</v>
      </c>
      <c r="AE503" s="2" t="s">
        <v>47</v>
      </c>
      <c r="AF503" s="3">
        <v>42395</v>
      </c>
    </row>
    <row r="504" spans="1:32" x14ac:dyDescent="0.25">
      <c r="A504" s="2" t="s">
        <v>41</v>
      </c>
      <c r="B504" s="2">
        <v>1</v>
      </c>
      <c r="C504" s="2">
        <v>350</v>
      </c>
      <c r="D504" s="2">
        <v>2016</v>
      </c>
      <c r="E504" s="2" t="s">
        <v>62</v>
      </c>
      <c r="F504" s="2">
        <v>40</v>
      </c>
      <c r="G504" s="2">
        <v>30</v>
      </c>
      <c r="H504" s="2">
        <v>1</v>
      </c>
      <c r="I504" s="2">
        <v>2</v>
      </c>
      <c r="J504" s="2">
        <v>2</v>
      </c>
      <c r="K504" s="2">
        <v>0</v>
      </c>
      <c r="L504" s="2">
        <v>0</v>
      </c>
      <c r="M504" s="2" t="s">
        <v>34</v>
      </c>
      <c r="N504" s="2" t="s">
        <v>43</v>
      </c>
      <c r="O504" s="2" t="s">
        <v>49</v>
      </c>
      <c r="P504" s="2" t="s">
        <v>45</v>
      </c>
      <c r="Q504" s="2">
        <v>0</v>
      </c>
      <c r="R504" s="2">
        <v>1</v>
      </c>
      <c r="S504" s="2">
        <v>0</v>
      </c>
      <c r="T504" s="2" t="s">
        <v>46</v>
      </c>
      <c r="U504" s="2" t="s">
        <v>46</v>
      </c>
      <c r="V504" s="2">
        <v>0</v>
      </c>
      <c r="W504" s="2" t="s">
        <v>68</v>
      </c>
      <c r="X504" s="2">
        <v>4</v>
      </c>
      <c r="Y504" s="2"/>
      <c r="Z504" s="2">
        <v>17</v>
      </c>
      <c r="AA504" s="2" t="s">
        <v>39</v>
      </c>
      <c r="AB504" s="2">
        <v>90</v>
      </c>
      <c r="AC504" s="2">
        <v>0</v>
      </c>
      <c r="AD504" s="2">
        <v>0</v>
      </c>
      <c r="AE504" s="2" t="s">
        <v>47</v>
      </c>
      <c r="AF504" s="3">
        <v>42310</v>
      </c>
    </row>
    <row r="505" spans="1:32" x14ac:dyDescent="0.25">
      <c r="A505" s="2" t="s">
        <v>41</v>
      </c>
      <c r="B505" s="2">
        <v>0</v>
      </c>
      <c r="C505" s="2">
        <v>0</v>
      </c>
      <c r="D505" s="2">
        <v>2016</v>
      </c>
      <c r="E505" s="2" t="s">
        <v>83</v>
      </c>
      <c r="F505" s="2">
        <v>26</v>
      </c>
      <c r="G505" s="2">
        <v>20</v>
      </c>
      <c r="H505" s="2">
        <v>1</v>
      </c>
      <c r="I505" s="2">
        <v>1</v>
      </c>
      <c r="J505" s="2">
        <v>1</v>
      </c>
      <c r="K505" s="2">
        <v>0</v>
      </c>
      <c r="L505" s="2">
        <v>0</v>
      </c>
      <c r="M505" s="2" t="s">
        <v>34</v>
      </c>
      <c r="N505" s="2" t="s">
        <v>106</v>
      </c>
      <c r="O505" s="2" t="s">
        <v>36</v>
      </c>
      <c r="P505" s="2" t="s">
        <v>36</v>
      </c>
      <c r="Q505" s="2">
        <v>0</v>
      </c>
      <c r="R505" s="2">
        <v>0</v>
      </c>
      <c r="S505" s="2">
        <v>0</v>
      </c>
      <c r="T505" s="2" t="s">
        <v>46</v>
      </c>
      <c r="U505" s="2" t="s">
        <v>57</v>
      </c>
      <c r="V505" s="2">
        <v>1</v>
      </c>
      <c r="W505" s="2" t="s">
        <v>38</v>
      </c>
      <c r="X505" s="2"/>
      <c r="Y505" s="2"/>
      <c r="Z505" s="2">
        <v>0</v>
      </c>
      <c r="AA505" s="2" t="s">
        <v>39</v>
      </c>
      <c r="AB505" s="2">
        <v>123.25</v>
      </c>
      <c r="AC505" s="2">
        <v>0</v>
      </c>
      <c r="AD505" s="2">
        <v>0</v>
      </c>
      <c r="AE505" s="2" t="s">
        <v>40</v>
      </c>
      <c r="AF505" s="3">
        <v>42543</v>
      </c>
    </row>
    <row r="506" spans="1:32" x14ac:dyDescent="0.25">
      <c r="A506" s="2" t="s">
        <v>32</v>
      </c>
      <c r="B506" s="2">
        <v>0</v>
      </c>
      <c r="C506" s="2">
        <v>191</v>
      </c>
      <c r="D506" s="2">
        <v>2016</v>
      </c>
      <c r="E506" s="2" t="s">
        <v>54</v>
      </c>
      <c r="F506" s="2">
        <v>17</v>
      </c>
      <c r="G506" s="2">
        <v>22</v>
      </c>
      <c r="H506" s="2">
        <v>1</v>
      </c>
      <c r="I506" s="2">
        <v>2</v>
      </c>
      <c r="J506" s="2">
        <v>2</v>
      </c>
      <c r="K506" s="2">
        <v>0</v>
      </c>
      <c r="L506" s="2">
        <v>0</v>
      </c>
      <c r="M506" s="2" t="s">
        <v>77</v>
      </c>
      <c r="N506" s="2" t="s">
        <v>43</v>
      </c>
      <c r="O506" s="2" t="s">
        <v>49</v>
      </c>
      <c r="P506" s="2" t="s">
        <v>45</v>
      </c>
      <c r="Q506" s="2">
        <v>0</v>
      </c>
      <c r="R506" s="2">
        <v>0</v>
      </c>
      <c r="S506" s="2">
        <v>0</v>
      </c>
      <c r="T506" s="2" t="s">
        <v>46</v>
      </c>
      <c r="U506" s="2" t="s">
        <v>46</v>
      </c>
      <c r="V506" s="2">
        <v>1</v>
      </c>
      <c r="W506" s="2" t="s">
        <v>38</v>
      </c>
      <c r="X506" s="2"/>
      <c r="Y506" s="2"/>
      <c r="Z506" s="2">
        <v>0</v>
      </c>
      <c r="AA506" s="2" t="s">
        <v>51</v>
      </c>
      <c r="AB506" s="2">
        <v>85.33</v>
      </c>
      <c r="AC506" s="2">
        <v>0</v>
      </c>
      <c r="AD506" s="2">
        <v>0</v>
      </c>
      <c r="AE506" s="2" t="s">
        <v>40</v>
      </c>
      <c r="AF506" s="3">
        <v>42485</v>
      </c>
    </row>
    <row r="507" spans="1:32" x14ac:dyDescent="0.25">
      <c r="A507" s="2" t="s">
        <v>41</v>
      </c>
      <c r="B507" s="2">
        <v>0</v>
      </c>
      <c r="C507" s="2">
        <v>49</v>
      </c>
      <c r="D507" s="2">
        <v>2016</v>
      </c>
      <c r="E507" s="2" t="s">
        <v>74</v>
      </c>
      <c r="F507" s="2">
        <v>3</v>
      </c>
      <c r="G507" s="2">
        <v>15</v>
      </c>
      <c r="H507" s="2">
        <v>0</v>
      </c>
      <c r="I507" s="2">
        <v>2</v>
      </c>
      <c r="J507" s="2">
        <v>2</v>
      </c>
      <c r="K507" s="2">
        <v>0</v>
      </c>
      <c r="L507" s="2">
        <v>0</v>
      </c>
      <c r="M507" s="2" t="s">
        <v>34</v>
      </c>
      <c r="N507" s="2" t="s">
        <v>70</v>
      </c>
      <c r="O507" s="2" t="s">
        <v>44</v>
      </c>
      <c r="P507" s="2" t="s">
        <v>45</v>
      </c>
      <c r="Q507" s="2">
        <v>0</v>
      </c>
      <c r="R507" s="2">
        <v>0</v>
      </c>
      <c r="S507" s="2">
        <v>0</v>
      </c>
      <c r="T507" s="2" t="s">
        <v>46</v>
      </c>
      <c r="U507" s="2" t="s">
        <v>46</v>
      </c>
      <c r="V507" s="2">
        <v>0</v>
      </c>
      <c r="W507" s="2" t="s">
        <v>38</v>
      </c>
      <c r="X507" s="2">
        <v>7</v>
      </c>
      <c r="Y507" s="2"/>
      <c r="Z507" s="2">
        <v>0</v>
      </c>
      <c r="AA507" s="2" t="s">
        <v>39</v>
      </c>
      <c r="AB507" s="2">
        <v>69.22</v>
      </c>
      <c r="AC507" s="2">
        <v>0</v>
      </c>
      <c r="AD507" s="2">
        <v>1</v>
      </c>
      <c r="AE507" s="2" t="s">
        <v>40</v>
      </c>
      <c r="AF507" s="3">
        <v>42386</v>
      </c>
    </row>
    <row r="508" spans="1:32" x14ac:dyDescent="0.25">
      <c r="A508" s="2" t="s">
        <v>41</v>
      </c>
      <c r="B508" s="2">
        <v>1</v>
      </c>
      <c r="C508" s="2">
        <v>300</v>
      </c>
      <c r="D508" s="2">
        <v>2016</v>
      </c>
      <c r="E508" s="2" t="s">
        <v>61</v>
      </c>
      <c r="F508" s="2">
        <v>46</v>
      </c>
      <c r="G508" s="2">
        <v>11</v>
      </c>
      <c r="H508" s="2">
        <v>0</v>
      </c>
      <c r="I508" s="2">
        <v>2</v>
      </c>
      <c r="J508" s="2">
        <v>2</v>
      </c>
      <c r="K508" s="2">
        <v>0</v>
      </c>
      <c r="L508" s="2">
        <v>0</v>
      </c>
      <c r="M508" s="2" t="s">
        <v>34</v>
      </c>
      <c r="N508" s="2" t="s">
        <v>43</v>
      </c>
      <c r="O508" s="2" t="s">
        <v>64</v>
      </c>
      <c r="P508" s="2" t="s">
        <v>45</v>
      </c>
      <c r="Q508" s="2">
        <v>0</v>
      </c>
      <c r="R508" s="2">
        <v>0</v>
      </c>
      <c r="S508" s="2">
        <v>0</v>
      </c>
      <c r="T508" s="2" t="s">
        <v>46</v>
      </c>
      <c r="U508" s="2" t="s">
        <v>46</v>
      </c>
      <c r="V508" s="2">
        <v>0</v>
      </c>
      <c r="W508" s="2" t="s">
        <v>68</v>
      </c>
      <c r="X508" s="2">
        <v>1</v>
      </c>
      <c r="Y508" s="2"/>
      <c r="Z508" s="2">
        <v>0</v>
      </c>
      <c r="AA508" s="2" t="s">
        <v>39</v>
      </c>
      <c r="AB508" s="2">
        <v>65</v>
      </c>
      <c r="AC508" s="2">
        <v>0</v>
      </c>
      <c r="AD508" s="2">
        <v>0</v>
      </c>
      <c r="AE508" s="2" t="s">
        <v>47</v>
      </c>
      <c r="AF508" s="3">
        <v>42443</v>
      </c>
    </row>
    <row r="509" spans="1:32" x14ac:dyDescent="0.25">
      <c r="A509" s="2" t="s">
        <v>41</v>
      </c>
      <c r="B509" s="2">
        <v>0</v>
      </c>
      <c r="C509" s="2">
        <v>78</v>
      </c>
      <c r="D509" s="2">
        <v>2016</v>
      </c>
      <c r="E509" s="2" t="s">
        <v>33</v>
      </c>
      <c r="F509" s="2">
        <v>52</v>
      </c>
      <c r="G509" s="2">
        <v>20</v>
      </c>
      <c r="H509" s="2">
        <v>1</v>
      </c>
      <c r="I509" s="2">
        <v>5</v>
      </c>
      <c r="J509" s="2">
        <v>3</v>
      </c>
      <c r="K509" s="2">
        <v>0</v>
      </c>
      <c r="L509" s="2">
        <v>0</v>
      </c>
      <c r="M509" s="2" t="s">
        <v>34</v>
      </c>
      <c r="N509" s="2" t="s">
        <v>91</v>
      </c>
      <c r="O509" s="2" t="s">
        <v>36</v>
      </c>
      <c r="P509" s="2" t="s">
        <v>36</v>
      </c>
      <c r="Q509" s="2">
        <v>0</v>
      </c>
      <c r="R509" s="2">
        <v>0</v>
      </c>
      <c r="S509" s="2">
        <v>0</v>
      </c>
      <c r="T509" s="2" t="s">
        <v>84</v>
      </c>
      <c r="U509" s="2" t="s">
        <v>46</v>
      </c>
      <c r="V509" s="2">
        <v>0</v>
      </c>
      <c r="W509" s="2" t="s">
        <v>38</v>
      </c>
      <c r="X509" s="2">
        <v>14</v>
      </c>
      <c r="Y509" s="2"/>
      <c r="Z509" s="2">
        <v>0</v>
      </c>
      <c r="AA509" s="2" t="s">
        <v>51</v>
      </c>
      <c r="AB509" s="2">
        <v>119.4</v>
      </c>
      <c r="AC509" s="2">
        <v>0</v>
      </c>
      <c r="AD509" s="2">
        <v>2</v>
      </c>
      <c r="AE509" s="2" t="s">
        <v>40</v>
      </c>
      <c r="AF509" s="3">
        <v>42730</v>
      </c>
    </row>
    <row r="510" spans="1:32" x14ac:dyDescent="0.25">
      <c r="A510" s="2" t="s">
        <v>41</v>
      </c>
      <c r="B510" s="2">
        <v>1</v>
      </c>
      <c r="C510" s="2">
        <v>50</v>
      </c>
      <c r="D510" s="2">
        <v>2016</v>
      </c>
      <c r="E510" s="2" t="s">
        <v>83</v>
      </c>
      <c r="F510" s="2">
        <v>26</v>
      </c>
      <c r="G510" s="2">
        <v>21</v>
      </c>
      <c r="H510" s="2">
        <v>0</v>
      </c>
      <c r="I510" s="2">
        <v>3</v>
      </c>
      <c r="J510" s="2">
        <v>2</v>
      </c>
      <c r="K510" s="2">
        <v>0</v>
      </c>
      <c r="L510" s="2">
        <v>0</v>
      </c>
      <c r="M510" s="2" t="s">
        <v>55</v>
      </c>
      <c r="N510" s="2" t="s">
        <v>35</v>
      </c>
      <c r="O510" s="2" t="s">
        <v>44</v>
      </c>
      <c r="P510" s="2" t="s">
        <v>45</v>
      </c>
      <c r="Q510" s="2">
        <v>0</v>
      </c>
      <c r="R510" s="2">
        <v>0</v>
      </c>
      <c r="S510" s="2">
        <v>0</v>
      </c>
      <c r="T510" s="2" t="s">
        <v>46</v>
      </c>
      <c r="U510" s="2" t="s">
        <v>46</v>
      </c>
      <c r="V510" s="2">
        <v>0</v>
      </c>
      <c r="W510" s="2" t="s">
        <v>38</v>
      </c>
      <c r="X510" s="2">
        <v>9</v>
      </c>
      <c r="Y510" s="2"/>
      <c r="Z510" s="2">
        <v>0</v>
      </c>
      <c r="AA510" s="2" t="s">
        <v>39</v>
      </c>
      <c r="AB510" s="2">
        <v>89.1</v>
      </c>
      <c r="AC510" s="2">
        <v>0</v>
      </c>
      <c r="AD510" s="2">
        <v>0</v>
      </c>
      <c r="AE510" s="2" t="s">
        <v>47</v>
      </c>
      <c r="AF510" s="3">
        <v>42514</v>
      </c>
    </row>
    <row r="511" spans="1:32" x14ac:dyDescent="0.25">
      <c r="A511" s="2" t="s">
        <v>41</v>
      </c>
      <c r="B511" s="2">
        <v>0</v>
      </c>
      <c r="C511" s="2">
        <v>8</v>
      </c>
      <c r="D511" s="2">
        <v>2016</v>
      </c>
      <c r="E511" s="2" t="s">
        <v>62</v>
      </c>
      <c r="F511" s="2">
        <v>38</v>
      </c>
      <c r="G511" s="2">
        <v>15</v>
      </c>
      <c r="H511" s="2">
        <v>0</v>
      </c>
      <c r="I511" s="2">
        <v>1</v>
      </c>
      <c r="J511" s="2">
        <v>1</v>
      </c>
      <c r="K511" s="2">
        <v>0</v>
      </c>
      <c r="L511" s="2">
        <v>0</v>
      </c>
      <c r="M511" s="2" t="s">
        <v>34</v>
      </c>
      <c r="N511" s="2" t="s">
        <v>43</v>
      </c>
      <c r="O511" s="2" t="s">
        <v>36</v>
      </c>
      <c r="P511" s="2" t="s">
        <v>36</v>
      </c>
      <c r="Q511" s="2">
        <v>0</v>
      </c>
      <c r="R511" s="2">
        <v>0</v>
      </c>
      <c r="S511" s="2">
        <v>0</v>
      </c>
      <c r="T511" s="2" t="s">
        <v>46</v>
      </c>
      <c r="U511" s="2" t="s">
        <v>46</v>
      </c>
      <c r="V511" s="2">
        <v>0</v>
      </c>
      <c r="W511" s="2" t="s">
        <v>38</v>
      </c>
      <c r="X511" s="2">
        <v>14</v>
      </c>
      <c r="Y511" s="2"/>
      <c r="Z511" s="2">
        <v>0</v>
      </c>
      <c r="AA511" s="2" t="s">
        <v>39</v>
      </c>
      <c r="AB511" s="2">
        <v>159</v>
      </c>
      <c r="AC511" s="2">
        <v>0</v>
      </c>
      <c r="AD511" s="2">
        <v>0</v>
      </c>
      <c r="AE511" s="2" t="s">
        <v>40</v>
      </c>
      <c r="AF511" s="3">
        <v>42629</v>
      </c>
    </row>
    <row r="512" spans="1:32" x14ac:dyDescent="0.25">
      <c r="A512" s="2" t="s">
        <v>41</v>
      </c>
      <c r="B512" s="2">
        <v>1</v>
      </c>
      <c r="C512" s="2">
        <v>42</v>
      </c>
      <c r="D512" s="2">
        <v>2016</v>
      </c>
      <c r="E512" s="2" t="s">
        <v>33</v>
      </c>
      <c r="F512" s="2">
        <v>51</v>
      </c>
      <c r="G512" s="2">
        <v>11</v>
      </c>
      <c r="H512" s="2">
        <v>2</v>
      </c>
      <c r="I512" s="2">
        <v>3</v>
      </c>
      <c r="J512" s="2">
        <v>2</v>
      </c>
      <c r="K512" s="2">
        <v>0</v>
      </c>
      <c r="L512" s="2">
        <v>0</v>
      </c>
      <c r="M512" s="2" t="s">
        <v>34</v>
      </c>
      <c r="N512" s="2" t="s">
        <v>48</v>
      </c>
      <c r="O512" s="2" t="s">
        <v>44</v>
      </c>
      <c r="P512" s="2" t="s">
        <v>45</v>
      </c>
      <c r="Q512" s="2">
        <v>0</v>
      </c>
      <c r="R512" s="2">
        <v>0</v>
      </c>
      <c r="S512" s="2">
        <v>0</v>
      </c>
      <c r="T512" s="2" t="s">
        <v>46</v>
      </c>
      <c r="U512" s="2" t="s">
        <v>46</v>
      </c>
      <c r="V512" s="2">
        <v>0</v>
      </c>
      <c r="W512" s="2" t="s">
        <v>38</v>
      </c>
      <c r="X512" s="2">
        <v>9</v>
      </c>
      <c r="Y512" s="2"/>
      <c r="Z512" s="2">
        <v>0</v>
      </c>
      <c r="AA512" s="2" t="s">
        <v>39</v>
      </c>
      <c r="AB512" s="2">
        <v>88.4</v>
      </c>
      <c r="AC512" s="2">
        <v>0</v>
      </c>
      <c r="AD512" s="2">
        <v>2</v>
      </c>
      <c r="AE512" s="2" t="s">
        <v>47</v>
      </c>
      <c r="AF512" s="3">
        <v>42676</v>
      </c>
    </row>
    <row r="513" spans="1:32" x14ac:dyDescent="0.25">
      <c r="A513" s="2" t="s">
        <v>41</v>
      </c>
      <c r="B513" s="2">
        <v>0</v>
      </c>
      <c r="C513" s="2">
        <v>12</v>
      </c>
      <c r="D513" s="2">
        <v>2016</v>
      </c>
      <c r="E513" s="2" t="s">
        <v>59</v>
      </c>
      <c r="F513" s="2">
        <v>42</v>
      </c>
      <c r="G513" s="2">
        <v>12</v>
      </c>
      <c r="H513" s="2">
        <v>0</v>
      </c>
      <c r="I513" s="2">
        <v>1</v>
      </c>
      <c r="J513" s="2">
        <v>1</v>
      </c>
      <c r="K513" s="2">
        <v>0</v>
      </c>
      <c r="L513" s="2">
        <v>0</v>
      </c>
      <c r="M513" s="2" t="s">
        <v>34</v>
      </c>
      <c r="N513" s="2" t="s">
        <v>43</v>
      </c>
      <c r="O513" s="2" t="s">
        <v>76</v>
      </c>
      <c r="P513" s="2" t="s">
        <v>76</v>
      </c>
      <c r="Q513" s="2">
        <v>1</v>
      </c>
      <c r="R513" s="2">
        <v>3</v>
      </c>
      <c r="S513" s="2">
        <v>18</v>
      </c>
      <c r="T513" s="2" t="s">
        <v>46</v>
      </c>
      <c r="U513" s="2" t="s">
        <v>57</v>
      </c>
      <c r="V513" s="2">
        <v>0</v>
      </c>
      <c r="W513" s="2" t="s">
        <v>38</v>
      </c>
      <c r="X513" s="2"/>
      <c r="Y513" s="2">
        <v>40</v>
      </c>
      <c r="Z513" s="2">
        <v>0</v>
      </c>
      <c r="AA513" s="2" t="s">
        <v>39</v>
      </c>
      <c r="AB513" s="2">
        <v>67</v>
      </c>
      <c r="AC513" s="2">
        <v>1</v>
      </c>
      <c r="AD513" s="2">
        <v>0</v>
      </c>
      <c r="AE513" s="2" t="s">
        <v>40</v>
      </c>
      <c r="AF513" s="3">
        <v>42656</v>
      </c>
    </row>
    <row r="514" spans="1:32" x14ac:dyDescent="0.25">
      <c r="A514" s="2" t="s">
        <v>41</v>
      </c>
      <c r="B514" s="2">
        <v>0</v>
      </c>
      <c r="C514" s="2">
        <v>87</v>
      </c>
      <c r="D514" s="2">
        <v>2016</v>
      </c>
      <c r="E514" s="2" t="s">
        <v>67</v>
      </c>
      <c r="F514" s="2">
        <v>35</v>
      </c>
      <c r="G514" s="2">
        <v>27</v>
      </c>
      <c r="H514" s="2">
        <v>2</v>
      </c>
      <c r="I514" s="2">
        <v>4</v>
      </c>
      <c r="J514" s="2">
        <v>3</v>
      </c>
      <c r="K514" s="2">
        <v>0</v>
      </c>
      <c r="L514" s="2">
        <v>0</v>
      </c>
      <c r="M514" s="2" t="s">
        <v>34</v>
      </c>
      <c r="N514" s="2" t="s">
        <v>56</v>
      </c>
      <c r="O514" s="2" t="s">
        <v>44</v>
      </c>
      <c r="P514" s="2" t="s">
        <v>45</v>
      </c>
      <c r="Q514" s="2">
        <v>0</v>
      </c>
      <c r="R514" s="2">
        <v>0</v>
      </c>
      <c r="S514" s="2">
        <v>0</v>
      </c>
      <c r="T514" s="2" t="s">
        <v>46</v>
      </c>
      <c r="U514" s="2" t="s">
        <v>46</v>
      </c>
      <c r="V514" s="2">
        <v>0</v>
      </c>
      <c r="W514" s="2" t="s">
        <v>38</v>
      </c>
      <c r="X514" s="2">
        <v>7</v>
      </c>
      <c r="Y514" s="2"/>
      <c r="Z514" s="2">
        <v>0</v>
      </c>
      <c r="AA514" s="2" t="s">
        <v>39</v>
      </c>
      <c r="AB514" s="2">
        <v>112.03</v>
      </c>
      <c r="AC514" s="2">
        <v>0</v>
      </c>
      <c r="AD514" s="2">
        <v>2</v>
      </c>
      <c r="AE514" s="2" t="s">
        <v>40</v>
      </c>
      <c r="AF514" s="3">
        <v>42615</v>
      </c>
    </row>
    <row r="515" spans="1:32" x14ac:dyDescent="0.25">
      <c r="A515" s="2" t="s">
        <v>32</v>
      </c>
      <c r="B515" s="2">
        <v>1</v>
      </c>
      <c r="C515" s="2">
        <v>67</v>
      </c>
      <c r="D515" s="2">
        <v>2016</v>
      </c>
      <c r="E515" s="2" t="s">
        <v>59</v>
      </c>
      <c r="F515" s="2">
        <v>41</v>
      </c>
      <c r="G515" s="2">
        <v>6</v>
      </c>
      <c r="H515" s="2">
        <v>1</v>
      </c>
      <c r="I515" s="2">
        <v>3</v>
      </c>
      <c r="J515" s="2">
        <v>2</v>
      </c>
      <c r="K515" s="2">
        <v>2</v>
      </c>
      <c r="L515" s="2">
        <v>0</v>
      </c>
      <c r="M515" s="2" t="s">
        <v>34</v>
      </c>
      <c r="N515" s="2" t="s">
        <v>35</v>
      </c>
      <c r="O515" s="2" t="s">
        <v>44</v>
      </c>
      <c r="P515" s="2" t="s">
        <v>45</v>
      </c>
      <c r="Q515" s="2">
        <v>0</v>
      </c>
      <c r="R515" s="2">
        <v>0</v>
      </c>
      <c r="S515" s="2">
        <v>0</v>
      </c>
      <c r="T515" s="2" t="s">
        <v>84</v>
      </c>
      <c r="U515" s="2" t="s">
        <v>84</v>
      </c>
      <c r="V515" s="2">
        <v>0</v>
      </c>
      <c r="W515" s="2" t="s">
        <v>38</v>
      </c>
      <c r="X515" s="2">
        <v>240</v>
      </c>
      <c r="Y515" s="2"/>
      <c r="Z515" s="2">
        <v>0</v>
      </c>
      <c r="AA515" s="2" t="s">
        <v>39</v>
      </c>
      <c r="AB515" s="2">
        <v>139</v>
      </c>
      <c r="AC515" s="2">
        <v>0</v>
      </c>
      <c r="AD515" s="2">
        <v>0</v>
      </c>
      <c r="AE515" s="2" t="s">
        <v>47</v>
      </c>
      <c r="AF515" s="3">
        <v>42585</v>
      </c>
    </row>
    <row r="516" spans="1:32" x14ac:dyDescent="0.25">
      <c r="A516" s="2" t="s">
        <v>41</v>
      </c>
      <c r="B516" s="2">
        <v>0</v>
      </c>
      <c r="C516" s="2">
        <v>34</v>
      </c>
      <c r="D516" s="2">
        <v>2016</v>
      </c>
      <c r="E516" s="2" t="s">
        <v>66</v>
      </c>
      <c r="F516" s="2">
        <v>7</v>
      </c>
      <c r="G516" s="2">
        <v>8</v>
      </c>
      <c r="H516" s="2">
        <v>1</v>
      </c>
      <c r="I516" s="2">
        <v>4</v>
      </c>
      <c r="J516" s="2">
        <v>1</v>
      </c>
      <c r="K516" s="2">
        <v>0</v>
      </c>
      <c r="L516" s="2">
        <v>0</v>
      </c>
      <c r="M516" s="2" t="s">
        <v>34</v>
      </c>
      <c r="N516" s="2" t="s">
        <v>70</v>
      </c>
      <c r="O516" s="2" t="s">
        <v>44</v>
      </c>
      <c r="P516" s="2" t="s">
        <v>45</v>
      </c>
      <c r="Q516" s="2">
        <v>0</v>
      </c>
      <c r="R516" s="2">
        <v>0</v>
      </c>
      <c r="S516" s="2">
        <v>0</v>
      </c>
      <c r="T516" s="2" t="s">
        <v>46</v>
      </c>
      <c r="U516" s="2" t="s">
        <v>46</v>
      </c>
      <c r="V516" s="2">
        <v>0</v>
      </c>
      <c r="W516" s="2" t="s">
        <v>38</v>
      </c>
      <c r="X516" s="2">
        <v>9</v>
      </c>
      <c r="Y516" s="2"/>
      <c r="Z516" s="2">
        <v>0</v>
      </c>
      <c r="AA516" s="2" t="s">
        <v>39</v>
      </c>
      <c r="AB516" s="2">
        <v>73.900000000000006</v>
      </c>
      <c r="AC516" s="2">
        <v>0</v>
      </c>
      <c r="AD516" s="2">
        <v>0</v>
      </c>
      <c r="AE516" s="2" t="s">
        <v>40</v>
      </c>
      <c r="AF516" s="3">
        <v>42413</v>
      </c>
    </row>
    <row r="517" spans="1:32" x14ac:dyDescent="0.25">
      <c r="A517" s="2" t="s">
        <v>41</v>
      </c>
      <c r="B517" s="2">
        <v>0</v>
      </c>
      <c r="C517" s="2">
        <v>0</v>
      </c>
      <c r="D517" s="2">
        <v>2016</v>
      </c>
      <c r="E517" s="2" t="s">
        <v>52</v>
      </c>
      <c r="F517" s="2">
        <v>11</v>
      </c>
      <c r="G517" s="2">
        <v>7</v>
      </c>
      <c r="H517" s="2">
        <v>1</v>
      </c>
      <c r="I517" s="2">
        <v>0</v>
      </c>
      <c r="J517" s="2">
        <v>1</v>
      </c>
      <c r="K517" s="2">
        <v>0</v>
      </c>
      <c r="L517" s="2">
        <v>0</v>
      </c>
      <c r="M517" s="2" t="s">
        <v>34</v>
      </c>
      <c r="N517" s="2" t="s">
        <v>63</v>
      </c>
      <c r="O517" s="2" t="s">
        <v>76</v>
      </c>
      <c r="P517" s="2" t="s">
        <v>76</v>
      </c>
      <c r="Q517" s="2">
        <v>0</v>
      </c>
      <c r="R517" s="2">
        <v>0</v>
      </c>
      <c r="S517" s="2">
        <v>0</v>
      </c>
      <c r="T517" s="2" t="s">
        <v>46</v>
      </c>
      <c r="U517" s="2" t="s">
        <v>46</v>
      </c>
      <c r="V517" s="2">
        <v>0</v>
      </c>
      <c r="W517" s="2" t="s">
        <v>38</v>
      </c>
      <c r="X517" s="2">
        <v>91</v>
      </c>
      <c r="Y517" s="2"/>
      <c r="Z517" s="2">
        <v>0</v>
      </c>
      <c r="AA517" s="2" t="s">
        <v>39</v>
      </c>
      <c r="AB517" s="2">
        <v>80</v>
      </c>
      <c r="AC517" s="2">
        <v>0</v>
      </c>
      <c r="AD517" s="2">
        <v>0</v>
      </c>
      <c r="AE517" s="2" t="s">
        <v>40</v>
      </c>
      <c r="AF517" s="3">
        <v>42437</v>
      </c>
    </row>
    <row r="518" spans="1:32" x14ac:dyDescent="0.25">
      <c r="A518" s="2" t="s">
        <v>32</v>
      </c>
      <c r="B518" s="2">
        <v>0</v>
      </c>
      <c r="C518" s="2">
        <v>243</v>
      </c>
      <c r="D518" s="2">
        <v>2016</v>
      </c>
      <c r="E518" s="2" t="s">
        <v>59</v>
      </c>
      <c r="F518" s="2">
        <v>41</v>
      </c>
      <c r="G518" s="2">
        <v>6</v>
      </c>
      <c r="H518" s="2">
        <v>2</v>
      </c>
      <c r="I518" s="2">
        <v>3</v>
      </c>
      <c r="J518" s="2">
        <v>1</v>
      </c>
      <c r="K518" s="2">
        <v>0</v>
      </c>
      <c r="L518" s="2">
        <v>0</v>
      </c>
      <c r="M518" s="2" t="s">
        <v>34</v>
      </c>
      <c r="N518" s="2" t="s">
        <v>95</v>
      </c>
      <c r="O518" s="2" t="s">
        <v>64</v>
      </c>
      <c r="P518" s="2" t="s">
        <v>45</v>
      </c>
      <c r="Q518" s="2">
        <v>0</v>
      </c>
      <c r="R518" s="2">
        <v>0</v>
      </c>
      <c r="S518" s="2">
        <v>0</v>
      </c>
      <c r="T518" s="2" t="s">
        <v>57</v>
      </c>
      <c r="U518" s="2" t="s">
        <v>57</v>
      </c>
      <c r="V518" s="2">
        <v>1</v>
      </c>
      <c r="W518" s="2" t="s">
        <v>38</v>
      </c>
      <c r="X518" s="2">
        <v>91</v>
      </c>
      <c r="Y518" s="2"/>
      <c r="Z518" s="2">
        <v>0</v>
      </c>
      <c r="AA518" s="2" t="s">
        <v>51</v>
      </c>
      <c r="AB518" s="2">
        <v>53.1</v>
      </c>
      <c r="AC518" s="2">
        <v>0</v>
      </c>
      <c r="AD518" s="2">
        <v>0</v>
      </c>
      <c r="AE518" s="2" t="s">
        <v>40</v>
      </c>
      <c r="AF518" s="3">
        <v>42654</v>
      </c>
    </row>
    <row r="519" spans="1:32" x14ac:dyDescent="0.25">
      <c r="A519" s="2" t="s">
        <v>32</v>
      </c>
      <c r="B519" s="2">
        <v>1</v>
      </c>
      <c r="C519" s="2">
        <v>35</v>
      </c>
      <c r="D519" s="2">
        <v>2016</v>
      </c>
      <c r="E519" s="2" t="s">
        <v>33</v>
      </c>
      <c r="F519" s="2">
        <v>50</v>
      </c>
      <c r="G519" s="2">
        <v>7</v>
      </c>
      <c r="H519" s="2">
        <v>0</v>
      </c>
      <c r="I519" s="2">
        <v>4</v>
      </c>
      <c r="J519" s="2">
        <v>2</v>
      </c>
      <c r="K519" s="2">
        <v>1</v>
      </c>
      <c r="L519" s="2">
        <v>0</v>
      </c>
      <c r="M519" s="2" t="s">
        <v>90</v>
      </c>
      <c r="N519" s="2" t="s">
        <v>43</v>
      </c>
      <c r="O519" s="2" t="s">
        <v>44</v>
      </c>
      <c r="P519" s="2" t="s">
        <v>45</v>
      </c>
      <c r="Q519" s="2">
        <v>0</v>
      </c>
      <c r="R519" s="2">
        <v>0</v>
      </c>
      <c r="S519" s="2">
        <v>0</v>
      </c>
      <c r="T519" s="2" t="s">
        <v>72</v>
      </c>
      <c r="U519" s="2" t="s">
        <v>72</v>
      </c>
      <c r="V519" s="2">
        <v>1</v>
      </c>
      <c r="W519" s="2" t="s">
        <v>38</v>
      </c>
      <c r="X519" s="2">
        <v>314</v>
      </c>
      <c r="Y519" s="2"/>
      <c r="Z519" s="2">
        <v>0</v>
      </c>
      <c r="AA519" s="2" t="s">
        <v>39</v>
      </c>
      <c r="AB519" s="2">
        <v>120.5</v>
      </c>
      <c r="AC519" s="2">
        <v>0</v>
      </c>
      <c r="AD519" s="2">
        <v>0</v>
      </c>
      <c r="AE519" s="2" t="s">
        <v>47</v>
      </c>
      <c r="AF519" s="3">
        <v>42698</v>
      </c>
    </row>
    <row r="520" spans="1:32" x14ac:dyDescent="0.25">
      <c r="A520" s="2" t="s">
        <v>41</v>
      </c>
      <c r="B520" s="2">
        <v>0</v>
      </c>
      <c r="C520" s="2">
        <v>1</v>
      </c>
      <c r="D520" s="2">
        <v>2016</v>
      </c>
      <c r="E520" s="2" t="s">
        <v>74</v>
      </c>
      <c r="F520" s="2">
        <v>1</v>
      </c>
      <c r="G520" s="2">
        <v>2</v>
      </c>
      <c r="H520" s="2">
        <v>2</v>
      </c>
      <c r="I520" s="2">
        <v>1</v>
      </c>
      <c r="J520" s="2">
        <v>2</v>
      </c>
      <c r="K520" s="2">
        <v>0</v>
      </c>
      <c r="L520" s="2">
        <v>0</v>
      </c>
      <c r="M520" s="2" t="s">
        <v>34</v>
      </c>
      <c r="N520" s="2" t="s">
        <v>43</v>
      </c>
      <c r="O520" s="2" t="s">
        <v>44</v>
      </c>
      <c r="P520" s="2" t="s">
        <v>45</v>
      </c>
      <c r="Q520" s="2">
        <v>0</v>
      </c>
      <c r="R520" s="2">
        <v>0</v>
      </c>
      <c r="S520" s="2">
        <v>0</v>
      </c>
      <c r="T520" s="2" t="s">
        <v>46</v>
      </c>
      <c r="U520" s="2" t="s">
        <v>46</v>
      </c>
      <c r="V520" s="2">
        <v>0</v>
      </c>
      <c r="W520" s="2" t="s">
        <v>38</v>
      </c>
      <c r="X520" s="2">
        <v>9</v>
      </c>
      <c r="Y520" s="2"/>
      <c r="Z520" s="2">
        <v>0</v>
      </c>
      <c r="AA520" s="2" t="s">
        <v>39</v>
      </c>
      <c r="AB520" s="2">
        <v>74.930000000000007</v>
      </c>
      <c r="AC520" s="2">
        <v>0</v>
      </c>
      <c r="AD520" s="2">
        <v>0</v>
      </c>
      <c r="AE520" s="2" t="s">
        <v>40</v>
      </c>
      <c r="AF520" s="3">
        <v>42374</v>
      </c>
    </row>
    <row r="521" spans="1:32" x14ac:dyDescent="0.25">
      <c r="A521" s="2" t="s">
        <v>41</v>
      </c>
      <c r="B521" s="2">
        <v>0</v>
      </c>
      <c r="C521" s="2">
        <v>65</v>
      </c>
      <c r="D521" s="2">
        <v>2016</v>
      </c>
      <c r="E521" s="2" t="s">
        <v>61</v>
      </c>
      <c r="F521" s="2">
        <v>48</v>
      </c>
      <c r="G521" s="2">
        <v>20</v>
      </c>
      <c r="H521" s="2">
        <v>1</v>
      </c>
      <c r="I521" s="2">
        <v>0</v>
      </c>
      <c r="J521" s="2">
        <v>1</v>
      </c>
      <c r="K521" s="2">
        <v>0</v>
      </c>
      <c r="L521" s="2">
        <v>0</v>
      </c>
      <c r="M521" s="2" t="s">
        <v>55</v>
      </c>
      <c r="N521" s="2" t="s">
        <v>98</v>
      </c>
      <c r="O521" s="2" t="s">
        <v>44</v>
      </c>
      <c r="P521" s="2" t="s">
        <v>45</v>
      </c>
      <c r="Q521" s="2">
        <v>0</v>
      </c>
      <c r="R521" s="2">
        <v>0</v>
      </c>
      <c r="S521" s="2">
        <v>0</v>
      </c>
      <c r="T521" s="2" t="s">
        <v>46</v>
      </c>
      <c r="U521" s="2" t="s">
        <v>46</v>
      </c>
      <c r="V521" s="2">
        <v>0</v>
      </c>
      <c r="W521" s="2" t="s">
        <v>38</v>
      </c>
      <c r="X521" s="2">
        <v>9</v>
      </c>
      <c r="Y521" s="2"/>
      <c r="Z521" s="2">
        <v>0</v>
      </c>
      <c r="AA521" s="2" t="s">
        <v>39</v>
      </c>
      <c r="AB521" s="2">
        <v>79.2</v>
      </c>
      <c r="AC521" s="2">
        <v>0</v>
      </c>
      <c r="AD521" s="2">
        <v>0</v>
      </c>
      <c r="AE521" s="2" t="s">
        <v>40</v>
      </c>
      <c r="AF521" s="3">
        <v>42695</v>
      </c>
    </row>
    <row r="522" spans="1:32" x14ac:dyDescent="0.25">
      <c r="A522" s="2" t="s">
        <v>32</v>
      </c>
      <c r="B522" s="2">
        <v>0</v>
      </c>
      <c r="C522" s="2">
        <v>153</v>
      </c>
      <c r="D522" s="2">
        <v>2016</v>
      </c>
      <c r="E522" s="2" t="s">
        <v>54</v>
      </c>
      <c r="F522" s="2">
        <v>16</v>
      </c>
      <c r="G522" s="2">
        <v>14</v>
      </c>
      <c r="H522" s="2">
        <v>0</v>
      </c>
      <c r="I522" s="2">
        <v>3</v>
      </c>
      <c r="J522" s="2">
        <v>3</v>
      </c>
      <c r="K522" s="2">
        <v>1</v>
      </c>
      <c r="L522" s="2">
        <v>0</v>
      </c>
      <c r="M522" s="2" t="s">
        <v>34</v>
      </c>
      <c r="N522" s="2" t="s">
        <v>43</v>
      </c>
      <c r="O522" s="2" t="s">
        <v>44</v>
      </c>
      <c r="P522" s="2" t="s">
        <v>45</v>
      </c>
      <c r="Q522" s="2">
        <v>0</v>
      </c>
      <c r="R522" s="2">
        <v>0</v>
      </c>
      <c r="S522" s="2">
        <v>0</v>
      </c>
      <c r="T522" s="2" t="s">
        <v>92</v>
      </c>
      <c r="U522" s="2" t="s">
        <v>92</v>
      </c>
      <c r="V522" s="2">
        <v>0</v>
      </c>
      <c r="W522" s="2" t="s">
        <v>38</v>
      </c>
      <c r="X522" s="2">
        <v>240</v>
      </c>
      <c r="Y522" s="2"/>
      <c r="Z522" s="2">
        <v>0</v>
      </c>
      <c r="AA522" s="2" t="s">
        <v>51</v>
      </c>
      <c r="AB522" s="2">
        <v>123</v>
      </c>
      <c r="AC522" s="2">
        <v>0</v>
      </c>
      <c r="AD522" s="2">
        <v>2</v>
      </c>
      <c r="AE522" s="2" t="s">
        <v>40</v>
      </c>
      <c r="AF522" s="3">
        <v>42477</v>
      </c>
    </row>
    <row r="523" spans="1:32" x14ac:dyDescent="0.25">
      <c r="A523" s="2" t="s">
        <v>41</v>
      </c>
      <c r="B523" s="2">
        <v>1</v>
      </c>
      <c r="C523" s="2">
        <v>132</v>
      </c>
      <c r="D523" s="2">
        <v>2016</v>
      </c>
      <c r="E523" s="2" t="s">
        <v>42</v>
      </c>
      <c r="F523" s="2">
        <v>28</v>
      </c>
      <c r="G523" s="2">
        <v>5</v>
      </c>
      <c r="H523" s="2">
        <v>0</v>
      </c>
      <c r="I523" s="2">
        <v>4</v>
      </c>
      <c r="J523" s="2">
        <v>2</v>
      </c>
      <c r="K523" s="2">
        <v>0</v>
      </c>
      <c r="L523" s="2">
        <v>0</v>
      </c>
      <c r="M523" s="2" t="s">
        <v>34</v>
      </c>
      <c r="N523" s="2" t="s">
        <v>103</v>
      </c>
      <c r="O523" s="2" t="s">
        <v>44</v>
      </c>
      <c r="P523" s="2" t="s">
        <v>45</v>
      </c>
      <c r="Q523" s="2">
        <v>0</v>
      </c>
      <c r="R523" s="2">
        <v>0</v>
      </c>
      <c r="S523" s="2">
        <v>0</v>
      </c>
      <c r="T523" s="2" t="s">
        <v>46</v>
      </c>
      <c r="U523" s="2" t="s">
        <v>46</v>
      </c>
      <c r="V523" s="2">
        <v>0</v>
      </c>
      <c r="W523" s="2" t="s">
        <v>38</v>
      </c>
      <c r="X523" s="2">
        <v>9</v>
      </c>
      <c r="Y523" s="2"/>
      <c r="Z523" s="2">
        <v>0</v>
      </c>
      <c r="AA523" s="2" t="s">
        <v>39</v>
      </c>
      <c r="AB523" s="2">
        <v>105.83</v>
      </c>
      <c r="AC523" s="2">
        <v>0</v>
      </c>
      <c r="AD523" s="2">
        <v>0</v>
      </c>
      <c r="AE523" s="2" t="s">
        <v>47</v>
      </c>
      <c r="AF523" s="3">
        <v>42434</v>
      </c>
    </row>
    <row r="524" spans="1:32" x14ac:dyDescent="0.25">
      <c r="A524" s="2" t="s">
        <v>41</v>
      </c>
      <c r="B524" s="2">
        <v>1</v>
      </c>
      <c r="C524" s="2">
        <v>104</v>
      </c>
      <c r="D524" s="2">
        <v>2016</v>
      </c>
      <c r="E524" s="2" t="s">
        <v>83</v>
      </c>
      <c r="F524" s="2">
        <v>24</v>
      </c>
      <c r="G524" s="2">
        <v>9</v>
      </c>
      <c r="H524" s="2">
        <v>0</v>
      </c>
      <c r="I524" s="2">
        <v>3</v>
      </c>
      <c r="J524" s="2">
        <v>2</v>
      </c>
      <c r="K524" s="2">
        <v>0</v>
      </c>
      <c r="L524" s="2">
        <v>0</v>
      </c>
      <c r="M524" s="2" t="s">
        <v>34</v>
      </c>
      <c r="N524" s="2" t="s">
        <v>48</v>
      </c>
      <c r="O524" s="2" t="s">
        <v>44</v>
      </c>
      <c r="P524" s="2" t="s">
        <v>45</v>
      </c>
      <c r="Q524" s="2">
        <v>0</v>
      </c>
      <c r="R524" s="2">
        <v>0</v>
      </c>
      <c r="S524" s="2">
        <v>0</v>
      </c>
      <c r="T524" s="2" t="s">
        <v>46</v>
      </c>
      <c r="U524" s="2" t="s">
        <v>46</v>
      </c>
      <c r="V524" s="2">
        <v>0</v>
      </c>
      <c r="W524" s="2" t="s">
        <v>38</v>
      </c>
      <c r="X524" s="2">
        <v>9</v>
      </c>
      <c r="Y524" s="2"/>
      <c r="Z524" s="2">
        <v>0</v>
      </c>
      <c r="AA524" s="2" t="s">
        <v>39</v>
      </c>
      <c r="AB524" s="2">
        <v>126.9</v>
      </c>
      <c r="AC524" s="2">
        <v>0</v>
      </c>
      <c r="AD524" s="2">
        <v>0</v>
      </c>
      <c r="AE524" s="2" t="s">
        <v>47</v>
      </c>
      <c r="AF524" s="3">
        <v>42430</v>
      </c>
    </row>
    <row r="525" spans="1:32" x14ac:dyDescent="0.25">
      <c r="A525" s="2" t="s">
        <v>41</v>
      </c>
      <c r="B525" s="2">
        <v>1</v>
      </c>
      <c r="C525" s="2">
        <v>178</v>
      </c>
      <c r="D525" s="2">
        <v>2016</v>
      </c>
      <c r="E525" s="2" t="s">
        <v>62</v>
      </c>
      <c r="F525" s="2">
        <v>37</v>
      </c>
      <c r="G525" s="2">
        <v>9</v>
      </c>
      <c r="H525" s="2">
        <v>0</v>
      </c>
      <c r="I525" s="2">
        <v>2</v>
      </c>
      <c r="J525" s="2">
        <v>1</v>
      </c>
      <c r="K525" s="2">
        <v>0</v>
      </c>
      <c r="L525" s="2">
        <v>0</v>
      </c>
      <c r="M525" s="2" t="s">
        <v>34</v>
      </c>
      <c r="N525" s="2" t="s">
        <v>43</v>
      </c>
      <c r="O525" s="2" t="s">
        <v>64</v>
      </c>
      <c r="P525" s="2" t="s">
        <v>45</v>
      </c>
      <c r="Q525" s="2">
        <v>0</v>
      </c>
      <c r="R525" s="2">
        <v>0</v>
      </c>
      <c r="S525" s="2">
        <v>0</v>
      </c>
      <c r="T525" s="2" t="s">
        <v>46</v>
      </c>
      <c r="U525" s="2" t="s">
        <v>46</v>
      </c>
      <c r="V525" s="2">
        <v>0</v>
      </c>
      <c r="W525" s="2" t="s">
        <v>68</v>
      </c>
      <c r="X525" s="2">
        <v>29</v>
      </c>
      <c r="Y525" s="2"/>
      <c r="Z525" s="2">
        <v>0</v>
      </c>
      <c r="AA525" s="2" t="s">
        <v>39</v>
      </c>
      <c r="AB525" s="2">
        <v>135</v>
      </c>
      <c r="AC525" s="2">
        <v>0</v>
      </c>
      <c r="AD525" s="2">
        <v>0</v>
      </c>
      <c r="AE525" s="2" t="s">
        <v>47</v>
      </c>
      <c r="AF525" s="3">
        <v>42452</v>
      </c>
    </row>
    <row r="526" spans="1:32" x14ac:dyDescent="0.25">
      <c r="A526" s="2" t="s">
        <v>41</v>
      </c>
      <c r="B526" s="2">
        <v>0</v>
      </c>
      <c r="C526" s="2">
        <v>36</v>
      </c>
      <c r="D526" s="2">
        <v>2016</v>
      </c>
      <c r="E526" s="2" t="s">
        <v>52</v>
      </c>
      <c r="F526" s="2">
        <v>10</v>
      </c>
      <c r="G526" s="2">
        <v>1</v>
      </c>
      <c r="H526" s="2">
        <v>0</v>
      </c>
      <c r="I526" s="2">
        <v>1</v>
      </c>
      <c r="J526" s="2">
        <v>1</v>
      </c>
      <c r="K526" s="2">
        <v>0</v>
      </c>
      <c r="L526" s="2">
        <v>0</v>
      </c>
      <c r="M526" s="2" t="s">
        <v>34</v>
      </c>
      <c r="N526" s="2" t="s">
        <v>56</v>
      </c>
      <c r="O526" s="2" t="s">
        <v>76</v>
      </c>
      <c r="P526" s="2" t="s">
        <v>76</v>
      </c>
      <c r="Q526" s="2">
        <v>0</v>
      </c>
      <c r="R526" s="2">
        <v>0</v>
      </c>
      <c r="S526" s="2">
        <v>0</v>
      </c>
      <c r="T526" s="2" t="s">
        <v>46</v>
      </c>
      <c r="U526" s="2" t="s">
        <v>46</v>
      </c>
      <c r="V526" s="2">
        <v>0</v>
      </c>
      <c r="W526" s="2" t="s">
        <v>38</v>
      </c>
      <c r="X526" s="2"/>
      <c r="Y526" s="2">
        <v>185</v>
      </c>
      <c r="Z526" s="2">
        <v>0</v>
      </c>
      <c r="AA526" s="2" t="s">
        <v>51</v>
      </c>
      <c r="AB526" s="2">
        <v>86.5</v>
      </c>
      <c r="AC526" s="2">
        <v>0</v>
      </c>
      <c r="AD526" s="2">
        <v>0</v>
      </c>
      <c r="AE526" s="2" t="s">
        <v>40</v>
      </c>
      <c r="AF526" s="3">
        <v>42431</v>
      </c>
    </row>
    <row r="527" spans="1:32" x14ac:dyDescent="0.25">
      <c r="A527" s="2" t="s">
        <v>32</v>
      </c>
      <c r="B527" s="2">
        <v>0</v>
      </c>
      <c r="C527" s="2">
        <v>83</v>
      </c>
      <c r="D527" s="2">
        <v>2016</v>
      </c>
      <c r="E527" s="2" t="s">
        <v>61</v>
      </c>
      <c r="F527" s="2">
        <v>46</v>
      </c>
      <c r="G527" s="2">
        <v>12</v>
      </c>
      <c r="H527" s="2">
        <v>2</v>
      </c>
      <c r="I527" s="2">
        <v>5</v>
      </c>
      <c r="J527" s="2">
        <v>1</v>
      </c>
      <c r="K527" s="2">
        <v>0</v>
      </c>
      <c r="L527" s="2">
        <v>0</v>
      </c>
      <c r="M527" s="2" t="s">
        <v>60</v>
      </c>
      <c r="N527" s="2" t="s">
        <v>56</v>
      </c>
      <c r="O527" s="2" t="s">
        <v>44</v>
      </c>
      <c r="P527" s="2" t="s">
        <v>45</v>
      </c>
      <c r="Q527" s="2">
        <v>0</v>
      </c>
      <c r="R527" s="2">
        <v>0</v>
      </c>
      <c r="S527" s="2">
        <v>0</v>
      </c>
      <c r="T527" s="2" t="s">
        <v>72</v>
      </c>
      <c r="U527" s="2" t="s">
        <v>72</v>
      </c>
      <c r="V527" s="2">
        <v>1</v>
      </c>
      <c r="W527" s="2" t="s">
        <v>38</v>
      </c>
      <c r="X527" s="2">
        <v>314</v>
      </c>
      <c r="Y527" s="2"/>
      <c r="Z527" s="2">
        <v>0</v>
      </c>
      <c r="AA527" s="2" t="s">
        <v>39</v>
      </c>
      <c r="AB527" s="2">
        <v>57.64</v>
      </c>
      <c r="AC527" s="2">
        <v>0</v>
      </c>
      <c r="AD527" s="2">
        <v>0</v>
      </c>
      <c r="AE527" s="2" t="s">
        <v>40</v>
      </c>
      <c r="AF527" s="3">
        <v>42693</v>
      </c>
    </row>
    <row r="528" spans="1:32" x14ac:dyDescent="0.25">
      <c r="A528" s="2" t="s">
        <v>41</v>
      </c>
      <c r="B528" s="2">
        <v>1</v>
      </c>
      <c r="C528" s="2">
        <v>3</v>
      </c>
      <c r="D528" s="2">
        <v>2016</v>
      </c>
      <c r="E528" s="2" t="s">
        <v>66</v>
      </c>
      <c r="F528" s="2">
        <v>9</v>
      </c>
      <c r="G528" s="2">
        <v>25</v>
      </c>
      <c r="H528" s="2">
        <v>0</v>
      </c>
      <c r="I528" s="2">
        <v>1</v>
      </c>
      <c r="J528" s="2">
        <v>1</v>
      </c>
      <c r="K528" s="2">
        <v>0</v>
      </c>
      <c r="L528" s="2">
        <v>0</v>
      </c>
      <c r="M528" s="2" t="s">
        <v>34</v>
      </c>
      <c r="N528" s="2" t="s">
        <v>43</v>
      </c>
      <c r="O528" s="2" t="s">
        <v>76</v>
      </c>
      <c r="P528" s="2" t="s">
        <v>76</v>
      </c>
      <c r="Q528" s="2">
        <v>1</v>
      </c>
      <c r="R528" s="2">
        <v>0</v>
      </c>
      <c r="S528" s="2">
        <v>3</v>
      </c>
      <c r="T528" s="2" t="s">
        <v>46</v>
      </c>
      <c r="U528" s="2" t="s">
        <v>46</v>
      </c>
      <c r="V528" s="2">
        <v>0</v>
      </c>
      <c r="W528" s="2" t="s">
        <v>38</v>
      </c>
      <c r="X528" s="2"/>
      <c r="Y528" s="2">
        <v>40</v>
      </c>
      <c r="Z528" s="2">
        <v>0</v>
      </c>
      <c r="AA528" s="2" t="s">
        <v>51</v>
      </c>
      <c r="AB528" s="2">
        <v>66</v>
      </c>
      <c r="AC528" s="2">
        <v>0</v>
      </c>
      <c r="AD528" s="2">
        <v>1</v>
      </c>
      <c r="AE528" s="2" t="s">
        <v>47</v>
      </c>
      <c r="AF528" s="3">
        <v>42425</v>
      </c>
    </row>
    <row r="529" spans="1:32" x14ac:dyDescent="0.25">
      <c r="A529" s="2" t="s">
        <v>32</v>
      </c>
      <c r="B529" s="2">
        <v>1</v>
      </c>
      <c r="C529" s="2">
        <v>96</v>
      </c>
      <c r="D529" s="2">
        <v>2016</v>
      </c>
      <c r="E529" s="2" t="s">
        <v>59</v>
      </c>
      <c r="F529" s="2">
        <v>42</v>
      </c>
      <c r="G529" s="2">
        <v>9</v>
      </c>
      <c r="H529" s="2">
        <v>2</v>
      </c>
      <c r="I529" s="2">
        <v>1</v>
      </c>
      <c r="J529" s="2">
        <v>2</v>
      </c>
      <c r="K529" s="2">
        <v>0</v>
      </c>
      <c r="L529" s="2">
        <v>0</v>
      </c>
      <c r="M529" s="2" t="s">
        <v>34</v>
      </c>
      <c r="N529" s="2" t="s">
        <v>43</v>
      </c>
      <c r="O529" s="2" t="s">
        <v>64</v>
      </c>
      <c r="P529" s="2" t="s">
        <v>76</v>
      </c>
      <c r="Q529" s="2">
        <v>0</v>
      </c>
      <c r="R529" s="2">
        <v>0</v>
      </c>
      <c r="S529" s="2">
        <v>0</v>
      </c>
      <c r="T529" s="2" t="s">
        <v>46</v>
      </c>
      <c r="U529" s="2" t="s">
        <v>46</v>
      </c>
      <c r="V529" s="2">
        <v>0</v>
      </c>
      <c r="W529" s="2" t="s">
        <v>38</v>
      </c>
      <c r="X529" s="2"/>
      <c r="Y529" s="2"/>
      <c r="Z529" s="2">
        <v>0</v>
      </c>
      <c r="AA529" s="2" t="s">
        <v>51</v>
      </c>
      <c r="AB529" s="2">
        <v>55</v>
      </c>
      <c r="AC529" s="2">
        <v>0</v>
      </c>
      <c r="AD529" s="2">
        <v>0</v>
      </c>
      <c r="AE529" s="2" t="s">
        <v>47</v>
      </c>
      <c r="AF529" s="3">
        <v>42620</v>
      </c>
    </row>
    <row r="530" spans="1:32" x14ac:dyDescent="0.25">
      <c r="A530" s="2" t="s">
        <v>41</v>
      </c>
      <c r="B530" s="2">
        <v>0</v>
      </c>
      <c r="C530" s="2">
        <v>40</v>
      </c>
      <c r="D530" s="2">
        <v>2016</v>
      </c>
      <c r="E530" s="2" t="s">
        <v>59</v>
      </c>
      <c r="F530" s="2">
        <v>42</v>
      </c>
      <c r="G530" s="2">
        <v>10</v>
      </c>
      <c r="H530" s="2">
        <v>1</v>
      </c>
      <c r="I530" s="2">
        <v>2</v>
      </c>
      <c r="J530" s="2">
        <v>2</v>
      </c>
      <c r="K530" s="2">
        <v>0</v>
      </c>
      <c r="L530" s="2">
        <v>0</v>
      </c>
      <c r="M530" s="2" t="s">
        <v>34</v>
      </c>
      <c r="N530" s="2" t="s">
        <v>78</v>
      </c>
      <c r="O530" s="2" t="s">
        <v>49</v>
      </c>
      <c r="P530" s="2" t="s">
        <v>45</v>
      </c>
      <c r="Q530" s="2">
        <v>0</v>
      </c>
      <c r="R530" s="2">
        <v>0</v>
      </c>
      <c r="S530" s="2">
        <v>0</v>
      </c>
      <c r="T530" s="2" t="s">
        <v>46</v>
      </c>
      <c r="U530" s="2" t="s">
        <v>46</v>
      </c>
      <c r="V530" s="2">
        <v>0</v>
      </c>
      <c r="W530" s="2" t="s">
        <v>38</v>
      </c>
      <c r="X530" s="2">
        <v>85</v>
      </c>
      <c r="Y530" s="2"/>
      <c r="Z530" s="2">
        <v>0</v>
      </c>
      <c r="AA530" s="2" t="s">
        <v>39</v>
      </c>
      <c r="AB530" s="2">
        <v>85.5</v>
      </c>
      <c r="AC530" s="2">
        <v>0</v>
      </c>
      <c r="AD530" s="2">
        <v>0</v>
      </c>
      <c r="AE530" s="2" t="s">
        <v>40</v>
      </c>
      <c r="AF530" s="3">
        <v>42656</v>
      </c>
    </row>
    <row r="531" spans="1:32" x14ac:dyDescent="0.25">
      <c r="A531" s="2" t="s">
        <v>41</v>
      </c>
      <c r="B531" s="2">
        <v>1</v>
      </c>
      <c r="C531" s="2">
        <v>437</v>
      </c>
      <c r="D531" s="2">
        <v>2016</v>
      </c>
      <c r="E531" s="2" t="s">
        <v>69</v>
      </c>
      <c r="F531" s="2">
        <v>19</v>
      </c>
      <c r="G531" s="2">
        <v>2</v>
      </c>
      <c r="H531" s="2">
        <v>1</v>
      </c>
      <c r="I531" s="2">
        <v>2</v>
      </c>
      <c r="J531" s="2">
        <v>2</v>
      </c>
      <c r="K531" s="2">
        <v>0</v>
      </c>
      <c r="L531" s="2">
        <v>0</v>
      </c>
      <c r="M531" s="2" t="s">
        <v>34</v>
      </c>
      <c r="N531" s="2" t="s">
        <v>43</v>
      </c>
      <c r="O531" s="2" t="s">
        <v>64</v>
      </c>
      <c r="P531" s="2" t="s">
        <v>45</v>
      </c>
      <c r="Q531" s="2">
        <v>0</v>
      </c>
      <c r="R531" s="2">
        <v>0</v>
      </c>
      <c r="S531" s="2">
        <v>0</v>
      </c>
      <c r="T531" s="2" t="s">
        <v>46</v>
      </c>
      <c r="U531" s="2" t="s">
        <v>46</v>
      </c>
      <c r="V531" s="2">
        <v>0</v>
      </c>
      <c r="W531" s="2" t="s">
        <v>68</v>
      </c>
      <c r="X531" s="2">
        <v>1</v>
      </c>
      <c r="Y531" s="2"/>
      <c r="Z531" s="2">
        <v>0</v>
      </c>
      <c r="AA531" s="2" t="s">
        <v>39</v>
      </c>
      <c r="AB531" s="2">
        <v>60</v>
      </c>
      <c r="AC531" s="2">
        <v>0</v>
      </c>
      <c r="AD531" s="2">
        <v>0</v>
      </c>
      <c r="AE531" s="2" t="s">
        <v>47</v>
      </c>
      <c r="AF531" s="3">
        <v>42443</v>
      </c>
    </row>
    <row r="532" spans="1:32" x14ac:dyDescent="0.25">
      <c r="A532" s="2" t="s">
        <v>41</v>
      </c>
      <c r="B532" s="2">
        <v>0</v>
      </c>
      <c r="C532" s="2">
        <v>41</v>
      </c>
      <c r="D532" s="2">
        <v>2016</v>
      </c>
      <c r="E532" s="2" t="s">
        <v>54</v>
      </c>
      <c r="F532" s="2">
        <v>16</v>
      </c>
      <c r="G532" s="2">
        <v>12</v>
      </c>
      <c r="H532" s="2">
        <v>0</v>
      </c>
      <c r="I532" s="2">
        <v>3</v>
      </c>
      <c r="J532" s="2">
        <v>2</v>
      </c>
      <c r="K532" s="2">
        <v>0</v>
      </c>
      <c r="L532" s="2">
        <v>0</v>
      </c>
      <c r="M532" s="2" t="s">
        <v>34</v>
      </c>
      <c r="N532" s="2" t="s">
        <v>70</v>
      </c>
      <c r="O532" s="2" t="s">
        <v>44</v>
      </c>
      <c r="P532" s="2" t="s">
        <v>45</v>
      </c>
      <c r="Q532" s="2">
        <v>0</v>
      </c>
      <c r="R532" s="2">
        <v>0</v>
      </c>
      <c r="S532" s="2">
        <v>0</v>
      </c>
      <c r="T532" s="2" t="s">
        <v>46</v>
      </c>
      <c r="U532" s="2" t="s">
        <v>46</v>
      </c>
      <c r="V532" s="2">
        <v>0</v>
      </c>
      <c r="W532" s="2" t="s">
        <v>38</v>
      </c>
      <c r="X532" s="2">
        <v>9</v>
      </c>
      <c r="Y532" s="2"/>
      <c r="Z532" s="2">
        <v>0</v>
      </c>
      <c r="AA532" s="2" t="s">
        <v>39</v>
      </c>
      <c r="AB532" s="2">
        <v>105.3</v>
      </c>
      <c r="AC532" s="2">
        <v>0</v>
      </c>
      <c r="AD532" s="2">
        <v>0</v>
      </c>
      <c r="AE532" s="2" t="s">
        <v>40</v>
      </c>
      <c r="AF532" s="3">
        <v>42475</v>
      </c>
    </row>
    <row r="533" spans="1:32" x14ac:dyDescent="0.25">
      <c r="A533" s="2" t="s">
        <v>41</v>
      </c>
      <c r="B533" s="2">
        <v>0</v>
      </c>
      <c r="C533" s="2">
        <v>56</v>
      </c>
      <c r="D533" s="2">
        <v>2016</v>
      </c>
      <c r="E533" s="2" t="s">
        <v>61</v>
      </c>
      <c r="F533" s="2">
        <v>46</v>
      </c>
      <c r="G533" s="2">
        <v>11</v>
      </c>
      <c r="H533" s="2">
        <v>2</v>
      </c>
      <c r="I533" s="2">
        <v>2</v>
      </c>
      <c r="J533" s="2">
        <v>2</v>
      </c>
      <c r="K533" s="2">
        <v>0</v>
      </c>
      <c r="L533" s="2">
        <v>0</v>
      </c>
      <c r="M533" s="2" t="s">
        <v>55</v>
      </c>
      <c r="N533" s="2" t="s">
        <v>63</v>
      </c>
      <c r="O533" s="2" t="s">
        <v>44</v>
      </c>
      <c r="P533" s="2" t="s">
        <v>45</v>
      </c>
      <c r="Q533" s="2">
        <v>0</v>
      </c>
      <c r="R533" s="2">
        <v>0</v>
      </c>
      <c r="S533" s="2">
        <v>0</v>
      </c>
      <c r="T533" s="2" t="s">
        <v>46</v>
      </c>
      <c r="U533" s="2" t="s">
        <v>46</v>
      </c>
      <c r="V533" s="2">
        <v>0</v>
      </c>
      <c r="W533" s="2" t="s">
        <v>38</v>
      </c>
      <c r="X533" s="2">
        <v>9</v>
      </c>
      <c r="Y533" s="2"/>
      <c r="Z533" s="2">
        <v>0</v>
      </c>
      <c r="AA533" s="2" t="s">
        <v>39</v>
      </c>
      <c r="AB533" s="2">
        <v>74.8</v>
      </c>
      <c r="AC533" s="2">
        <v>0</v>
      </c>
      <c r="AD533" s="2">
        <v>3</v>
      </c>
      <c r="AE533" s="2" t="s">
        <v>40</v>
      </c>
      <c r="AF533" s="3">
        <v>42689</v>
      </c>
    </row>
    <row r="534" spans="1:32" x14ac:dyDescent="0.25">
      <c r="A534" s="2" t="s">
        <v>41</v>
      </c>
      <c r="B534" s="2">
        <v>1</v>
      </c>
      <c r="C534" s="2">
        <v>1</v>
      </c>
      <c r="D534" s="2">
        <v>2016</v>
      </c>
      <c r="E534" s="2" t="s">
        <v>74</v>
      </c>
      <c r="F534" s="2">
        <v>4</v>
      </c>
      <c r="G534" s="2">
        <v>23</v>
      </c>
      <c r="H534" s="2">
        <v>2</v>
      </c>
      <c r="I534" s="2">
        <v>1</v>
      </c>
      <c r="J534" s="2">
        <v>2</v>
      </c>
      <c r="K534" s="2">
        <v>0</v>
      </c>
      <c r="L534" s="2">
        <v>0</v>
      </c>
      <c r="M534" s="2" t="s">
        <v>55</v>
      </c>
      <c r="N534" s="2" t="s">
        <v>97</v>
      </c>
      <c r="O534" s="2" t="s">
        <v>44</v>
      </c>
      <c r="P534" s="2" t="s">
        <v>45</v>
      </c>
      <c r="Q534" s="2">
        <v>0</v>
      </c>
      <c r="R534" s="2">
        <v>0</v>
      </c>
      <c r="S534" s="2">
        <v>0</v>
      </c>
      <c r="T534" s="2" t="s">
        <v>46</v>
      </c>
      <c r="U534" s="2" t="s">
        <v>46</v>
      </c>
      <c r="V534" s="2">
        <v>0</v>
      </c>
      <c r="W534" s="2" t="s">
        <v>38</v>
      </c>
      <c r="X534" s="2">
        <v>9</v>
      </c>
      <c r="Y534" s="2"/>
      <c r="Z534" s="2">
        <v>0</v>
      </c>
      <c r="AA534" s="2" t="s">
        <v>39</v>
      </c>
      <c r="AB534" s="2">
        <v>79</v>
      </c>
      <c r="AC534" s="2">
        <v>0</v>
      </c>
      <c r="AD534" s="2">
        <v>0</v>
      </c>
      <c r="AE534" s="2" t="s">
        <v>89</v>
      </c>
      <c r="AF534" s="3">
        <v>42392</v>
      </c>
    </row>
    <row r="535" spans="1:32" x14ac:dyDescent="0.25">
      <c r="A535" s="2" t="s">
        <v>32</v>
      </c>
      <c r="B535" s="2">
        <v>1</v>
      </c>
      <c r="C535" s="2">
        <v>209</v>
      </c>
      <c r="D535" s="2">
        <v>2016</v>
      </c>
      <c r="E535" s="2" t="s">
        <v>42</v>
      </c>
      <c r="F535" s="2">
        <v>28</v>
      </c>
      <c r="G535" s="2">
        <v>8</v>
      </c>
      <c r="H535" s="2">
        <v>2</v>
      </c>
      <c r="I535" s="2">
        <v>5</v>
      </c>
      <c r="J535" s="2">
        <v>2</v>
      </c>
      <c r="K535" s="2">
        <v>2</v>
      </c>
      <c r="L535" s="2">
        <v>0</v>
      </c>
      <c r="M535" s="2" t="s">
        <v>34</v>
      </c>
      <c r="N535" s="2" t="s">
        <v>43</v>
      </c>
      <c r="O535" s="2" t="s">
        <v>44</v>
      </c>
      <c r="P535" s="2" t="s">
        <v>45</v>
      </c>
      <c r="Q535" s="2">
        <v>0</v>
      </c>
      <c r="R535" s="2">
        <v>0</v>
      </c>
      <c r="S535" s="2">
        <v>0</v>
      </c>
      <c r="T535" s="2" t="s">
        <v>84</v>
      </c>
      <c r="U535" s="2" t="s">
        <v>84</v>
      </c>
      <c r="V535" s="2">
        <v>0</v>
      </c>
      <c r="W535" s="2" t="s">
        <v>38</v>
      </c>
      <c r="X535" s="2">
        <v>240</v>
      </c>
      <c r="Y535" s="2"/>
      <c r="Z535" s="2">
        <v>0</v>
      </c>
      <c r="AA535" s="2" t="s">
        <v>39</v>
      </c>
      <c r="AB535" s="2">
        <v>163</v>
      </c>
      <c r="AC535" s="2">
        <v>0</v>
      </c>
      <c r="AD535" s="2">
        <v>0</v>
      </c>
      <c r="AE535" s="2" t="s">
        <v>47</v>
      </c>
      <c r="AF535" s="3">
        <v>42461</v>
      </c>
    </row>
    <row r="536" spans="1:32" x14ac:dyDescent="0.25">
      <c r="A536" s="2" t="s">
        <v>41</v>
      </c>
      <c r="B536" s="2">
        <v>0</v>
      </c>
      <c r="C536" s="2">
        <v>113</v>
      </c>
      <c r="D536" s="2">
        <v>2016</v>
      </c>
      <c r="E536" s="2" t="s">
        <v>54</v>
      </c>
      <c r="F536" s="2">
        <v>16</v>
      </c>
      <c r="G536" s="2">
        <v>15</v>
      </c>
      <c r="H536" s="2">
        <v>0</v>
      </c>
      <c r="I536" s="2">
        <v>2</v>
      </c>
      <c r="J536" s="2">
        <v>2</v>
      </c>
      <c r="K536" s="2">
        <v>0</v>
      </c>
      <c r="L536" s="2">
        <v>0</v>
      </c>
      <c r="M536" s="2" t="s">
        <v>34</v>
      </c>
      <c r="N536" s="2" t="s">
        <v>70</v>
      </c>
      <c r="O536" s="2" t="s">
        <v>44</v>
      </c>
      <c r="P536" s="2" t="s">
        <v>45</v>
      </c>
      <c r="Q536" s="2">
        <v>0</v>
      </c>
      <c r="R536" s="2">
        <v>0</v>
      </c>
      <c r="S536" s="2">
        <v>0</v>
      </c>
      <c r="T536" s="2" t="s">
        <v>46</v>
      </c>
      <c r="U536" s="2" t="s">
        <v>46</v>
      </c>
      <c r="V536" s="2">
        <v>0</v>
      </c>
      <c r="W536" s="2" t="s">
        <v>38</v>
      </c>
      <c r="X536" s="2">
        <v>9</v>
      </c>
      <c r="Y536" s="2"/>
      <c r="Z536" s="2">
        <v>0</v>
      </c>
      <c r="AA536" s="2" t="s">
        <v>39</v>
      </c>
      <c r="AB536" s="2">
        <v>96.3</v>
      </c>
      <c r="AC536" s="2">
        <v>0</v>
      </c>
      <c r="AD536" s="2">
        <v>1</v>
      </c>
      <c r="AE536" s="2" t="s">
        <v>40</v>
      </c>
      <c r="AF536" s="3">
        <v>42477</v>
      </c>
    </row>
    <row r="537" spans="1:32" x14ac:dyDescent="0.25">
      <c r="A537" s="2" t="s">
        <v>41</v>
      </c>
      <c r="B537" s="2">
        <v>1</v>
      </c>
      <c r="C537" s="2">
        <v>405</v>
      </c>
      <c r="D537" s="2">
        <v>2016</v>
      </c>
      <c r="E537" s="2" t="s">
        <v>67</v>
      </c>
      <c r="F537" s="2">
        <v>34</v>
      </c>
      <c r="G537" s="2">
        <v>18</v>
      </c>
      <c r="H537" s="2">
        <v>0</v>
      </c>
      <c r="I537" s="2">
        <v>2</v>
      </c>
      <c r="J537" s="2">
        <v>2</v>
      </c>
      <c r="K537" s="2">
        <v>0</v>
      </c>
      <c r="L537" s="2">
        <v>0</v>
      </c>
      <c r="M537" s="2" t="s">
        <v>34</v>
      </c>
      <c r="N537" s="2" t="s">
        <v>43</v>
      </c>
      <c r="O537" s="2" t="s">
        <v>64</v>
      </c>
      <c r="P537" s="2" t="s">
        <v>45</v>
      </c>
      <c r="Q537" s="2">
        <v>0</v>
      </c>
      <c r="R537" s="2">
        <v>0</v>
      </c>
      <c r="S537" s="2">
        <v>0</v>
      </c>
      <c r="T537" s="2" t="s">
        <v>46</v>
      </c>
      <c r="U537" s="2" t="s">
        <v>46</v>
      </c>
      <c r="V537" s="2">
        <v>0</v>
      </c>
      <c r="W537" s="2" t="s">
        <v>68</v>
      </c>
      <c r="X537" s="2">
        <v>1</v>
      </c>
      <c r="Y537" s="2"/>
      <c r="Z537" s="2">
        <v>0</v>
      </c>
      <c r="AA537" s="2" t="s">
        <v>39</v>
      </c>
      <c r="AB537" s="2">
        <v>62</v>
      </c>
      <c r="AC537" s="2">
        <v>0</v>
      </c>
      <c r="AD537" s="2">
        <v>0</v>
      </c>
      <c r="AE537" s="2" t="s">
        <v>47</v>
      </c>
      <c r="AF537" s="3">
        <v>42298</v>
      </c>
    </row>
    <row r="538" spans="1:32" x14ac:dyDescent="0.25">
      <c r="A538" s="2" t="s">
        <v>32</v>
      </c>
      <c r="B538" s="2">
        <v>0</v>
      </c>
      <c r="C538" s="2">
        <v>128</v>
      </c>
      <c r="D538" s="2">
        <v>2016</v>
      </c>
      <c r="E538" s="2" t="s">
        <v>62</v>
      </c>
      <c r="F538" s="2">
        <v>40</v>
      </c>
      <c r="G538" s="2">
        <v>30</v>
      </c>
      <c r="H538" s="2">
        <v>2</v>
      </c>
      <c r="I538" s="2">
        <v>5</v>
      </c>
      <c r="J538" s="2">
        <v>2</v>
      </c>
      <c r="K538" s="2">
        <v>0</v>
      </c>
      <c r="L538" s="2">
        <v>0</v>
      </c>
      <c r="M538" s="2" t="s">
        <v>34</v>
      </c>
      <c r="N538" s="2" t="s">
        <v>95</v>
      </c>
      <c r="O538" s="2" t="s">
        <v>36</v>
      </c>
      <c r="P538" s="2" t="s">
        <v>36</v>
      </c>
      <c r="Q538" s="2">
        <v>0</v>
      </c>
      <c r="R538" s="2">
        <v>0</v>
      </c>
      <c r="S538" s="2">
        <v>0</v>
      </c>
      <c r="T538" s="2" t="s">
        <v>37</v>
      </c>
      <c r="U538" s="2" t="s">
        <v>37</v>
      </c>
      <c r="V538" s="2">
        <v>0</v>
      </c>
      <c r="W538" s="2" t="s">
        <v>38</v>
      </c>
      <c r="X538" s="2">
        <v>250</v>
      </c>
      <c r="Y538" s="2"/>
      <c r="Z538" s="2">
        <v>0</v>
      </c>
      <c r="AA538" s="2" t="s">
        <v>39</v>
      </c>
      <c r="AB538" s="2">
        <v>96.23</v>
      </c>
      <c r="AC538" s="2">
        <v>0</v>
      </c>
      <c r="AD538" s="2">
        <v>0</v>
      </c>
      <c r="AE538" s="2" t="s">
        <v>40</v>
      </c>
      <c r="AF538" s="3">
        <v>42650</v>
      </c>
    </row>
    <row r="539" spans="1:32" x14ac:dyDescent="0.25">
      <c r="A539" s="2" t="s">
        <v>32</v>
      </c>
      <c r="B539" s="2">
        <v>0</v>
      </c>
      <c r="C539" s="2">
        <v>0</v>
      </c>
      <c r="D539" s="2">
        <v>2016</v>
      </c>
      <c r="E539" s="2" t="s">
        <v>66</v>
      </c>
      <c r="F539" s="2">
        <v>7</v>
      </c>
      <c r="G539" s="2">
        <v>8</v>
      </c>
      <c r="H539" s="2">
        <v>1</v>
      </c>
      <c r="I539" s="2">
        <v>0</v>
      </c>
      <c r="J539" s="2">
        <v>2</v>
      </c>
      <c r="K539" s="2">
        <v>0</v>
      </c>
      <c r="L539" s="2">
        <v>0</v>
      </c>
      <c r="M539" s="2" t="s">
        <v>34</v>
      </c>
      <c r="N539" s="2" t="s">
        <v>63</v>
      </c>
      <c r="O539" s="2" t="s">
        <v>36</v>
      </c>
      <c r="P539" s="2" t="s">
        <v>36</v>
      </c>
      <c r="Q539" s="2">
        <v>0</v>
      </c>
      <c r="R539" s="2">
        <v>0</v>
      </c>
      <c r="S539" s="2">
        <v>0</v>
      </c>
      <c r="T539" s="2" t="s">
        <v>46</v>
      </c>
      <c r="U539" s="2" t="s">
        <v>46</v>
      </c>
      <c r="V539" s="2">
        <v>2</v>
      </c>
      <c r="W539" s="2" t="s">
        <v>38</v>
      </c>
      <c r="X539" s="2"/>
      <c r="Y539" s="2"/>
      <c r="Z539" s="2">
        <v>0</v>
      </c>
      <c r="AA539" s="2" t="s">
        <v>39</v>
      </c>
      <c r="AB539" s="2">
        <v>55</v>
      </c>
      <c r="AC539" s="2">
        <v>0</v>
      </c>
      <c r="AD539" s="2">
        <v>0</v>
      </c>
      <c r="AE539" s="2" t="s">
        <v>40</v>
      </c>
      <c r="AF539" s="3">
        <v>42409</v>
      </c>
    </row>
    <row r="540" spans="1:32" x14ac:dyDescent="0.25">
      <c r="A540" s="2" t="s">
        <v>41</v>
      </c>
      <c r="B540" s="2">
        <v>0</v>
      </c>
      <c r="C540" s="2">
        <v>19</v>
      </c>
      <c r="D540" s="2">
        <v>2016</v>
      </c>
      <c r="E540" s="2" t="s">
        <v>62</v>
      </c>
      <c r="F540" s="2">
        <v>38</v>
      </c>
      <c r="G540" s="2">
        <v>12</v>
      </c>
      <c r="H540" s="2">
        <v>1</v>
      </c>
      <c r="I540" s="2">
        <v>0</v>
      </c>
      <c r="J540" s="2">
        <v>2</v>
      </c>
      <c r="K540" s="2">
        <v>0</v>
      </c>
      <c r="L540" s="2">
        <v>0</v>
      </c>
      <c r="M540" s="2" t="s">
        <v>55</v>
      </c>
      <c r="N540" s="2" t="s">
        <v>103</v>
      </c>
      <c r="O540" s="2" t="s">
        <v>44</v>
      </c>
      <c r="P540" s="2" t="s">
        <v>45</v>
      </c>
      <c r="Q540" s="2">
        <v>0</v>
      </c>
      <c r="R540" s="2">
        <v>0</v>
      </c>
      <c r="S540" s="2">
        <v>0</v>
      </c>
      <c r="T540" s="2" t="s">
        <v>46</v>
      </c>
      <c r="U540" s="2" t="s">
        <v>46</v>
      </c>
      <c r="V540" s="2">
        <v>0</v>
      </c>
      <c r="W540" s="2" t="s">
        <v>38</v>
      </c>
      <c r="X540" s="2">
        <v>9</v>
      </c>
      <c r="Y540" s="2"/>
      <c r="Z540" s="2">
        <v>0</v>
      </c>
      <c r="AA540" s="2" t="s">
        <v>39</v>
      </c>
      <c r="AB540" s="2">
        <v>89</v>
      </c>
      <c r="AC540" s="2">
        <v>0</v>
      </c>
      <c r="AD540" s="2">
        <v>0</v>
      </c>
      <c r="AE540" s="2" t="s">
        <v>40</v>
      </c>
      <c r="AF540" s="3">
        <v>42626</v>
      </c>
    </row>
    <row r="541" spans="1:32" x14ac:dyDescent="0.25">
      <c r="A541" s="2" t="s">
        <v>32</v>
      </c>
      <c r="B541" s="2">
        <v>1</v>
      </c>
      <c r="C541" s="2">
        <v>134</v>
      </c>
      <c r="D541" s="2">
        <v>2016</v>
      </c>
      <c r="E541" s="2" t="s">
        <v>67</v>
      </c>
      <c r="F541" s="2">
        <v>34</v>
      </c>
      <c r="G541" s="2">
        <v>17</v>
      </c>
      <c r="H541" s="2">
        <v>2</v>
      </c>
      <c r="I541" s="2">
        <v>4</v>
      </c>
      <c r="J541" s="2">
        <v>3</v>
      </c>
      <c r="K541" s="2">
        <v>0</v>
      </c>
      <c r="L541" s="2">
        <v>0</v>
      </c>
      <c r="M541" s="2" t="s">
        <v>60</v>
      </c>
      <c r="N541" s="2" t="s">
        <v>63</v>
      </c>
      <c r="O541" s="2" t="s">
        <v>44</v>
      </c>
      <c r="P541" s="2" t="s">
        <v>45</v>
      </c>
      <c r="Q541" s="2">
        <v>0</v>
      </c>
      <c r="R541" s="2">
        <v>0</v>
      </c>
      <c r="S541" s="2">
        <v>0</v>
      </c>
      <c r="T541" s="2" t="s">
        <v>46</v>
      </c>
      <c r="U541" s="2" t="s">
        <v>46</v>
      </c>
      <c r="V541" s="2">
        <v>1</v>
      </c>
      <c r="W541" s="2" t="s">
        <v>38</v>
      </c>
      <c r="X541" s="2">
        <v>240</v>
      </c>
      <c r="Y541" s="2"/>
      <c r="Z541" s="2">
        <v>0</v>
      </c>
      <c r="AA541" s="2" t="s">
        <v>39</v>
      </c>
      <c r="AB541" s="2">
        <v>274</v>
      </c>
      <c r="AC541" s="2">
        <v>0</v>
      </c>
      <c r="AD541" s="2">
        <v>0</v>
      </c>
      <c r="AE541" s="2" t="s">
        <v>47</v>
      </c>
      <c r="AF541" s="3">
        <v>42551</v>
      </c>
    </row>
    <row r="542" spans="1:32" x14ac:dyDescent="0.25">
      <c r="A542" s="2" t="s">
        <v>32</v>
      </c>
      <c r="B542" s="2">
        <v>0</v>
      </c>
      <c r="C542" s="2">
        <v>5</v>
      </c>
      <c r="D542" s="2">
        <v>2016</v>
      </c>
      <c r="E542" s="2" t="s">
        <v>62</v>
      </c>
      <c r="F542" s="2">
        <v>36</v>
      </c>
      <c r="G542" s="2">
        <v>3</v>
      </c>
      <c r="H542" s="2">
        <v>2</v>
      </c>
      <c r="I542" s="2">
        <v>2</v>
      </c>
      <c r="J542" s="2">
        <v>2</v>
      </c>
      <c r="K542" s="2">
        <v>0</v>
      </c>
      <c r="L542" s="2">
        <v>0</v>
      </c>
      <c r="M542" s="2" t="s">
        <v>34</v>
      </c>
      <c r="N542" s="2" t="s">
        <v>95</v>
      </c>
      <c r="O542" s="2" t="s">
        <v>36</v>
      </c>
      <c r="P542" s="2" t="s">
        <v>36</v>
      </c>
      <c r="Q542" s="2">
        <v>0</v>
      </c>
      <c r="R542" s="2">
        <v>0</v>
      </c>
      <c r="S542" s="2">
        <v>0</v>
      </c>
      <c r="T542" s="2" t="s">
        <v>37</v>
      </c>
      <c r="U542" s="2" t="s">
        <v>37</v>
      </c>
      <c r="V542" s="2">
        <v>0</v>
      </c>
      <c r="W542" s="2" t="s">
        <v>38</v>
      </c>
      <c r="X542" s="2">
        <v>250</v>
      </c>
      <c r="Y542" s="2"/>
      <c r="Z542" s="2">
        <v>0</v>
      </c>
      <c r="AA542" s="2" t="s">
        <v>39</v>
      </c>
      <c r="AB542" s="2">
        <v>170.1</v>
      </c>
      <c r="AC542" s="2">
        <v>0</v>
      </c>
      <c r="AD542" s="2">
        <v>0</v>
      </c>
      <c r="AE542" s="2" t="s">
        <v>40</v>
      </c>
      <c r="AF542" s="3">
        <v>42620</v>
      </c>
    </row>
    <row r="543" spans="1:32" x14ac:dyDescent="0.25">
      <c r="A543" s="2" t="s">
        <v>32</v>
      </c>
      <c r="B543" s="2">
        <v>0</v>
      </c>
      <c r="C543" s="2">
        <v>0</v>
      </c>
      <c r="D543" s="2">
        <v>2016</v>
      </c>
      <c r="E543" s="2" t="s">
        <v>61</v>
      </c>
      <c r="F543" s="2">
        <v>46</v>
      </c>
      <c r="G543" s="2">
        <v>11</v>
      </c>
      <c r="H543" s="2">
        <v>0</v>
      </c>
      <c r="I543" s="2">
        <v>1</v>
      </c>
      <c r="J543" s="2">
        <v>2</v>
      </c>
      <c r="K543" s="2">
        <v>0</v>
      </c>
      <c r="L543" s="2">
        <v>0</v>
      </c>
      <c r="M543" s="2" t="s">
        <v>34</v>
      </c>
      <c r="N543" s="2" t="s">
        <v>43</v>
      </c>
      <c r="O543" s="2" t="s">
        <v>36</v>
      </c>
      <c r="P543" s="2" t="s">
        <v>36</v>
      </c>
      <c r="Q543" s="2">
        <v>0</v>
      </c>
      <c r="R543" s="2">
        <v>0</v>
      </c>
      <c r="S543" s="2">
        <v>0</v>
      </c>
      <c r="T543" s="2" t="s">
        <v>72</v>
      </c>
      <c r="U543" s="2" t="s">
        <v>72</v>
      </c>
      <c r="V543" s="2">
        <v>0</v>
      </c>
      <c r="W543" s="2" t="s">
        <v>38</v>
      </c>
      <c r="X543" s="2"/>
      <c r="Y543" s="2"/>
      <c r="Z543" s="2">
        <v>0</v>
      </c>
      <c r="AA543" s="2" t="s">
        <v>39</v>
      </c>
      <c r="AB543" s="2">
        <v>85</v>
      </c>
      <c r="AC543" s="2">
        <v>0</v>
      </c>
      <c r="AD543" s="2">
        <v>0</v>
      </c>
      <c r="AE543" s="2" t="s">
        <v>40</v>
      </c>
      <c r="AF543" s="3">
        <v>42686</v>
      </c>
    </row>
    <row r="544" spans="1:32" x14ac:dyDescent="0.25">
      <c r="A544" s="2" t="s">
        <v>41</v>
      </c>
      <c r="B544" s="2">
        <v>1</v>
      </c>
      <c r="C544" s="2">
        <v>283</v>
      </c>
      <c r="D544" s="2">
        <v>2016</v>
      </c>
      <c r="E544" s="2" t="s">
        <v>59</v>
      </c>
      <c r="F544" s="2">
        <v>43</v>
      </c>
      <c r="G544" s="2">
        <v>16</v>
      </c>
      <c r="H544" s="2">
        <v>2</v>
      </c>
      <c r="I544" s="2">
        <v>0</v>
      </c>
      <c r="J544" s="2">
        <v>2</v>
      </c>
      <c r="K544" s="2">
        <v>0</v>
      </c>
      <c r="L544" s="2">
        <v>0</v>
      </c>
      <c r="M544" s="2" t="s">
        <v>60</v>
      </c>
      <c r="N544" s="2" t="s">
        <v>43</v>
      </c>
      <c r="O544" s="2" t="s">
        <v>64</v>
      </c>
      <c r="P544" s="2" t="s">
        <v>45</v>
      </c>
      <c r="Q544" s="2">
        <v>0</v>
      </c>
      <c r="R544" s="2">
        <v>0</v>
      </c>
      <c r="S544" s="2">
        <v>0</v>
      </c>
      <c r="T544" s="2" t="s">
        <v>46</v>
      </c>
      <c r="U544" s="2" t="s">
        <v>46</v>
      </c>
      <c r="V544" s="2">
        <v>0</v>
      </c>
      <c r="W544" s="2" t="s">
        <v>68</v>
      </c>
      <c r="X544" s="2">
        <v>1</v>
      </c>
      <c r="Y544" s="2"/>
      <c r="Z544" s="2">
        <v>0</v>
      </c>
      <c r="AA544" s="2" t="s">
        <v>39</v>
      </c>
      <c r="AB544" s="2">
        <v>96</v>
      </c>
      <c r="AC544" s="2">
        <v>0</v>
      </c>
      <c r="AD544" s="2">
        <v>0</v>
      </c>
      <c r="AE544" s="2" t="s">
        <v>47</v>
      </c>
      <c r="AF544" s="3">
        <v>42409</v>
      </c>
    </row>
    <row r="545" spans="1:32" x14ac:dyDescent="0.25">
      <c r="A545" s="2" t="s">
        <v>32</v>
      </c>
      <c r="B545" s="2">
        <v>0</v>
      </c>
      <c r="C545" s="2">
        <v>204</v>
      </c>
      <c r="D545" s="2">
        <v>2016</v>
      </c>
      <c r="E545" s="2" t="s">
        <v>67</v>
      </c>
      <c r="F545" s="2">
        <v>32</v>
      </c>
      <c r="G545" s="2">
        <v>5</v>
      </c>
      <c r="H545" s="2">
        <v>2</v>
      </c>
      <c r="I545" s="2">
        <v>4</v>
      </c>
      <c r="J545" s="2">
        <v>2</v>
      </c>
      <c r="K545" s="2">
        <v>0</v>
      </c>
      <c r="L545" s="2">
        <v>0</v>
      </c>
      <c r="M545" s="2" t="s">
        <v>34</v>
      </c>
      <c r="N545" s="2" t="s">
        <v>103</v>
      </c>
      <c r="O545" s="2" t="s">
        <v>44</v>
      </c>
      <c r="P545" s="2" t="s">
        <v>45</v>
      </c>
      <c r="Q545" s="2">
        <v>0</v>
      </c>
      <c r="R545" s="2">
        <v>0</v>
      </c>
      <c r="S545" s="2">
        <v>0</v>
      </c>
      <c r="T545" s="2" t="s">
        <v>72</v>
      </c>
      <c r="U545" s="2" t="s">
        <v>37</v>
      </c>
      <c r="V545" s="2">
        <v>0</v>
      </c>
      <c r="W545" s="2" t="s">
        <v>38</v>
      </c>
      <c r="X545" s="2">
        <v>242</v>
      </c>
      <c r="Y545" s="2"/>
      <c r="Z545" s="2">
        <v>0</v>
      </c>
      <c r="AA545" s="2" t="s">
        <v>39</v>
      </c>
      <c r="AB545" s="2">
        <v>159.5</v>
      </c>
      <c r="AC545" s="2">
        <v>0</v>
      </c>
      <c r="AD545" s="2">
        <v>2</v>
      </c>
      <c r="AE545" s="2" t="s">
        <v>40</v>
      </c>
      <c r="AF545" s="3">
        <v>42593</v>
      </c>
    </row>
    <row r="546" spans="1:32" x14ac:dyDescent="0.25">
      <c r="A546" s="2" t="s">
        <v>32</v>
      </c>
      <c r="B546" s="2">
        <v>0</v>
      </c>
      <c r="C546" s="2">
        <v>1</v>
      </c>
      <c r="D546" s="2">
        <v>2016</v>
      </c>
      <c r="E546" s="2" t="s">
        <v>54</v>
      </c>
      <c r="F546" s="2">
        <v>18</v>
      </c>
      <c r="G546" s="2">
        <v>29</v>
      </c>
      <c r="H546" s="2">
        <v>0</v>
      </c>
      <c r="I546" s="2">
        <v>2</v>
      </c>
      <c r="J546" s="2">
        <v>2</v>
      </c>
      <c r="K546" s="2">
        <v>0</v>
      </c>
      <c r="L546" s="2">
        <v>0</v>
      </c>
      <c r="M546" s="2" t="s">
        <v>34</v>
      </c>
      <c r="N546" s="2" t="s">
        <v>43</v>
      </c>
      <c r="O546" s="2" t="s">
        <v>76</v>
      </c>
      <c r="P546" s="2" t="s">
        <v>76</v>
      </c>
      <c r="Q546" s="2">
        <v>1</v>
      </c>
      <c r="R546" s="2">
        <v>0</v>
      </c>
      <c r="S546" s="2">
        <v>1</v>
      </c>
      <c r="T546" s="2" t="s">
        <v>57</v>
      </c>
      <c r="U546" s="2" t="s">
        <v>57</v>
      </c>
      <c r="V546" s="2">
        <v>0</v>
      </c>
      <c r="W546" s="2" t="s">
        <v>38</v>
      </c>
      <c r="X546" s="2"/>
      <c r="Y546" s="2">
        <v>402</v>
      </c>
      <c r="Z546" s="2">
        <v>0</v>
      </c>
      <c r="AA546" s="2" t="s">
        <v>39</v>
      </c>
      <c r="AB546" s="2">
        <v>72.5</v>
      </c>
      <c r="AC546" s="2">
        <v>0</v>
      </c>
      <c r="AD546" s="2">
        <v>0</v>
      </c>
      <c r="AE546" s="2" t="s">
        <v>40</v>
      </c>
      <c r="AF546" s="3">
        <v>42491</v>
      </c>
    </row>
    <row r="547" spans="1:32" x14ac:dyDescent="0.25">
      <c r="A547" s="2" t="s">
        <v>41</v>
      </c>
      <c r="B547" s="2">
        <v>0</v>
      </c>
      <c r="C547" s="2">
        <v>0</v>
      </c>
      <c r="D547" s="2">
        <v>2016</v>
      </c>
      <c r="E547" s="2" t="s">
        <v>33</v>
      </c>
      <c r="F547" s="2">
        <v>49</v>
      </c>
      <c r="G547" s="2">
        <v>1</v>
      </c>
      <c r="H547" s="2">
        <v>0</v>
      </c>
      <c r="I547" s="2">
        <v>2</v>
      </c>
      <c r="J547" s="2">
        <v>1</v>
      </c>
      <c r="K547" s="2">
        <v>0</v>
      </c>
      <c r="L547" s="2">
        <v>0</v>
      </c>
      <c r="M547" s="2" t="s">
        <v>34</v>
      </c>
      <c r="N547" s="2" t="s">
        <v>70</v>
      </c>
      <c r="O547" s="2" t="s">
        <v>44</v>
      </c>
      <c r="P547" s="2" t="s">
        <v>45</v>
      </c>
      <c r="Q547" s="2">
        <v>0</v>
      </c>
      <c r="R547" s="2">
        <v>0</v>
      </c>
      <c r="S547" s="2">
        <v>0</v>
      </c>
      <c r="T547" s="2" t="s">
        <v>46</v>
      </c>
      <c r="U547" s="2" t="s">
        <v>46</v>
      </c>
      <c r="V547" s="2">
        <v>0</v>
      </c>
      <c r="W547" s="2" t="s">
        <v>38</v>
      </c>
      <c r="X547" s="2">
        <v>9</v>
      </c>
      <c r="Y547" s="2"/>
      <c r="Z547" s="2">
        <v>0</v>
      </c>
      <c r="AA547" s="2" t="s">
        <v>39</v>
      </c>
      <c r="AB547" s="2">
        <v>96</v>
      </c>
      <c r="AC547" s="2">
        <v>0</v>
      </c>
      <c r="AD547" s="2">
        <v>1</v>
      </c>
      <c r="AE547" s="2" t="s">
        <v>40</v>
      </c>
      <c r="AF547" s="3">
        <v>42707</v>
      </c>
    </row>
    <row r="548" spans="1:32" x14ac:dyDescent="0.25">
      <c r="A548" s="2" t="s">
        <v>32</v>
      </c>
      <c r="B548" s="2">
        <v>0</v>
      </c>
      <c r="C548" s="2">
        <v>5</v>
      </c>
      <c r="D548" s="2">
        <v>2016</v>
      </c>
      <c r="E548" s="2" t="s">
        <v>66</v>
      </c>
      <c r="F548" s="2">
        <v>7</v>
      </c>
      <c r="G548" s="2">
        <v>8</v>
      </c>
      <c r="H548" s="2">
        <v>6</v>
      </c>
      <c r="I548" s="2">
        <v>15</v>
      </c>
      <c r="J548" s="2">
        <v>2</v>
      </c>
      <c r="K548" s="2">
        <v>0</v>
      </c>
      <c r="L548" s="2">
        <v>0</v>
      </c>
      <c r="M548" s="2" t="s">
        <v>77</v>
      </c>
      <c r="N548" s="2" t="s">
        <v>70</v>
      </c>
      <c r="O548" s="2" t="s">
        <v>49</v>
      </c>
      <c r="P548" s="2" t="s">
        <v>45</v>
      </c>
      <c r="Q548" s="2">
        <v>0</v>
      </c>
      <c r="R548" s="2">
        <v>0</v>
      </c>
      <c r="S548" s="2">
        <v>0</v>
      </c>
      <c r="T548" s="2" t="s">
        <v>46</v>
      </c>
      <c r="U548" s="2" t="s">
        <v>72</v>
      </c>
      <c r="V548" s="2">
        <v>1</v>
      </c>
      <c r="W548" s="2" t="s">
        <v>38</v>
      </c>
      <c r="X548" s="2">
        <v>363</v>
      </c>
      <c r="Y548" s="2"/>
      <c r="Z548" s="2">
        <v>0</v>
      </c>
      <c r="AA548" s="2" t="s">
        <v>39</v>
      </c>
      <c r="AB548" s="2">
        <v>75.81</v>
      </c>
      <c r="AC548" s="2">
        <v>1</v>
      </c>
      <c r="AD548" s="2">
        <v>0</v>
      </c>
      <c r="AE548" s="2" t="s">
        <v>40</v>
      </c>
      <c r="AF548" s="3">
        <v>42429</v>
      </c>
    </row>
    <row r="549" spans="1:32" x14ac:dyDescent="0.25">
      <c r="A549" s="2" t="s">
        <v>41</v>
      </c>
      <c r="B549" s="2">
        <v>0</v>
      </c>
      <c r="C549" s="2">
        <v>104</v>
      </c>
      <c r="D549" s="2">
        <v>2016</v>
      </c>
      <c r="E549" s="2" t="s">
        <v>69</v>
      </c>
      <c r="F549" s="2">
        <v>20</v>
      </c>
      <c r="G549" s="2">
        <v>14</v>
      </c>
      <c r="H549" s="2">
        <v>2</v>
      </c>
      <c r="I549" s="2">
        <v>1</v>
      </c>
      <c r="J549" s="2">
        <v>3</v>
      </c>
      <c r="K549" s="2">
        <v>0</v>
      </c>
      <c r="L549" s="2">
        <v>0</v>
      </c>
      <c r="M549" s="2" t="s">
        <v>34</v>
      </c>
      <c r="N549" s="2" t="s">
        <v>70</v>
      </c>
      <c r="O549" s="2" t="s">
        <v>44</v>
      </c>
      <c r="P549" s="2" t="s">
        <v>45</v>
      </c>
      <c r="Q549" s="2">
        <v>0</v>
      </c>
      <c r="R549" s="2">
        <v>0</v>
      </c>
      <c r="S549" s="2">
        <v>0</v>
      </c>
      <c r="T549" s="2" t="s">
        <v>57</v>
      </c>
      <c r="U549" s="2" t="s">
        <v>57</v>
      </c>
      <c r="V549" s="2">
        <v>0</v>
      </c>
      <c r="W549" s="2" t="s">
        <v>38</v>
      </c>
      <c r="X549" s="2">
        <v>9</v>
      </c>
      <c r="Y549" s="2"/>
      <c r="Z549" s="2">
        <v>0</v>
      </c>
      <c r="AA549" s="2" t="s">
        <v>51</v>
      </c>
      <c r="AB549" s="2">
        <v>159.30000000000001</v>
      </c>
      <c r="AC549" s="2">
        <v>0</v>
      </c>
      <c r="AD549" s="2">
        <v>2</v>
      </c>
      <c r="AE549" s="2" t="s">
        <v>40</v>
      </c>
      <c r="AF549" s="3">
        <v>42507</v>
      </c>
    </row>
    <row r="550" spans="1:32" x14ac:dyDescent="0.25">
      <c r="A550" s="2" t="s">
        <v>41</v>
      </c>
      <c r="B550" s="2">
        <v>1</v>
      </c>
      <c r="C550" s="2">
        <v>265</v>
      </c>
      <c r="D550" s="2">
        <v>2016</v>
      </c>
      <c r="E550" s="2" t="s">
        <v>61</v>
      </c>
      <c r="F550" s="2">
        <v>48</v>
      </c>
      <c r="G550" s="2">
        <v>20</v>
      </c>
      <c r="H550" s="2">
        <v>2</v>
      </c>
      <c r="I550" s="2">
        <v>1</v>
      </c>
      <c r="J550" s="2">
        <v>2</v>
      </c>
      <c r="K550" s="2">
        <v>0</v>
      </c>
      <c r="L550" s="2">
        <v>0</v>
      </c>
      <c r="M550" s="2" t="s">
        <v>34</v>
      </c>
      <c r="N550" s="2" t="s">
        <v>35</v>
      </c>
      <c r="O550" s="2" t="s">
        <v>44</v>
      </c>
      <c r="P550" s="2" t="s">
        <v>45</v>
      </c>
      <c r="Q550" s="2">
        <v>0</v>
      </c>
      <c r="R550" s="2">
        <v>0</v>
      </c>
      <c r="S550" s="2">
        <v>0</v>
      </c>
      <c r="T550" s="2" t="s">
        <v>46</v>
      </c>
      <c r="U550" s="2" t="s">
        <v>46</v>
      </c>
      <c r="V550" s="2">
        <v>0</v>
      </c>
      <c r="W550" s="2" t="s">
        <v>38</v>
      </c>
      <c r="X550" s="2">
        <v>9</v>
      </c>
      <c r="Y550" s="2"/>
      <c r="Z550" s="2">
        <v>0</v>
      </c>
      <c r="AA550" s="2" t="s">
        <v>39</v>
      </c>
      <c r="AB550" s="2">
        <v>78.3</v>
      </c>
      <c r="AC550" s="2">
        <v>0</v>
      </c>
      <c r="AD550" s="2">
        <v>2</v>
      </c>
      <c r="AE550" s="2" t="s">
        <v>47</v>
      </c>
      <c r="AF550" s="3">
        <v>42636</v>
      </c>
    </row>
    <row r="551" spans="1:32" x14ac:dyDescent="0.25">
      <c r="A551" s="2" t="s">
        <v>41</v>
      </c>
      <c r="B551" s="2">
        <v>1</v>
      </c>
      <c r="C551" s="2">
        <v>305</v>
      </c>
      <c r="D551" s="2">
        <v>2016</v>
      </c>
      <c r="E551" s="2" t="s">
        <v>61</v>
      </c>
      <c r="F551" s="2">
        <v>45</v>
      </c>
      <c r="G551" s="2">
        <v>4</v>
      </c>
      <c r="H551" s="2">
        <v>1</v>
      </c>
      <c r="I551" s="2">
        <v>2</v>
      </c>
      <c r="J551" s="2">
        <v>2</v>
      </c>
      <c r="K551" s="2">
        <v>0</v>
      </c>
      <c r="L551" s="2">
        <v>0</v>
      </c>
      <c r="M551" s="2" t="s">
        <v>34</v>
      </c>
      <c r="N551" s="2" t="s">
        <v>43</v>
      </c>
      <c r="O551" s="2" t="s">
        <v>49</v>
      </c>
      <c r="P551" s="2" t="s">
        <v>45</v>
      </c>
      <c r="Q551" s="2">
        <v>0</v>
      </c>
      <c r="R551" s="2">
        <v>0</v>
      </c>
      <c r="S551" s="2">
        <v>0</v>
      </c>
      <c r="T551" s="2" t="s">
        <v>46</v>
      </c>
      <c r="U551" s="2" t="s">
        <v>46</v>
      </c>
      <c r="V551" s="2">
        <v>0</v>
      </c>
      <c r="W551" s="2" t="s">
        <v>68</v>
      </c>
      <c r="X551" s="2">
        <v>21</v>
      </c>
      <c r="Y551" s="2"/>
      <c r="Z551" s="2">
        <v>0</v>
      </c>
      <c r="AA551" s="2" t="s">
        <v>39</v>
      </c>
      <c r="AB551" s="2">
        <v>89</v>
      </c>
      <c r="AC551" s="2">
        <v>0</v>
      </c>
      <c r="AD551" s="2">
        <v>0</v>
      </c>
      <c r="AE551" s="2" t="s">
        <v>47</v>
      </c>
      <c r="AF551" s="3">
        <v>42401</v>
      </c>
    </row>
    <row r="552" spans="1:32" x14ac:dyDescent="0.25">
      <c r="A552" s="2" t="s">
        <v>32</v>
      </c>
      <c r="B552" s="2">
        <v>0</v>
      </c>
      <c r="C552" s="2">
        <v>336</v>
      </c>
      <c r="D552" s="2">
        <v>2016</v>
      </c>
      <c r="E552" s="2" t="s">
        <v>62</v>
      </c>
      <c r="F552" s="2">
        <v>38</v>
      </c>
      <c r="G552" s="2">
        <v>15</v>
      </c>
      <c r="H552" s="2">
        <v>1</v>
      </c>
      <c r="I552" s="2">
        <v>3</v>
      </c>
      <c r="J552" s="2">
        <v>2</v>
      </c>
      <c r="K552" s="2">
        <v>0</v>
      </c>
      <c r="L552" s="2">
        <v>0</v>
      </c>
      <c r="M552" s="2" t="s">
        <v>34</v>
      </c>
      <c r="N552" s="2" t="s">
        <v>35</v>
      </c>
      <c r="O552" s="2" t="s">
        <v>64</v>
      </c>
      <c r="P552" s="2" t="s">
        <v>36</v>
      </c>
      <c r="Q552" s="2">
        <v>0</v>
      </c>
      <c r="R552" s="2">
        <v>0</v>
      </c>
      <c r="S552" s="2">
        <v>0</v>
      </c>
      <c r="T552" s="2" t="s">
        <v>46</v>
      </c>
      <c r="U552" s="2" t="s">
        <v>46</v>
      </c>
      <c r="V552" s="2">
        <v>1</v>
      </c>
      <c r="W552" s="2" t="s">
        <v>38</v>
      </c>
      <c r="X552" s="2"/>
      <c r="Y552" s="2">
        <v>223</v>
      </c>
      <c r="Z552" s="2">
        <v>0</v>
      </c>
      <c r="AA552" s="2" t="s">
        <v>51</v>
      </c>
      <c r="AB552" s="2">
        <v>73.5</v>
      </c>
      <c r="AC552" s="2">
        <v>1</v>
      </c>
      <c r="AD552" s="2">
        <v>0</v>
      </c>
      <c r="AE552" s="2" t="s">
        <v>40</v>
      </c>
      <c r="AF552" s="3">
        <v>42632</v>
      </c>
    </row>
    <row r="553" spans="1:32" x14ac:dyDescent="0.25">
      <c r="A553" s="2" t="s">
        <v>41</v>
      </c>
      <c r="B553" s="2">
        <v>0</v>
      </c>
      <c r="C553" s="2">
        <v>188</v>
      </c>
      <c r="D553" s="2">
        <v>2016</v>
      </c>
      <c r="E553" s="2" t="s">
        <v>67</v>
      </c>
      <c r="F553" s="2">
        <v>33</v>
      </c>
      <c r="G553" s="2">
        <v>8</v>
      </c>
      <c r="H553" s="2">
        <v>1</v>
      </c>
      <c r="I553" s="2">
        <v>1</v>
      </c>
      <c r="J553" s="2">
        <v>2</v>
      </c>
      <c r="K553" s="2">
        <v>1</v>
      </c>
      <c r="L553" s="2">
        <v>0</v>
      </c>
      <c r="M553" s="2" t="s">
        <v>60</v>
      </c>
      <c r="N553" s="2" t="s">
        <v>106</v>
      </c>
      <c r="O553" s="2" t="s">
        <v>44</v>
      </c>
      <c r="P553" s="2" t="s">
        <v>45</v>
      </c>
      <c r="Q553" s="2">
        <v>0</v>
      </c>
      <c r="R553" s="2">
        <v>0</v>
      </c>
      <c r="S553" s="2">
        <v>0</v>
      </c>
      <c r="T553" s="2" t="s">
        <v>46</v>
      </c>
      <c r="U553" s="2" t="s">
        <v>46</v>
      </c>
      <c r="V553" s="2">
        <v>1</v>
      </c>
      <c r="W553" s="2" t="s">
        <v>38</v>
      </c>
      <c r="X553" s="2">
        <v>9</v>
      </c>
      <c r="Y553" s="2"/>
      <c r="Z553" s="2">
        <v>0</v>
      </c>
      <c r="AA553" s="2" t="s">
        <v>39</v>
      </c>
      <c r="AB553" s="2">
        <v>164.25</v>
      </c>
      <c r="AC553" s="2">
        <v>0</v>
      </c>
      <c r="AD553" s="2">
        <v>1</v>
      </c>
      <c r="AE553" s="2" t="s">
        <v>40</v>
      </c>
      <c r="AF553" s="3">
        <v>42592</v>
      </c>
    </row>
    <row r="554" spans="1:32" x14ac:dyDescent="0.25">
      <c r="A554" s="2" t="s">
        <v>41</v>
      </c>
      <c r="B554" s="2">
        <v>0</v>
      </c>
      <c r="C554" s="2">
        <v>175</v>
      </c>
      <c r="D554" s="2">
        <v>2016</v>
      </c>
      <c r="E554" s="2" t="s">
        <v>42</v>
      </c>
      <c r="F554" s="2">
        <v>29</v>
      </c>
      <c r="G554" s="2">
        <v>10</v>
      </c>
      <c r="H554" s="2">
        <v>4</v>
      </c>
      <c r="I554" s="2">
        <v>6</v>
      </c>
      <c r="J554" s="2">
        <v>2</v>
      </c>
      <c r="K554" s="2">
        <v>0</v>
      </c>
      <c r="L554" s="2">
        <v>0</v>
      </c>
      <c r="M554" s="2" t="s">
        <v>34</v>
      </c>
      <c r="N554" s="2" t="s">
        <v>98</v>
      </c>
      <c r="O554" s="2" t="s">
        <v>44</v>
      </c>
      <c r="P554" s="2" t="s">
        <v>45</v>
      </c>
      <c r="Q554" s="2">
        <v>0</v>
      </c>
      <c r="R554" s="2">
        <v>0</v>
      </c>
      <c r="S554" s="2">
        <v>0</v>
      </c>
      <c r="T554" s="2" t="s">
        <v>57</v>
      </c>
      <c r="U554" s="2" t="s">
        <v>57</v>
      </c>
      <c r="V554" s="2">
        <v>0</v>
      </c>
      <c r="W554" s="2" t="s">
        <v>38</v>
      </c>
      <c r="X554" s="2">
        <v>8</v>
      </c>
      <c r="Y554" s="2"/>
      <c r="Z554" s="2">
        <v>0</v>
      </c>
      <c r="AA554" s="2" t="s">
        <v>39</v>
      </c>
      <c r="AB554" s="2">
        <v>99.45</v>
      </c>
      <c r="AC554" s="2">
        <v>0</v>
      </c>
      <c r="AD554" s="2">
        <v>1</v>
      </c>
      <c r="AE554" s="2" t="s">
        <v>40</v>
      </c>
      <c r="AF554" s="3">
        <v>42571</v>
      </c>
    </row>
    <row r="555" spans="1:32" x14ac:dyDescent="0.25">
      <c r="A555" s="2" t="s">
        <v>41</v>
      </c>
      <c r="B555" s="2">
        <v>1</v>
      </c>
      <c r="C555" s="2">
        <v>194</v>
      </c>
      <c r="D555" s="2">
        <v>2016</v>
      </c>
      <c r="E555" s="2" t="s">
        <v>42</v>
      </c>
      <c r="F555" s="2">
        <v>28</v>
      </c>
      <c r="G555" s="2">
        <v>9</v>
      </c>
      <c r="H555" s="2">
        <v>2</v>
      </c>
      <c r="I555" s="2">
        <v>1</v>
      </c>
      <c r="J555" s="2">
        <v>0</v>
      </c>
      <c r="K555" s="2">
        <v>2</v>
      </c>
      <c r="L555" s="2">
        <v>0</v>
      </c>
      <c r="M555" s="2" t="s">
        <v>34</v>
      </c>
      <c r="N555" s="2" t="s">
        <v>78</v>
      </c>
      <c r="O555" s="2" t="s">
        <v>44</v>
      </c>
      <c r="P555" s="2" t="s">
        <v>45</v>
      </c>
      <c r="Q555" s="2">
        <v>0</v>
      </c>
      <c r="R555" s="2">
        <v>0</v>
      </c>
      <c r="S555" s="2">
        <v>0</v>
      </c>
      <c r="T555" s="2" t="s">
        <v>86</v>
      </c>
      <c r="U555" s="2" t="s">
        <v>86</v>
      </c>
      <c r="V555" s="2">
        <v>1</v>
      </c>
      <c r="W555" s="2" t="s">
        <v>38</v>
      </c>
      <c r="X555" s="2">
        <v>9</v>
      </c>
      <c r="Y555" s="2"/>
      <c r="Z555" s="2">
        <v>0</v>
      </c>
      <c r="AA555" s="2" t="s">
        <v>39</v>
      </c>
      <c r="AB555" s="2">
        <v>86.63</v>
      </c>
      <c r="AC555" s="2">
        <v>0</v>
      </c>
      <c r="AD555" s="2">
        <v>0</v>
      </c>
      <c r="AE555" s="2" t="s">
        <v>47</v>
      </c>
      <c r="AF555" s="3">
        <v>42368</v>
      </c>
    </row>
    <row r="556" spans="1:32" x14ac:dyDescent="0.25">
      <c r="A556" s="2" t="s">
        <v>41</v>
      </c>
      <c r="B556" s="2">
        <v>0</v>
      </c>
      <c r="C556" s="2">
        <v>18</v>
      </c>
      <c r="D556" s="2">
        <v>2016</v>
      </c>
      <c r="E556" s="2" t="s">
        <v>83</v>
      </c>
      <c r="F556" s="2">
        <v>25</v>
      </c>
      <c r="G556" s="2">
        <v>13</v>
      </c>
      <c r="H556" s="2">
        <v>1</v>
      </c>
      <c r="I556" s="2">
        <v>0</v>
      </c>
      <c r="J556" s="2">
        <v>2</v>
      </c>
      <c r="K556" s="2">
        <v>0</v>
      </c>
      <c r="L556" s="2">
        <v>0</v>
      </c>
      <c r="M556" s="2" t="s">
        <v>34</v>
      </c>
      <c r="N556" s="2" t="s">
        <v>43</v>
      </c>
      <c r="O556" s="2" t="s">
        <v>44</v>
      </c>
      <c r="P556" s="2" t="s">
        <v>45</v>
      </c>
      <c r="Q556" s="2">
        <v>0</v>
      </c>
      <c r="R556" s="2">
        <v>0</v>
      </c>
      <c r="S556" s="2">
        <v>0</v>
      </c>
      <c r="T556" s="2" t="s">
        <v>57</v>
      </c>
      <c r="U556" s="2" t="s">
        <v>46</v>
      </c>
      <c r="V556" s="2">
        <v>0</v>
      </c>
      <c r="W556" s="2" t="s">
        <v>38</v>
      </c>
      <c r="X556" s="2">
        <v>7</v>
      </c>
      <c r="Y556" s="2"/>
      <c r="Z556" s="2">
        <v>0</v>
      </c>
      <c r="AA556" s="2" t="s">
        <v>39</v>
      </c>
      <c r="AB556" s="2">
        <v>97.02</v>
      </c>
      <c r="AC556" s="2">
        <v>0</v>
      </c>
      <c r="AD556" s="2">
        <v>0</v>
      </c>
      <c r="AE556" s="2" t="s">
        <v>40</v>
      </c>
      <c r="AF556" s="3">
        <v>42535</v>
      </c>
    </row>
    <row r="557" spans="1:32" x14ac:dyDescent="0.25">
      <c r="A557" s="2" t="s">
        <v>41</v>
      </c>
      <c r="B557" s="2">
        <v>0</v>
      </c>
      <c r="C557" s="2">
        <v>2</v>
      </c>
      <c r="D557" s="2">
        <v>2016</v>
      </c>
      <c r="E557" s="2" t="s">
        <v>69</v>
      </c>
      <c r="F557" s="2">
        <v>19</v>
      </c>
      <c r="G557" s="2">
        <v>4</v>
      </c>
      <c r="H557" s="2">
        <v>0</v>
      </c>
      <c r="I557" s="2">
        <v>1</v>
      </c>
      <c r="J557" s="2">
        <v>1</v>
      </c>
      <c r="K557" s="2">
        <v>0</v>
      </c>
      <c r="L557" s="2">
        <v>0</v>
      </c>
      <c r="M557" s="2" t="s">
        <v>34</v>
      </c>
      <c r="N557" s="2" t="s">
        <v>43</v>
      </c>
      <c r="O557" s="2" t="s">
        <v>102</v>
      </c>
      <c r="P557" s="2" t="s">
        <v>76</v>
      </c>
      <c r="Q557" s="2">
        <v>0</v>
      </c>
      <c r="R557" s="2">
        <v>0</v>
      </c>
      <c r="S557" s="2">
        <v>0</v>
      </c>
      <c r="T557" s="2" t="s">
        <v>46</v>
      </c>
      <c r="U557" s="2" t="s">
        <v>46</v>
      </c>
      <c r="V557" s="2">
        <v>0</v>
      </c>
      <c r="W557" s="2" t="s">
        <v>38</v>
      </c>
      <c r="X557" s="2"/>
      <c r="Y557" s="2">
        <v>153</v>
      </c>
      <c r="Z557" s="2">
        <v>0</v>
      </c>
      <c r="AA557" s="2" t="s">
        <v>39</v>
      </c>
      <c r="AB557" s="2">
        <v>95</v>
      </c>
      <c r="AC557" s="2">
        <v>0</v>
      </c>
      <c r="AD557" s="2">
        <v>0</v>
      </c>
      <c r="AE557" s="2" t="s">
        <v>40</v>
      </c>
      <c r="AF557" s="3">
        <v>42495</v>
      </c>
    </row>
    <row r="558" spans="1:32" x14ac:dyDescent="0.25">
      <c r="A558" s="2" t="s">
        <v>41</v>
      </c>
      <c r="B558" s="2">
        <v>0</v>
      </c>
      <c r="C558" s="2">
        <v>2</v>
      </c>
      <c r="D558" s="2">
        <v>2016</v>
      </c>
      <c r="E558" s="2" t="s">
        <v>42</v>
      </c>
      <c r="F558" s="2">
        <v>29</v>
      </c>
      <c r="G558" s="2">
        <v>11</v>
      </c>
      <c r="H558" s="2">
        <v>1</v>
      </c>
      <c r="I558" s="2">
        <v>2</v>
      </c>
      <c r="J558" s="2">
        <v>1</v>
      </c>
      <c r="K558" s="2">
        <v>0</v>
      </c>
      <c r="L558" s="2">
        <v>0</v>
      </c>
      <c r="M558" s="2" t="s">
        <v>34</v>
      </c>
      <c r="N558" s="2" t="s">
        <v>43</v>
      </c>
      <c r="O558" s="2" t="s">
        <v>116</v>
      </c>
      <c r="P558" s="2" t="s">
        <v>76</v>
      </c>
      <c r="Q558" s="2">
        <v>1</v>
      </c>
      <c r="R558" s="2">
        <v>2</v>
      </c>
      <c r="S558" s="2">
        <v>6</v>
      </c>
      <c r="T558" s="2" t="s">
        <v>46</v>
      </c>
      <c r="U558" s="2" t="s">
        <v>46</v>
      </c>
      <c r="V558" s="2">
        <v>0</v>
      </c>
      <c r="W558" s="2" t="s">
        <v>38</v>
      </c>
      <c r="X558" s="2"/>
      <c r="Y558" s="2">
        <v>45</v>
      </c>
      <c r="Z558" s="2">
        <v>0</v>
      </c>
      <c r="AA558" s="2" t="s">
        <v>39</v>
      </c>
      <c r="AB558" s="2">
        <v>0</v>
      </c>
      <c r="AC558" s="2">
        <v>0</v>
      </c>
      <c r="AD558" s="2">
        <v>1</v>
      </c>
      <c r="AE558" s="2" t="s">
        <v>40</v>
      </c>
      <c r="AF558" s="3">
        <v>42565</v>
      </c>
    </row>
    <row r="559" spans="1:32" x14ac:dyDescent="0.25">
      <c r="A559" s="2" t="s">
        <v>41</v>
      </c>
      <c r="B559" s="2">
        <v>1</v>
      </c>
      <c r="C559" s="2">
        <v>181</v>
      </c>
      <c r="D559" s="2">
        <v>2016</v>
      </c>
      <c r="E559" s="2" t="s">
        <v>59</v>
      </c>
      <c r="F559" s="2">
        <v>42</v>
      </c>
      <c r="G559" s="2">
        <v>11</v>
      </c>
      <c r="H559" s="2">
        <v>0</v>
      </c>
      <c r="I559" s="2">
        <v>2</v>
      </c>
      <c r="J559" s="2">
        <v>1</v>
      </c>
      <c r="K559" s="2">
        <v>0</v>
      </c>
      <c r="L559" s="2">
        <v>0</v>
      </c>
      <c r="M559" s="2" t="s">
        <v>34</v>
      </c>
      <c r="N559" s="2" t="s">
        <v>43</v>
      </c>
      <c r="O559" s="2" t="s">
        <v>49</v>
      </c>
      <c r="P559" s="2" t="s">
        <v>45</v>
      </c>
      <c r="Q559" s="2">
        <v>0</v>
      </c>
      <c r="R559" s="2">
        <v>0</v>
      </c>
      <c r="S559" s="2">
        <v>0</v>
      </c>
      <c r="T559" s="2" t="s">
        <v>46</v>
      </c>
      <c r="U559" s="2" t="s">
        <v>46</v>
      </c>
      <c r="V559" s="2">
        <v>0</v>
      </c>
      <c r="W559" s="2" t="s">
        <v>38</v>
      </c>
      <c r="X559" s="2">
        <v>234</v>
      </c>
      <c r="Y559" s="2"/>
      <c r="Z559" s="2">
        <v>0</v>
      </c>
      <c r="AA559" s="2" t="s">
        <v>51</v>
      </c>
      <c r="AB559" s="2">
        <v>120</v>
      </c>
      <c r="AC559" s="2">
        <v>0</v>
      </c>
      <c r="AD559" s="2">
        <v>0</v>
      </c>
      <c r="AE559" s="2" t="s">
        <v>89</v>
      </c>
      <c r="AF559" s="3">
        <v>42654</v>
      </c>
    </row>
    <row r="560" spans="1:32" x14ac:dyDescent="0.25">
      <c r="A560" s="2" t="s">
        <v>41</v>
      </c>
      <c r="B560" s="2">
        <v>0</v>
      </c>
      <c r="C560" s="2">
        <v>1</v>
      </c>
      <c r="D560" s="2">
        <v>2016</v>
      </c>
      <c r="E560" s="2" t="s">
        <v>61</v>
      </c>
      <c r="F560" s="2">
        <v>48</v>
      </c>
      <c r="G560" s="2">
        <v>22</v>
      </c>
      <c r="H560" s="2">
        <v>0</v>
      </c>
      <c r="I560" s="2">
        <v>3</v>
      </c>
      <c r="J560" s="2">
        <v>2</v>
      </c>
      <c r="K560" s="2">
        <v>0</v>
      </c>
      <c r="L560" s="2">
        <v>0</v>
      </c>
      <c r="M560" s="2" t="s">
        <v>55</v>
      </c>
      <c r="N560" s="2" t="s">
        <v>88</v>
      </c>
      <c r="O560" s="2" t="s">
        <v>44</v>
      </c>
      <c r="P560" s="2" t="s">
        <v>45</v>
      </c>
      <c r="Q560" s="2">
        <v>0</v>
      </c>
      <c r="R560" s="2">
        <v>0</v>
      </c>
      <c r="S560" s="2">
        <v>0</v>
      </c>
      <c r="T560" s="2" t="s">
        <v>57</v>
      </c>
      <c r="U560" s="2" t="s">
        <v>72</v>
      </c>
      <c r="V560" s="2">
        <v>0</v>
      </c>
      <c r="W560" s="2" t="s">
        <v>38</v>
      </c>
      <c r="X560" s="2">
        <v>9</v>
      </c>
      <c r="Y560" s="2"/>
      <c r="Z560" s="2">
        <v>0</v>
      </c>
      <c r="AA560" s="2" t="s">
        <v>39</v>
      </c>
      <c r="AB560" s="2">
        <v>100</v>
      </c>
      <c r="AC560" s="2">
        <v>0</v>
      </c>
      <c r="AD560" s="2">
        <v>1</v>
      </c>
      <c r="AE560" s="2" t="s">
        <v>40</v>
      </c>
      <c r="AF560" s="3">
        <v>42699</v>
      </c>
    </row>
    <row r="561" spans="1:32" x14ac:dyDescent="0.25">
      <c r="A561" s="2" t="s">
        <v>41</v>
      </c>
      <c r="B561" s="2">
        <v>0</v>
      </c>
      <c r="C561" s="2">
        <v>12</v>
      </c>
      <c r="D561" s="2">
        <v>2016</v>
      </c>
      <c r="E561" s="2" t="s">
        <v>59</v>
      </c>
      <c r="F561" s="2">
        <v>44</v>
      </c>
      <c r="G561" s="2">
        <v>25</v>
      </c>
      <c r="H561" s="2">
        <v>0</v>
      </c>
      <c r="I561" s="2">
        <v>3</v>
      </c>
      <c r="J561" s="2">
        <v>1</v>
      </c>
      <c r="K561" s="2">
        <v>0</v>
      </c>
      <c r="L561" s="2">
        <v>0</v>
      </c>
      <c r="M561" s="2" t="s">
        <v>34</v>
      </c>
      <c r="N561" s="2" t="s">
        <v>125</v>
      </c>
      <c r="O561" s="2" t="s">
        <v>44</v>
      </c>
      <c r="P561" s="2" t="s">
        <v>45</v>
      </c>
      <c r="Q561" s="2">
        <v>0</v>
      </c>
      <c r="R561" s="2">
        <v>0</v>
      </c>
      <c r="S561" s="2">
        <v>0</v>
      </c>
      <c r="T561" s="2" t="s">
        <v>46</v>
      </c>
      <c r="U561" s="2" t="s">
        <v>46</v>
      </c>
      <c r="V561" s="2">
        <v>0</v>
      </c>
      <c r="W561" s="2" t="s">
        <v>38</v>
      </c>
      <c r="X561" s="2">
        <v>9</v>
      </c>
      <c r="Y561" s="2"/>
      <c r="Z561" s="2">
        <v>0</v>
      </c>
      <c r="AA561" s="2" t="s">
        <v>39</v>
      </c>
      <c r="AB561" s="2">
        <v>130</v>
      </c>
      <c r="AC561" s="2">
        <v>0</v>
      </c>
      <c r="AD561" s="2">
        <v>2</v>
      </c>
      <c r="AE561" s="2" t="s">
        <v>40</v>
      </c>
      <c r="AF561" s="3">
        <v>42671</v>
      </c>
    </row>
    <row r="562" spans="1:32" x14ac:dyDescent="0.25">
      <c r="A562" s="2" t="s">
        <v>41</v>
      </c>
      <c r="B562" s="2">
        <v>1</v>
      </c>
      <c r="C562" s="2">
        <v>125</v>
      </c>
      <c r="D562" s="2">
        <v>2016</v>
      </c>
      <c r="E562" s="2" t="s">
        <v>67</v>
      </c>
      <c r="F562" s="2">
        <v>33</v>
      </c>
      <c r="G562" s="2">
        <v>8</v>
      </c>
      <c r="H562" s="2">
        <v>1</v>
      </c>
      <c r="I562" s="2">
        <v>4</v>
      </c>
      <c r="J562" s="2">
        <v>2</v>
      </c>
      <c r="K562" s="2">
        <v>0</v>
      </c>
      <c r="L562" s="2">
        <v>0</v>
      </c>
      <c r="M562" s="2" t="s">
        <v>34</v>
      </c>
      <c r="N562" s="2" t="s">
        <v>70</v>
      </c>
      <c r="O562" s="2" t="s">
        <v>44</v>
      </c>
      <c r="P562" s="2" t="s">
        <v>45</v>
      </c>
      <c r="Q562" s="2">
        <v>0</v>
      </c>
      <c r="R562" s="2">
        <v>0</v>
      </c>
      <c r="S562" s="2">
        <v>0</v>
      </c>
      <c r="T562" s="2" t="s">
        <v>46</v>
      </c>
      <c r="U562" s="2" t="s">
        <v>46</v>
      </c>
      <c r="V562" s="2">
        <v>0</v>
      </c>
      <c r="W562" s="2" t="s">
        <v>38</v>
      </c>
      <c r="X562" s="2">
        <v>9</v>
      </c>
      <c r="Y562" s="2"/>
      <c r="Z562" s="2">
        <v>0</v>
      </c>
      <c r="AA562" s="2" t="s">
        <v>39</v>
      </c>
      <c r="AB562" s="2">
        <v>114.3</v>
      </c>
      <c r="AC562" s="2">
        <v>0</v>
      </c>
      <c r="AD562" s="2">
        <v>0</v>
      </c>
      <c r="AE562" s="2" t="s">
        <v>47</v>
      </c>
      <c r="AF562" s="3">
        <v>42465</v>
      </c>
    </row>
    <row r="563" spans="1:32" x14ac:dyDescent="0.25">
      <c r="A563" s="2" t="s">
        <v>41</v>
      </c>
      <c r="B563" s="2">
        <v>0</v>
      </c>
      <c r="C563" s="2">
        <v>42</v>
      </c>
      <c r="D563" s="2">
        <v>2016</v>
      </c>
      <c r="E563" s="2" t="s">
        <v>52</v>
      </c>
      <c r="F563" s="2">
        <v>11</v>
      </c>
      <c r="G563" s="2">
        <v>11</v>
      </c>
      <c r="H563" s="2">
        <v>0</v>
      </c>
      <c r="I563" s="2">
        <v>2</v>
      </c>
      <c r="J563" s="2">
        <v>2</v>
      </c>
      <c r="K563" s="2">
        <v>0</v>
      </c>
      <c r="L563" s="2">
        <v>0</v>
      </c>
      <c r="M563" s="2" t="s">
        <v>34</v>
      </c>
      <c r="N563" s="2" t="s">
        <v>65</v>
      </c>
      <c r="O563" s="2" t="s">
        <v>44</v>
      </c>
      <c r="P563" s="2" t="s">
        <v>45</v>
      </c>
      <c r="Q563" s="2">
        <v>0</v>
      </c>
      <c r="R563" s="2">
        <v>0</v>
      </c>
      <c r="S563" s="2">
        <v>0</v>
      </c>
      <c r="T563" s="2" t="s">
        <v>46</v>
      </c>
      <c r="U563" s="2" t="s">
        <v>46</v>
      </c>
      <c r="V563" s="2">
        <v>0</v>
      </c>
      <c r="W563" s="2" t="s">
        <v>38</v>
      </c>
      <c r="X563" s="2">
        <v>9</v>
      </c>
      <c r="Y563" s="2"/>
      <c r="Z563" s="2">
        <v>0</v>
      </c>
      <c r="AA563" s="2" t="s">
        <v>39</v>
      </c>
      <c r="AB563" s="2">
        <v>81.900000000000006</v>
      </c>
      <c r="AC563" s="2">
        <v>0</v>
      </c>
      <c r="AD563" s="2">
        <v>0</v>
      </c>
      <c r="AE563" s="2" t="s">
        <v>40</v>
      </c>
      <c r="AF563" s="3">
        <v>42442</v>
      </c>
    </row>
    <row r="564" spans="1:32" x14ac:dyDescent="0.25">
      <c r="A564" s="2" t="s">
        <v>41</v>
      </c>
      <c r="B564" s="2">
        <v>1</v>
      </c>
      <c r="C564" s="2">
        <v>188</v>
      </c>
      <c r="D564" s="2">
        <v>2016</v>
      </c>
      <c r="E564" s="2" t="s">
        <v>83</v>
      </c>
      <c r="F564" s="2">
        <v>25</v>
      </c>
      <c r="G564" s="2">
        <v>15</v>
      </c>
      <c r="H564" s="2">
        <v>0</v>
      </c>
      <c r="I564" s="2">
        <v>2</v>
      </c>
      <c r="J564" s="2">
        <v>1</v>
      </c>
      <c r="K564" s="2">
        <v>0</v>
      </c>
      <c r="L564" s="2">
        <v>0</v>
      </c>
      <c r="M564" s="2" t="s">
        <v>34</v>
      </c>
      <c r="N564" s="2" t="s">
        <v>43</v>
      </c>
      <c r="O564" s="2" t="s">
        <v>49</v>
      </c>
      <c r="P564" s="2" t="s">
        <v>45</v>
      </c>
      <c r="Q564" s="2">
        <v>0</v>
      </c>
      <c r="R564" s="2">
        <v>0</v>
      </c>
      <c r="S564" s="2">
        <v>0</v>
      </c>
      <c r="T564" s="2" t="s">
        <v>46</v>
      </c>
      <c r="U564" s="2" t="s">
        <v>46</v>
      </c>
      <c r="V564" s="2">
        <v>0</v>
      </c>
      <c r="W564" s="2" t="s">
        <v>68</v>
      </c>
      <c r="X564" s="2">
        <v>119</v>
      </c>
      <c r="Y564" s="2"/>
      <c r="Z564" s="2">
        <v>39</v>
      </c>
      <c r="AA564" s="2" t="s">
        <v>39</v>
      </c>
      <c r="AB564" s="2">
        <v>130</v>
      </c>
      <c r="AC564" s="2">
        <v>0</v>
      </c>
      <c r="AD564" s="2">
        <v>0</v>
      </c>
      <c r="AE564" s="2" t="s">
        <v>47</v>
      </c>
      <c r="AF564" s="3">
        <v>42387</v>
      </c>
    </row>
    <row r="565" spans="1:32" x14ac:dyDescent="0.25">
      <c r="A565" s="2" t="s">
        <v>41</v>
      </c>
      <c r="B565" s="2">
        <v>0</v>
      </c>
      <c r="C565" s="2">
        <v>42</v>
      </c>
      <c r="D565" s="2">
        <v>2016</v>
      </c>
      <c r="E565" s="2" t="s">
        <v>54</v>
      </c>
      <c r="F565" s="2">
        <v>14</v>
      </c>
      <c r="G565" s="2">
        <v>2</v>
      </c>
      <c r="H565" s="2">
        <v>0</v>
      </c>
      <c r="I565" s="2">
        <v>1</v>
      </c>
      <c r="J565" s="2">
        <v>2</v>
      </c>
      <c r="K565" s="2">
        <v>0</v>
      </c>
      <c r="L565" s="2">
        <v>0</v>
      </c>
      <c r="M565" s="2" t="s">
        <v>34</v>
      </c>
      <c r="N565" s="2" t="s">
        <v>88</v>
      </c>
      <c r="O565" s="2" t="s">
        <v>44</v>
      </c>
      <c r="P565" s="2" t="s">
        <v>45</v>
      </c>
      <c r="Q565" s="2">
        <v>0</v>
      </c>
      <c r="R565" s="2">
        <v>0</v>
      </c>
      <c r="S565" s="2">
        <v>0</v>
      </c>
      <c r="T565" s="2" t="s">
        <v>46</v>
      </c>
      <c r="U565" s="2" t="s">
        <v>57</v>
      </c>
      <c r="V565" s="2">
        <v>0</v>
      </c>
      <c r="W565" s="2" t="s">
        <v>38</v>
      </c>
      <c r="X565" s="2">
        <v>9</v>
      </c>
      <c r="Y565" s="2"/>
      <c r="Z565" s="2">
        <v>0</v>
      </c>
      <c r="AA565" s="2" t="s">
        <v>39</v>
      </c>
      <c r="AB565" s="2">
        <v>117.9</v>
      </c>
      <c r="AC565" s="2">
        <v>0</v>
      </c>
      <c r="AD565" s="2">
        <v>0</v>
      </c>
      <c r="AE565" s="2" t="s">
        <v>40</v>
      </c>
      <c r="AF565" s="3">
        <v>42463</v>
      </c>
    </row>
    <row r="566" spans="1:32" x14ac:dyDescent="0.25">
      <c r="A566" s="2" t="s">
        <v>32</v>
      </c>
      <c r="B566" s="2">
        <v>0</v>
      </c>
      <c r="C566" s="2">
        <v>18</v>
      </c>
      <c r="D566" s="2">
        <v>2016</v>
      </c>
      <c r="E566" s="2" t="s">
        <v>42</v>
      </c>
      <c r="F566" s="2">
        <v>27</v>
      </c>
      <c r="G566" s="2">
        <v>1</v>
      </c>
      <c r="H566" s="2">
        <v>1</v>
      </c>
      <c r="I566" s="2">
        <v>2</v>
      </c>
      <c r="J566" s="2">
        <v>2</v>
      </c>
      <c r="K566" s="2">
        <v>0</v>
      </c>
      <c r="L566" s="2">
        <v>0</v>
      </c>
      <c r="M566" s="2" t="s">
        <v>34</v>
      </c>
      <c r="N566" s="2" t="s">
        <v>56</v>
      </c>
      <c r="O566" s="2" t="s">
        <v>44</v>
      </c>
      <c r="P566" s="2" t="s">
        <v>45</v>
      </c>
      <c r="Q566" s="2">
        <v>0</v>
      </c>
      <c r="R566" s="2">
        <v>0</v>
      </c>
      <c r="S566" s="2">
        <v>0</v>
      </c>
      <c r="T566" s="2" t="s">
        <v>46</v>
      </c>
      <c r="U566" s="2" t="s">
        <v>46</v>
      </c>
      <c r="V566" s="2">
        <v>0</v>
      </c>
      <c r="W566" s="2" t="s">
        <v>38</v>
      </c>
      <c r="X566" s="2">
        <v>240</v>
      </c>
      <c r="Y566" s="2"/>
      <c r="Z566" s="2">
        <v>0</v>
      </c>
      <c r="AA566" s="2" t="s">
        <v>39</v>
      </c>
      <c r="AB566" s="2">
        <v>129</v>
      </c>
      <c r="AC566" s="2">
        <v>0</v>
      </c>
      <c r="AD566" s="2">
        <v>1</v>
      </c>
      <c r="AE566" s="2" t="s">
        <v>40</v>
      </c>
      <c r="AF566" s="3">
        <v>42555</v>
      </c>
    </row>
    <row r="567" spans="1:32" x14ac:dyDescent="0.25">
      <c r="A567" s="2" t="s">
        <v>41</v>
      </c>
      <c r="B567" s="2">
        <v>1</v>
      </c>
      <c r="C567" s="2">
        <v>205</v>
      </c>
      <c r="D567" s="2">
        <v>2016</v>
      </c>
      <c r="E567" s="2" t="s">
        <v>67</v>
      </c>
      <c r="F567" s="2">
        <v>32</v>
      </c>
      <c r="G567" s="2">
        <v>4</v>
      </c>
      <c r="H567" s="2">
        <v>1</v>
      </c>
      <c r="I567" s="2">
        <v>3</v>
      </c>
      <c r="J567" s="2">
        <v>2</v>
      </c>
      <c r="K567" s="2">
        <v>0</v>
      </c>
      <c r="L567" s="2">
        <v>0</v>
      </c>
      <c r="M567" s="2" t="s">
        <v>55</v>
      </c>
      <c r="N567" s="2" t="s">
        <v>43</v>
      </c>
      <c r="O567" s="2" t="s">
        <v>44</v>
      </c>
      <c r="P567" s="2" t="s">
        <v>45</v>
      </c>
      <c r="Q567" s="2">
        <v>0</v>
      </c>
      <c r="R567" s="2">
        <v>0</v>
      </c>
      <c r="S567" s="2">
        <v>0</v>
      </c>
      <c r="T567" s="2" t="s">
        <v>46</v>
      </c>
      <c r="U567" s="2" t="s">
        <v>46</v>
      </c>
      <c r="V567" s="2">
        <v>2</v>
      </c>
      <c r="W567" s="2" t="s">
        <v>38</v>
      </c>
      <c r="X567" s="2">
        <v>7</v>
      </c>
      <c r="Y567" s="2"/>
      <c r="Z567" s="2">
        <v>0</v>
      </c>
      <c r="AA567" s="2" t="s">
        <v>39</v>
      </c>
      <c r="AB567" s="2">
        <v>80.75</v>
      </c>
      <c r="AC567" s="2">
        <v>0</v>
      </c>
      <c r="AD567" s="2">
        <v>0</v>
      </c>
      <c r="AE567" s="2" t="s">
        <v>47</v>
      </c>
      <c r="AF567" s="3">
        <v>42383</v>
      </c>
    </row>
    <row r="568" spans="1:32" x14ac:dyDescent="0.25">
      <c r="A568" s="2" t="s">
        <v>41</v>
      </c>
      <c r="B568" s="2">
        <v>0</v>
      </c>
      <c r="C568" s="2">
        <v>67</v>
      </c>
      <c r="D568" s="2">
        <v>2016</v>
      </c>
      <c r="E568" s="2" t="s">
        <v>54</v>
      </c>
      <c r="F568" s="2">
        <v>18</v>
      </c>
      <c r="G568" s="2">
        <v>30</v>
      </c>
      <c r="H568" s="2">
        <v>1</v>
      </c>
      <c r="I568" s="2">
        <v>1</v>
      </c>
      <c r="J568" s="2">
        <v>3</v>
      </c>
      <c r="K568" s="2">
        <v>0</v>
      </c>
      <c r="L568" s="2">
        <v>0</v>
      </c>
      <c r="M568" s="2" t="s">
        <v>60</v>
      </c>
      <c r="N568" s="2" t="s">
        <v>63</v>
      </c>
      <c r="O568" s="2" t="s">
        <v>44</v>
      </c>
      <c r="P568" s="2" t="s">
        <v>45</v>
      </c>
      <c r="Q568" s="2">
        <v>0</v>
      </c>
      <c r="R568" s="2">
        <v>0</v>
      </c>
      <c r="S568" s="2">
        <v>0</v>
      </c>
      <c r="T568" s="2" t="s">
        <v>57</v>
      </c>
      <c r="U568" s="2" t="s">
        <v>57</v>
      </c>
      <c r="V568" s="2">
        <v>1</v>
      </c>
      <c r="W568" s="2" t="s">
        <v>38</v>
      </c>
      <c r="X568" s="2">
        <v>9</v>
      </c>
      <c r="Y568" s="2"/>
      <c r="Z568" s="2">
        <v>0</v>
      </c>
      <c r="AA568" s="2" t="s">
        <v>39</v>
      </c>
      <c r="AB568" s="2">
        <v>219.6</v>
      </c>
      <c r="AC568" s="2">
        <v>1</v>
      </c>
      <c r="AD568" s="2">
        <v>2</v>
      </c>
      <c r="AE568" s="2" t="s">
        <v>40</v>
      </c>
      <c r="AF568" s="3">
        <v>42492</v>
      </c>
    </row>
    <row r="569" spans="1:32" x14ac:dyDescent="0.25">
      <c r="A569" s="2" t="s">
        <v>32</v>
      </c>
      <c r="B569" s="2">
        <v>1</v>
      </c>
      <c r="C569" s="2">
        <v>138</v>
      </c>
      <c r="D569" s="2">
        <v>2016</v>
      </c>
      <c r="E569" s="2" t="s">
        <v>54</v>
      </c>
      <c r="F569" s="2">
        <v>18</v>
      </c>
      <c r="G569" s="2">
        <v>25</v>
      </c>
      <c r="H569" s="2">
        <v>1</v>
      </c>
      <c r="I569" s="2">
        <v>2</v>
      </c>
      <c r="J569" s="2">
        <v>2</v>
      </c>
      <c r="K569" s="2">
        <v>0</v>
      </c>
      <c r="L569" s="2">
        <v>0</v>
      </c>
      <c r="M569" s="2" t="s">
        <v>34</v>
      </c>
      <c r="N569" s="2" t="s">
        <v>43</v>
      </c>
      <c r="O569" s="2" t="s">
        <v>64</v>
      </c>
      <c r="P569" s="2" t="s">
        <v>45</v>
      </c>
      <c r="Q569" s="2">
        <v>0</v>
      </c>
      <c r="R569" s="2">
        <v>0</v>
      </c>
      <c r="S569" s="2">
        <v>0</v>
      </c>
      <c r="T569" s="2" t="s">
        <v>72</v>
      </c>
      <c r="U569" s="2" t="s">
        <v>72</v>
      </c>
      <c r="V569" s="2">
        <v>0</v>
      </c>
      <c r="W569" s="2" t="s">
        <v>68</v>
      </c>
      <c r="X569" s="2"/>
      <c r="Y569" s="2"/>
      <c r="Z569" s="2">
        <v>0</v>
      </c>
      <c r="AA569" s="2" t="s">
        <v>39</v>
      </c>
      <c r="AB569" s="2">
        <v>65</v>
      </c>
      <c r="AC569" s="2">
        <v>0</v>
      </c>
      <c r="AD569" s="2">
        <v>0</v>
      </c>
      <c r="AE569" s="2" t="s">
        <v>47</v>
      </c>
      <c r="AF569" s="3">
        <v>42387</v>
      </c>
    </row>
    <row r="570" spans="1:32" x14ac:dyDescent="0.25">
      <c r="A570" s="2" t="s">
        <v>41</v>
      </c>
      <c r="B570" s="2">
        <v>0</v>
      </c>
      <c r="C570" s="2">
        <v>58</v>
      </c>
      <c r="D570" s="2">
        <v>2016</v>
      </c>
      <c r="E570" s="2" t="s">
        <v>62</v>
      </c>
      <c r="F570" s="2">
        <v>40</v>
      </c>
      <c r="G570" s="2">
        <v>29</v>
      </c>
      <c r="H570" s="2">
        <v>0</v>
      </c>
      <c r="I570" s="2">
        <v>1</v>
      </c>
      <c r="J570" s="2">
        <v>2</v>
      </c>
      <c r="K570" s="2">
        <v>1</v>
      </c>
      <c r="L570" s="2">
        <v>0</v>
      </c>
      <c r="M570" s="2" t="s">
        <v>34</v>
      </c>
      <c r="N570" s="2" t="s">
        <v>95</v>
      </c>
      <c r="O570" s="2" t="s">
        <v>36</v>
      </c>
      <c r="P570" s="2" t="s">
        <v>36</v>
      </c>
      <c r="Q570" s="2">
        <v>0</v>
      </c>
      <c r="R570" s="2">
        <v>0</v>
      </c>
      <c r="S570" s="2">
        <v>0</v>
      </c>
      <c r="T570" s="2" t="s">
        <v>57</v>
      </c>
      <c r="U570" s="2" t="s">
        <v>57</v>
      </c>
      <c r="V570" s="2">
        <v>0</v>
      </c>
      <c r="W570" s="2" t="s">
        <v>38</v>
      </c>
      <c r="X570" s="2">
        <v>14</v>
      </c>
      <c r="Y570" s="2"/>
      <c r="Z570" s="2">
        <v>0</v>
      </c>
      <c r="AA570" s="2" t="s">
        <v>39</v>
      </c>
      <c r="AB570" s="2">
        <v>160.80000000000001</v>
      </c>
      <c r="AC570" s="2">
        <v>0</v>
      </c>
      <c r="AD570" s="2">
        <v>2</v>
      </c>
      <c r="AE570" s="2" t="s">
        <v>40</v>
      </c>
      <c r="AF570" s="3">
        <v>42643</v>
      </c>
    </row>
    <row r="571" spans="1:32" x14ac:dyDescent="0.25">
      <c r="A571" s="2" t="s">
        <v>41</v>
      </c>
      <c r="B571" s="2">
        <v>1</v>
      </c>
      <c r="C571" s="2">
        <v>317</v>
      </c>
      <c r="D571" s="2">
        <v>2016</v>
      </c>
      <c r="E571" s="2" t="s">
        <v>62</v>
      </c>
      <c r="F571" s="2">
        <v>37</v>
      </c>
      <c r="G571" s="2">
        <v>9</v>
      </c>
      <c r="H571" s="2">
        <v>1</v>
      </c>
      <c r="I571" s="2">
        <v>2</v>
      </c>
      <c r="J571" s="2">
        <v>2</v>
      </c>
      <c r="K571" s="2">
        <v>0</v>
      </c>
      <c r="L571" s="2">
        <v>0</v>
      </c>
      <c r="M571" s="2" t="s">
        <v>34</v>
      </c>
      <c r="N571" s="2" t="s">
        <v>43</v>
      </c>
      <c r="O571" s="2" t="s">
        <v>49</v>
      </c>
      <c r="P571" s="2" t="s">
        <v>45</v>
      </c>
      <c r="Q571" s="2">
        <v>0</v>
      </c>
      <c r="R571" s="2">
        <v>1</v>
      </c>
      <c r="S571" s="2">
        <v>0</v>
      </c>
      <c r="T571" s="2" t="s">
        <v>46</v>
      </c>
      <c r="U571" s="2" t="s">
        <v>46</v>
      </c>
      <c r="V571" s="2">
        <v>0</v>
      </c>
      <c r="W571" s="2" t="s">
        <v>68</v>
      </c>
      <c r="X571" s="2">
        <v>58</v>
      </c>
      <c r="Y571" s="2"/>
      <c r="Z571" s="2">
        <v>56</v>
      </c>
      <c r="AA571" s="2" t="s">
        <v>39</v>
      </c>
      <c r="AB571" s="2">
        <v>90</v>
      </c>
      <c r="AC571" s="2">
        <v>0</v>
      </c>
      <c r="AD571" s="2">
        <v>0</v>
      </c>
      <c r="AE571" s="2" t="s">
        <v>47</v>
      </c>
      <c r="AF571" s="3">
        <v>42361</v>
      </c>
    </row>
    <row r="572" spans="1:32" x14ac:dyDescent="0.25">
      <c r="A572" s="2" t="s">
        <v>41</v>
      </c>
      <c r="B572" s="2">
        <v>1</v>
      </c>
      <c r="C572" s="2">
        <v>19</v>
      </c>
      <c r="D572" s="2">
        <v>2016</v>
      </c>
      <c r="E572" s="2" t="s">
        <v>61</v>
      </c>
      <c r="F572" s="2">
        <v>46</v>
      </c>
      <c r="G572" s="2">
        <v>7</v>
      </c>
      <c r="H572" s="2">
        <v>1</v>
      </c>
      <c r="I572" s="2">
        <v>1</v>
      </c>
      <c r="J572" s="2">
        <v>1</v>
      </c>
      <c r="K572" s="2">
        <v>0</v>
      </c>
      <c r="L572" s="2">
        <v>0</v>
      </c>
      <c r="M572" s="2" t="s">
        <v>34</v>
      </c>
      <c r="N572" s="2" t="s">
        <v>43</v>
      </c>
      <c r="O572" s="2" t="s">
        <v>44</v>
      </c>
      <c r="P572" s="2" t="s">
        <v>45</v>
      </c>
      <c r="Q572" s="2">
        <v>0</v>
      </c>
      <c r="R572" s="2">
        <v>0</v>
      </c>
      <c r="S572" s="2">
        <v>0</v>
      </c>
      <c r="T572" s="2" t="s">
        <v>46</v>
      </c>
      <c r="U572" s="2" t="s">
        <v>46</v>
      </c>
      <c r="V572" s="2">
        <v>0</v>
      </c>
      <c r="W572" s="2" t="s">
        <v>38</v>
      </c>
      <c r="X572" s="2">
        <v>83</v>
      </c>
      <c r="Y572" s="2"/>
      <c r="Z572" s="2">
        <v>0</v>
      </c>
      <c r="AA572" s="2" t="s">
        <v>39</v>
      </c>
      <c r="AB572" s="2">
        <v>150</v>
      </c>
      <c r="AC572" s="2">
        <v>0</v>
      </c>
      <c r="AD572" s="2">
        <v>0</v>
      </c>
      <c r="AE572" s="2" t="s">
        <v>47</v>
      </c>
      <c r="AF572" s="3">
        <v>42667</v>
      </c>
    </row>
    <row r="573" spans="1:32" x14ac:dyDescent="0.25">
      <c r="A573" s="2" t="s">
        <v>41</v>
      </c>
      <c r="B573" s="2">
        <v>1</v>
      </c>
      <c r="C573" s="2">
        <v>211</v>
      </c>
      <c r="D573" s="2">
        <v>2016</v>
      </c>
      <c r="E573" s="2" t="s">
        <v>69</v>
      </c>
      <c r="F573" s="2">
        <v>21</v>
      </c>
      <c r="G573" s="2">
        <v>20</v>
      </c>
      <c r="H573" s="2">
        <v>0</v>
      </c>
      <c r="I573" s="2">
        <v>2</v>
      </c>
      <c r="J573" s="2">
        <v>2</v>
      </c>
      <c r="K573" s="2">
        <v>0</v>
      </c>
      <c r="L573" s="2">
        <v>0</v>
      </c>
      <c r="M573" s="2" t="s">
        <v>34</v>
      </c>
      <c r="N573" s="2" t="s">
        <v>43</v>
      </c>
      <c r="O573" s="2" t="s">
        <v>49</v>
      </c>
      <c r="P573" s="2" t="s">
        <v>45</v>
      </c>
      <c r="Q573" s="2">
        <v>0</v>
      </c>
      <c r="R573" s="2">
        <v>0</v>
      </c>
      <c r="S573" s="2">
        <v>0</v>
      </c>
      <c r="T573" s="2" t="s">
        <v>46</v>
      </c>
      <c r="U573" s="2" t="s">
        <v>46</v>
      </c>
      <c r="V573" s="2">
        <v>0</v>
      </c>
      <c r="W573" s="2" t="s">
        <v>68</v>
      </c>
      <c r="X573" s="2">
        <v>6</v>
      </c>
      <c r="Y573" s="2"/>
      <c r="Z573" s="2">
        <v>111</v>
      </c>
      <c r="AA573" s="2" t="s">
        <v>39</v>
      </c>
      <c r="AB573" s="2">
        <v>100</v>
      </c>
      <c r="AC573" s="2">
        <v>0</v>
      </c>
      <c r="AD573" s="2">
        <v>0</v>
      </c>
      <c r="AE573" s="2" t="s">
        <v>47</v>
      </c>
      <c r="AF573" s="3">
        <v>42447</v>
      </c>
    </row>
    <row r="574" spans="1:32" x14ac:dyDescent="0.25">
      <c r="A574" s="2" t="s">
        <v>41</v>
      </c>
      <c r="B574" s="2">
        <v>1</v>
      </c>
      <c r="C574" s="2">
        <v>40</v>
      </c>
      <c r="D574" s="2">
        <v>2016</v>
      </c>
      <c r="E574" s="2" t="s">
        <v>54</v>
      </c>
      <c r="F574" s="2">
        <v>15</v>
      </c>
      <c r="G574" s="2">
        <v>6</v>
      </c>
      <c r="H574" s="2">
        <v>0</v>
      </c>
      <c r="I574" s="2">
        <v>1</v>
      </c>
      <c r="J574" s="2">
        <v>2</v>
      </c>
      <c r="K574" s="2">
        <v>2</v>
      </c>
      <c r="L574" s="2">
        <v>0</v>
      </c>
      <c r="M574" s="2" t="s">
        <v>34</v>
      </c>
      <c r="N574" s="2" t="s">
        <v>70</v>
      </c>
      <c r="O574" s="2" t="s">
        <v>44</v>
      </c>
      <c r="P574" s="2" t="s">
        <v>45</v>
      </c>
      <c r="Q574" s="2">
        <v>0</v>
      </c>
      <c r="R574" s="2">
        <v>0</v>
      </c>
      <c r="S574" s="2">
        <v>0</v>
      </c>
      <c r="T574" s="2" t="s">
        <v>37</v>
      </c>
      <c r="U574" s="2" t="s">
        <v>37</v>
      </c>
      <c r="V574" s="2">
        <v>0</v>
      </c>
      <c r="W574" s="2" t="s">
        <v>38</v>
      </c>
      <c r="X574" s="2">
        <v>9</v>
      </c>
      <c r="Y574" s="2"/>
      <c r="Z574" s="2">
        <v>0</v>
      </c>
      <c r="AA574" s="2" t="s">
        <v>39</v>
      </c>
      <c r="AB574" s="2">
        <v>189.9</v>
      </c>
      <c r="AC574" s="2">
        <v>0</v>
      </c>
      <c r="AD574" s="2">
        <v>0</v>
      </c>
      <c r="AE574" s="2" t="s">
        <v>47</v>
      </c>
      <c r="AF574" s="3">
        <v>42441</v>
      </c>
    </row>
    <row r="575" spans="1:32" x14ac:dyDescent="0.25">
      <c r="A575" s="2" t="s">
        <v>41</v>
      </c>
      <c r="B575" s="2">
        <v>0</v>
      </c>
      <c r="C575" s="2">
        <v>29</v>
      </c>
      <c r="D575" s="2">
        <v>2016</v>
      </c>
      <c r="E575" s="2" t="s">
        <v>59</v>
      </c>
      <c r="F575" s="2">
        <v>41</v>
      </c>
      <c r="G575" s="2">
        <v>5</v>
      </c>
      <c r="H575" s="2">
        <v>1</v>
      </c>
      <c r="I575" s="2">
        <v>4</v>
      </c>
      <c r="J575" s="2">
        <v>2</v>
      </c>
      <c r="K575" s="2">
        <v>0</v>
      </c>
      <c r="L575" s="2">
        <v>0</v>
      </c>
      <c r="M575" s="2" t="s">
        <v>34</v>
      </c>
      <c r="N575" s="2" t="s">
        <v>115</v>
      </c>
      <c r="O575" s="2" t="s">
        <v>44</v>
      </c>
      <c r="P575" s="2" t="s">
        <v>45</v>
      </c>
      <c r="Q575" s="2">
        <v>0</v>
      </c>
      <c r="R575" s="2">
        <v>0</v>
      </c>
      <c r="S575" s="2">
        <v>0</v>
      </c>
      <c r="T575" s="2" t="s">
        <v>57</v>
      </c>
      <c r="U575" s="2" t="s">
        <v>57</v>
      </c>
      <c r="V575" s="2">
        <v>0</v>
      </c>
      <c r="W575" s="2" t="s">
        <v>38</v>
      </c>
      <c r="X575" s="2">
        <v>9</v>
      </c>
      <c r="Y575" s="2"/>
      <c r="Z575" s="2">
        <v>0</v>
      </c>
      <c r="AA575" s="2" t="s">
        <v>39</v>
      </c>
      <c r="AB575" s="2">
        <v>161</v>
      </c>
      <c r="AC575" s="2">
        <v>0</v>
      </c>
      <c r="AD575" s="2">
        <v>2</v>
      </c>
      <c r="AE575" s="2" t="s">
        <v>40</v>
      </c>
      <c r="AF575" s="3">
        <v>42653</v>
      </c>
    </row>
    <row r="576" spans="1:32" x14ac:dyDescent="0.25">
      <c r="A576" s="2" t="s">
        <v>32</v>
      </c>
      <c r="B576" s="2">
        <v>0</v>
      </c>
      <c r="C576" s="2">
        <v>31</v>
      </c>
      <c r="D576" s="2">
        <v>2016</v>
      </c>
      <c r="E576" s="2" t="s">
        <v>54</v>
      </c>
      <c r="F576" s="2">
        <v>17</v>
      </c>
      <c r="G576" s="2">
        <v>18</v>
      </c>
      <c r="H576" s="2">
        <v>1</v>
      </c>
      <c r="I576" s="2">
        <v>1</v>
      </c>
      <c r="J576" s="2">
        <v>1</v>
      </c>
      <c r="K576" s="2">
        <v>0</v>
      </c>
      <c r="L576" s="2">
        <v>0</v>
      </c>
      <c r="M576" s="2" t="s">
        <v>34</v>
      </c>
      <c r="N576" s="2" t="s">
        <v>56</v>
      </c>
      <c r="O576" s="2" t="s">
        <v>64</v>
      </c>
      <c r="P576" s="2" t="s">
        <v>76</v>
      </c>
      <c r="Q576" s="2">
        <v>0</v>
      </c>
      <c r="R576" s="2">
        <v>0</v>
      </c>
      <c r="S576" s="2">
        <v>0</v>
      </c>
      <c r="T576" s="2" t="s">
        <v>57</v>
      </c>
      <c r="U576" s="2" t="s">
        <v>57</v>
      </c>
      <c r="V576" s="2">
        <v>1</v>
      </c>
      <c r="W576" s="2" t="s">
        <v>38</v>
      </c>
      <c r="X576" s="2"/>
      <c r="Y576" s="2"/>
      <c r="Z576" s="2">
        <v>0</v>
      </c>
      <c r="AA576" s="2" t="s">
        <v>39</v>
      </c>
      <c r="AB576" s="2">
        <v>75</v>
      </c>
      <c r="AC576" s="2">
        <v>0</v>
      </c>
      <c r="AD576" s="2">
        <v>0</v>
      </c>
      <c r="AE576" s="2" t="s">
        <v>40</v>
      </c>
      <c r="AF576" s="3">
        <v>42480</v>
      </c>
    </row>
    <row r="577" spans="1:32" x14ac:dyDescent="0.25">
      <c r="A577" s="2" t="s">
        <v>32</v>
      </c>
      <c r="B577" s="2">
        <v>1</v>
      </c>
      <c r="C577" s="2">
        <v>82</v>
      </c>
      <c r="D577" s="2">
        <v>2016</v>
      </c>
      <c r="E577" s="2" t="s">
        <v>66</v>
      </c>
      <c r="F577" s="2">
        <v>7</v>
      </c>
      <c r="G577" s="2">
        <v>7</v>
      </c>
      <c r="H577" s="2">
        <v>2</v>
      </c>
      <c r="I577" s="2">
        <v>0</v>
      </c>
      <c r="J577" s="2">
        <v>2</v>
      </c>
      <c r="K577" s="2">
        <v>0</v>
      </c>
      <c r="L577" s="2">
        <v>0</v>
      </c>
      <c r="M577" s="2" t="s">
        <v>34</v>
      </c>
      <c r="N577" s="2" t="s">
        <v>43</v>
      </c>
      <c r="O577" s="2" t="s">
        <v>64</v>
      </c>
      <c r="P577" s="2" t="s">
        <v>45</v>
      </c>
      <c r="Q577" s="2">
        <v>1</v>
      </c>
      <c r="R577" s="2">
        <v>1</v>
      </c>
      <c r="S577" s="2">
        <v>0</v>
      </c>
      <c r="T577" s="2" t="s">
        <v>46</v>
      </c>
      <c r="U577" s="2" t="s">
        <v>46</v>
      </c>
      <c r="V577" s="2">
        <v>0</v>
      </c>
      <c r="W577" s="2" t="s">
        <v>38</v>
      </c>
      <c r="X577" s="2">
        <v>67</v>
      </c>
      <c r="Y577" s="2"/>
      <c r="Z577" s="2">
        <v>0</v>
      </c>
      <c r="AA577" s="2" t="s">
        <v>51</v>
      </c>
      <c r="AB577" s="2">
        <v>86</v>
      </c>
      <c r="AC577" s="2">
        <v>0</v>
      </c>
      <c r="AD577" s="2">
        <v>0</v>
      </c>
      <c r="AE577" s="2" t="s">
        <v>47</v>
      </c>
      <c r="AF577" s="3">
        <v>42325</v>
      </c>
    </row>
    <row r="578" spans="1:32" x14ac:dyDescent="0.25">
      <c r="A578" s="2" t="s">
        <v>41</v>
      </c>
      <c r="B578" s="2">
        <v>0</v>
      </c>
      <c r="C578" s="2">
        <v>91</v>
      </c>
      <c r="D578" s="2">
        <v>2016</v>
      </c>
      <c r="E578" s="2" t="s">
        <v>42</v>
      </c>
      <c r="F578" s="2">
        <v>30</v>
      </c>
      <c r="G578" s="2">
        <v>20</v>
      </c>
      <c r="H578" s="2">
        <v>0</v>
      </c>
      <c r="I578" s="2">
        <v>2</v>
      </c>
      <c r="J578" s="2">
        <v>2</v>
      </c>
      <c r="K578" s="2">
        <v>1</v>
      </c>
      <c r="L578" s="2">
        <v>0</v>
      </c>
      <c r="M578" s="2" t="s">
        <v>34</v>
      </c>
      <c r="N578" s="2" t="s">
        <v>43</v>
      </c>
      <c r="O578" s="2" t="s">
        <v>44</v>
      </c>
      <c r="P578" s="2" t="s">
        <v>45</v>
      </c>
      <c r="Q578" s="2">
        <v>0</v>
      </c>
      <c r="R578" s="2">
        <v>0</v>
      </c>
      <c r="S578" s="2">
        <v>0</v>
      </c>
      <c r="T578" s="2" t="s">
        <v>46</v>
      </c>
      <c r="U578" s="2" t="s">
        <v>57</v>
      </c>
      <c r="V578" s="2">
        <v>0</v>
      </c>
      <c r="W578" s="2" t="s">
        <v>38</v>
      </c>
      <c r="X578" s="2">
        <v>9</v>
      </c>
      <c r="Y578" s="2"/>
      <c r="Z578" s="2">
        <v>0</v>
      </c>
      <c r="AA578" s="2" t="s">
        <v>39</v>
      </c>
      <c r="AB578" s="2">
        <v>126</v>
      </c>
      <c r="AC578" s="2">
        <v>0</v>
      </c>
      <c r="AD578" s="2">
        <v>2</v>
      </c>
      <c r="AE578" s="2" t="s">
        <v>40</v>
      </c>
      <c r="AF578" s="3">
        <v>42573</v>
      </c>
    </row>
    <row r="579" spans="1:32" x14ac:dyDescent="0.25">
      <c r="A579" s="2" t="s">
        <v>32</v>
      </c>
      <c r="B579" s="2">
        <v>0</v>
      </c>
      <c r="C579" s="2">
        <v>24</v>
      </c>
      <c r="D579" s="2">
        <v>2016</v>
      </c>
      <c r="E579" s="2" t="s">
        <v>83</v>
      </c>
      <c r="F579" s="2">
        <v>26</v>
      </c>
      <c r="G579" s="2">
        <v>25</v>
      </c>
      <c r="H579" s="2">
        <v>2</v>
      </c>
      <c r="I579" s="2">
        <v>1</v>
      </c>
      <c r="J579" s="2">
        <v>2</v>
      </c>
      <c r="K579" s="2">
        <v>0</v>
      </c>
      <c r="L579" s="2">
        <v>0</v>
      </c>
      <c r="M579" s="2" t="s">
        <v>34</v>
      </c>
      <c r="N579" s="2" t="s">
        <v>35</v>
      </c>
      <c r="O579" s="2" t="s">
        <v>44</v>
      </c>
      <c r="P579" s="2" t="s">
        <v>45</v>
      </c>
      <c r="Q579" s="2">
        <v>0</v>
      </c>
      <c r="R579" s="2">
        <v>0</v>
      </c>
      <c r="S579" s="2">
        <v>0</v>
      </c>
      <c r="T579" s="2" t="s">
        <v>46</v>
      </c>
      <c r="U579" s="2" t="s">
        <v>46</v>
      </c>
      <c r="V579" s="2">
        <v>0</v>
      </c>
      <c r="W579" s="2" t="s">
        <v>38</v>
      </c>
      <c r="X579" s="2">
        <v>241</v>
      </c>
      <c r="Y579" s="2"/>
      <c r="Z579" s="2">
        <v>0</v>
      </c>
      <c r="AA579" s="2" t="s">
        <v>39</v>
      </c>
      <c r="AB579" s="2">
        <v>95.69</v>
      </c>
      <c r="AC579" s="2">
        <v>0</v>
      </c>
      <c r="AD579" s="2">
        <v>1</v>
      </c>
      <c r="AE579" s="2" t="s">
        <v>40</v>
      </c>
      <c r="AF579" s="3">
        <v>42549</v>
      </c>
    </row>
    <row r="580" spans="1:32" x14ac:dyDescent="0.25">
      <c r="A580" s="2" t="s">
        <v>32</v>
      </c>
      <c r="B580" s="2">
        <v>0</v>
      </c>
      <c r="C580" s="2">
        <v>81</v>
      </c>
      <c r="D580" s="2">
        <v>2016</v>
      </c>
      <c r="E580" s="2" t="s">
        <v>42</v>
      </c>
      <c r="F580" s="2">
        <v>29</v>
      </c>
      <c r="G580" s="2">
        <v>15</v>
      </c>
      <c r="H580" s="2">
        <v>2</v>
      </c>
      <c r="I580" s="2">
        <v>5</v>
      </c>
      <c r="J580" s="2">
        <v>2</v>
      </c>
      <c r="K580" s="2">
        <v>0</v>
      </c>
      <c r="L580" s="2">
        <v>0</v>
      </c>
      <c r="M580" s="2" t="s">
        <v>34</v>
      </c>
      <c r="N580" s="2" t="s">
        <v>35</v>
      </c>
      <c r="O580" s="2" t="s">
        <v>44</v>
      </c>
      <c r="P580" s="2" t="s">
        <v>45</v>
      </c>
      <c r="Q580" s="2">
        <v>0</v>
      </c>
      <c r="R580" s="2">
        <v>0</v>
      </c>
      <c r="S580" s="2">
        <v>0</v>
      </c>
      <c r="T580" s="2" t="s">
        <v>72</v>
      </c>
      <c r="U580" s="2" t="s">
        <v>72</v>
      </c>
      <c r="V580" s="2">
        <v>0</v>
      </c>
      <c r="W580" s="2" t="s">
        <v>38</v>
      </c>
      <c r="X580" s="2">
        <v>240</v>
      </c>
      <c r="Y580" s="2"/>
      <c r="Z580" s="2">
        <v>0</v>
      </c>
      <c r="AA580" s="2" t="s">
        <v>39</v>
      </c>
      <c r="AB580" s="2">
        <v>194.29</v>
      </c>
      <c r="AC580" s="2">
        <v>0</v>
      </c>
      <c r="AD580" s="2">
        <v>2</v>
      </c>
      <c r="AE580" s="2" t="s">
        <v>40</v>
      </c>
      <c r="AF580" s="3">
        <v>42573</v>
      </c>
    </row>
    <row r="581" spans="1:32" x14ac:dyDescent="0.25">
      <c r="A581" s="2" t="s">
        <v>32</v>
      </c>
      <c r="B581" s="2">
        <v>0</v>
      </c>
      <c r="C581" s="2">
        <v>46</v>
      </c>
      <c r="D581" s="2">
        <v>2016</v>
      </c>
      <c r="E581" s="2" t="s">
        <v>33</v>
      </c>
      <c r="F581" s="2">
        <v>53</v>
      </c>
      <c r="G581" s="2">
        <v>30</v>
      </c>
      <c r="H581" s="2">
        <v>0</v>
      </c>
      <c r="I581" s="2">
        <v>2</v>
      </c>
      <c r="J581" s="2">
        <v>2</v>
      </c>
      <c r="K581" s="2">
        <v>0</v>
      </c>
      <c r="L581" s="2">
        <v>0</v>
      </c>
      <c r="M581" s="2" t="s">
        <v>34</v>
      </c>
      <c r="N581" s="2" t="s">
        <v>43</v>
      </c>
      <c r="O581" s="2" t="s">
        <v>49</v>
      </c>
      <c r="P581" s="2" t="s">
        <v>45</v>
      </c>
      <c r="Q581" s="2">
        <v>0</v>
      </c>
      <c r="R581" s="2">
        <v>0</v>
      </c>
      <c r="S581" s="2">
        <v>0</v>
      </c>
      <c r="T581" s="2" t="s">
        <v>57</v>
      </c>
      <c r="U581" s="2" t="s">
        <v>57</v>
      </c>
      <c r="V581" s="2">
        <v>0</v>
      </c>
      <c r="W581" s="2" t="s">
        <v>38</v>
      </c>
      <c r="X581" s="2">
        <v>5</v>
      </c>
      <c r="Y581" s="2"/>
      <c r="Z581" s="2">
        <v>0</v>
      </c>
      <c r="AA581" s="2" t="s">
        <v>39</v>
      </c>
      <c r="AB581" s="2">
        <v>162</v>
      </c>
      <c r="AC581" s="2">
        <v>0</v>
      </c>
      <c r="AD581" s="2">
        <v>0</v>
      </c>
      <c r="AE581" s="2" t="s">
        <v>40</v>
      </c>
      <c r="AF581" s="3">
        <v>42736</v>
      </c>
    </row>
    <row r="582" spans="1:32" x14ac:dyDescent="0.25">
      <c r="A582" s="2" t="s">
        <v>41</v>
      </c>
      <c r="B582" s="2">
        <v>0</v>
      </c>
      <c r="C582" s="2">
        <v>43</v>
      </c>
      <c r="D582" s="2">
        <v>2016</v>
      </c>
      <c r="E582" s="2" t="s">
        <v>67</v>
      </c>
      <c r="F582" s="2">
        <v>32</v>
      </c>
      <c r="G582" s="2">
        <v>5</v>
      </c>
      <c r="H582" s="2">
        <v>2</v>
      </c>
      <c r="I582" s="2">
        <v>2</v>
      </c>
      <c r="J582" s="2">
        <v>3</v>
      </c>
      <c r="K582" s="2">
        <v>0</v>
      </c>
      <c r="L582" s="2">
        <v>0</v>
      </c>
      <c r="M582" s="2" t="s">
        <v>34</v>
      </c>
      <c r="N582" s="2" t="s">
        <v>65</v>
      </c>
      <c r="O582" s="2" t="s">
        <v>44</v>
      </c>
      <c r="P582" s="2" t="s">
        <v>45</v>
      </c>
      <c r="Q582" s="2">
        <v>0</v>
      </c>
      <c r="R582" s="2">
        <v>0</v>
      </c>
      <c r="S582" s="2">
        <v>0</v>
      </c>
      <c r="T582" s="2" t="s">
        <v>57</v>
      </c>
      <c r="U582" s="2" t="s">
        <v>57</v>
      </c>
      <c r="V582" s="2">
        <v>0</v>
      </c>
      <c r="W582" s="2" t="s">
        <v>38</v>
      </c>
      <c r="X582" s="2">
        <v>9</v>
      </c>
      <c r="Y582" s="2"/>
      <c r="Z582" s="2">
        <v>0</v>
      </c>
      <c r="AA582" s="2" t="s">
        <v>39</v>
      </c>
      <c r="AB582" s="2">
        <v>168.3</v>
      </c>
      <c r="AC582" s="2">
        <v>0</v>
      </c>
      <c r="AD582" s="2">
        <v>2</v>
      </c>
      <c r="AE582" s="2" t="s">
        <v>40</v>
      </c>
      <c r="AF582" s="3">
        <v>42591</v>
      </c>
    </row>
    <row r="583" spans="1:32" x14ac:dyDescent="0.25">
      <c r="A583" s="2" t="s">
        <v>41</v>
      </c>
      <c r="B583" s="2">
        <v>0</v>
      </c>
      <c r="C583" s="2">
        <v>229</v>
      </c>
      <c r="D583" s="2">
        <v>2016</v>
      </c>
      <c r="E583" s="2" t="s">
        <v>59</v>
      </c>
      <c r="F583" s="2">
        <v>44</v>
      </c>
      <c r="G583" s="2">
        <v>27</v>
      </c>
      <c r="H583" s="2">
        <v>0</v>
      </c>
      <c r="I583" s="2">
        <v>3</v>
      </c>
      <c r="J583" s="2">
        <v>2</v>
      </c>
      <c r="K583" s="2">
        <v>0</v>
      </c>
      <c r="L583" s="2">
        <v>0</v>
      </c>
      <c r="M583" s="2" t="s">
        <v>34</v>
      </c>
      <c r="N583" s="2" t="s">
        <v>35</v>
      </c>
      <c r="O583" s="2" t="s">
        <v>44</v>
      </c>
      <c r="P583" s="2" t="s">
        <v>45</v>
      </c>
      <c r="Q583" s="2">
        <v>0</v>
      </c>
      <c r="R583" s="2">
        <v>0</v>
      </c>
      <c r="S583" s="2">
        <v>0</v>
      </c>
      <c r="T583" s="2" t="s">
        <v>46</v>
      </c>
      <c r="U583" s="2" t="s">
        <v>46</v>
      </c>
      <c r="V583" s="2">
        <v>0</v>
      </c>
      <c r="W583" s="2" t="s">
        <v>38</v>
      </c>
      <c r="X583" s="2">
        <v>7</v>
      </c>
      <c r="Y583" s="2"/>
      <c r="Z583" s="2">
        <v>0</v>
      </c>
      <c r="AA583" s="2" t="s">
        <v>39</v>
      </c>
      <c r="AB583" s="2">
        <v>70.44</v>
      </c>
      <c r="AC583" s="2">
        <v>0</v>
      </c>
      <c r="AD583" s="2">
        <v>2</v>
      </c>
      <c r="AE583" s="2" t="s">
        <v>40</v>
      </c>
      <c r="AF583" s="3">
        <v>42673</v>
      </c>
    </row>
    <row r="584" spans="1:32" x14ac:dyDescent="0.25">
      <c r="A584" s="2" t="s">
        <v>41</v>
      </c>
      <c r="B584" s="2">
        <v>1</v>
      </c>
      <c r="C584" s="2">
        <v>199</v>
      </c>
      <c r="D584" s="2">
        <v>2016</v>
      </c>
      <c r="E584" s="2" t="s">
        <v>59</v>
      </c>
      <c r="F584" s="2">
        <v>44</v>
      </c>
      <c r="G584" s="2">
        <v>28</v>
      </c>
      <c r="H584" s="2">
        <v>0</v>
      </c>
      <c r="I584" s="2">
        <v>2</v>
      </c>
      <c r="J584" s="2">
        <v>2</v>
      </c>
      <c r="K584" s="2">
        <v>0</v>
      </c>
      <c r="L584" s="2">
        <v>0</v>
      </c>
      <c r="M584" s="2" t="s">
        <v>34</v>
      </c>
      <c r="N584" s="2" t="s">
        <v>43</v>
      </c>
      <c r="O584" s="2" t="s">
        <v>64</v>
      </c>
      <c r="P584" s="2" t="s">
        <v>45</v>
      </c>
      <c r="Q584" s="2">
        <v>0</v>
      </c>
      <c r="R584" s="2">
        <v>0</v>
      </c>
      <c r="S584" s="2">
        <v>0</v>
      </c>
      <c r="T584" s="2" t="s">
        <v>46</v>
      </c>
      <c r="U584" s="2" t="s">
        <v>46</v>
      </c>
      <c r="V584" s="2">
        <v>0</v>
      </c>
      <c r="W584" s="2" t="s">
        <v>38</v>
      </c>
      <c r="X584" s="2">
        <v>29</v>
      </c>
      <c r="Y584" s="2"/>
      <c r="Z584" s="2">
        <v>0</v>
      </c>
      <c r="AA584" s="2" t="s">
        <v>51</v>
      </c>
      <c r="AB584" s="2">
        <v>95</v>
      </c>
      <c r="AC584" s="2">
        <v>0</v>
      </c>
      <c r="AD584" s="2">
        <v>0</v>
      </c>
      <c r="AE584" s="2" t="s">
        <v>47</v>
      </c>
      <c r="AF584" s="3">
        <v>42664</v>
      </c>
    </row>
    <row r="585" spans="1:32" x14ac:dyDescent="0.25">
      <c r="A585" s="2" t="s">
        <v>32</v>
      </c>
      <c r="B585" s="2">
        <v>1</v>
      </c>
      <c r="C585" s="2">
        <v>14</v>
      </c>
      <c r="D585" s="2">
        <v>2016</v>
      </c>
      <c r="E585" s="2" t="s">
        <v>59</v>
      </c>
      <c r="F585" s="2">
        <v>44</v>
      </c>
      <c r="G585" s="2">
        <v>25</v>
      </c>
      <c r="H585" s="2">
        <v>0</v>
      </c>
      <c r="I585" s="2">
        <v>3</v>
      </c>
      <c r="J585" s="2">
        <v>2</v>
      </c>
      <c r="K585" s="2">
        <v>0</v>
      </c>
      <c r="L585" s="2">
        <v>0</v>
      </c>
      <c r="M585" s="2" t="s">
        <v>34</v>
      </c>
      <c r="N585" s="2" t="s">
        <v>109</v>
      </c>
      <c r="O585" s="2" t="s">
        <v>116</v>
      </c>
      <c r="P585" s="2" t="s">
        <v>36</v>
      </c>
      <c r="Q585" s="2">
        <v>0</v>
      </c>
      <c r="R585" s="2">
        <v>1</v>
      </c>
      <c r="S585" s="2">
        <v>1</v>
      </c>
      <c r="T585" s="2" t="s">
        <v>46</v>
      </c>
      <c r="U585" s="2" t="s">
        <v>72</v>
      </c>
      <c r="V585" s="2">
        <v>0</v>
      </c>
      <c r="W585" s="2" t="s">
        <v>38</v>
      </c>
      <c r="X585" s="2"/>
      <c r="Y585" s="2"/>
      <c r="Z585" s="2">
        <v>0</v>
      </c>
      <c r="AA585" s="2" t="s">
        <v>39</v>
      </c>
      <c r="AB585" s="2">
        <v>0</v>
      </c>
      <c r="AC585" s="2">
        <v>0</v>
      </c>
      <c r="AD585" s="2">
        <v>2</v>
      </c>
      <c r="AE585" s="2" t="s">
        <v>47</v>
      </c>
      <c r="AF585" s="3">
        <v>42661</v>
      </c>
    </row>
    <row r="586" spans="1:32" x14ac:dyDescent="0.25">
      <c r="A586" s="2" t="s">
        <v>41</v>
      </c>
      <c r="B586" s="2">
        <v>1</v>
      </c>
      <c r="C586" s="2">
        <v>443</v>
      </c>
      <c r="D586" s="2">
        <v>2016</v>
      </c>
      <c r="E586" s="2" t="s">
        <v>59</v>
      </c>
      <c r="F586" s="2">
        <v>41</v>
      </c>
      <c r="G586" s="2">
        <v>7</v>
      </c>
      <c r="H586" s="2">
        <v>0</v>
      </c>
      <c r="I586" s="2">
        <v>2</v>
      </c>
      <c r="J586" s="2">
        <v>2</v>
      </c>
      <c r="K586" s="2">
        <v>0</v>
      </c>
      <c r="L586" s="2">
        <v>0</v>
      </c>
      <c r="M586" s="2" t="s">
        <v>34</v>
      </c>
      <c r="N586" s="2" t="s">
        <v>43</v>
      </c>
      <c r="O586" s="2" t="s">
        <v>64</v>
      </c>
      <c r="P586" s="2" t="s">
        <v>45</v>
      </c>
      <c r="Q586" s="2">
        <v>0</v>
      </c>
      <c r="R586" s="2">
        <v>0</v>
      </c>
      <c r="S586" s="2">
        <v>0</v>
      </c>
      <c r="T586" s="2" t="s">
        <v>46</v>
      </c>
      <c r="U586" s="2" t="s">
        <v>46</v>
      </c>
      <c r="V586" s="2">
        <v>0</v>
      </c>
      <c r="W586" s="2" t="s">
        <v>68</v>
      </c>
      <c r="X586" s="2">
        <v>1</v>
      </c>
      <c r="Y586" s="2"/>
      <c r="Z586" s="2">
        <v>391</v>
      </c>
      <c r="AA586" s="2" t="s">
        <v>39</v>
      </c>
      <c r="AB586" s="2">
        <v>65</v>
      </c>
      <c r="AC586" s="2">
        <v>0</v>
      </c>
      <c r="AD586" s="2">
        <v>0</v>
      </c>
      <c r="AE586" s="2" t="s">
        <v>47</v>
      </c>
      <c r="AF586" s="3">
        <v>42633</v>
      </c>
    </row>
    <row r="587" spans="1:32" x14ac:dyDescent="0.25">
      <c r="A587" s="2" t="s">
        <v>41</v>
      </c>
      <c r="B587" s="2">
        <v>1</v>
      </c>
      <c r="C587" s="2">
        <v>250</v>
      </c>
      <c r="D587" s="2">
        <v>2016</v>
      </c>
      <c r="E587" s="2" t="s">
        <v>62</v>
      </c>
      <c r="F587" s="2">
        <v>40</v>
      </c>
      <c r="G587" s="2">
        <v>26</v>
      </c>
      <c r="H587" s="2">
        <v>1</v>
      </c>
      <c r="I587" s="2">
        <v>3</v>
      </c>
      <c r="J587" s="2">
        <v>2</v>
      </c>
      <c r="K587" s="2">
        <v>0</v>
      </c>
      <c r="L587" s="2">
        <v>0</v>
      </c>
      <c r="M587" s="2" t="s">
        <v>34</v>
      </c>
      <c r="N587" s="2" t="s">
        <v>43</v>
      </c>
      <c r="O587" s="2" t="s">
        <v>49</v>
      </c>
      <c r="P587" s="2" t="s">
        <v>45</v>
      </c>
      <c r="Q587" s="2">
        <v>0</v>
      </c>
      <c r="R587" s="2">
        <v>0</v>
      </c>
      <c r="S587" s="2">
        <v>0</v>
      </c>
      <c r="T587" s="2" t="s">
        <v>46</v>
      </c>
      <c r="U587" s="2" t="s">
        <v>46</v>
      </c>
      <c r="V587" s="2">
        <v>0</v>
      </c>
      <c r="W587" s="2" t="s">
        <v>68</v>
      </c>
      <c r="X587" s="2">
        <v>3</v>
      </c>
      <c r="Y587" s="2"/>
      <c r="Z587" s="2">
        <v>0</v>
      </c>
      <c r="AA587" s="2" t="s">
        <v>39</v>
      </c>
      <c r="AB587" s="2">
        <v>95</v>
      </c>
      <c r="AC587" s="2">
        <v>0</v>
      </c>
      <c r="AD587" s="2">
        <v>0</v>
      </c>
      <c r="AE587" s="2" t="s">
        <v>47</v>
      </c>
      <c r="AF587" s="3">
        <v>42549</v>
      </c>
    </row>
    <row r="588" spans="1:32" x14ac:dyDescent="0.25">
      <c r="A588" s="2" t="s">
        <v>32</v>
      </c>
      <c r="B588" s="2">
        <v>1</v>
      </c>
      <c r="C588" s="2">
        <v>112</v>
      </c>
      <c r="D588" s="2">
        <v>2016</v>
      </c>
      <c r="E588" s="2" t="s">
        <v>66</v>
      </c>
      <c r="F588" s="2">
        <v>7</v>
      </c>
      <c r="G588" s="2">
        <v>12</v>
      </c>
      <c r="H588" s="2">
        <v>0</v>
      </c>
      <c r="I588" s="2">
        <v>2</v>
      </c>
      <c r="J588" s="2">
        <v>2</v>
      </c>
      <c r="K588" s="2">
        <v>0</v>
      </c>
      <c r="L588" s="2">
        <v>0</v>
      </c>
      <c r="M588" s="2" t="s">
        <v>90</v>
      </c>
      <c r="N588" s="2" t="s">
        <v>43</v>
      </c>
      <c r="O588" s="2" t="s">
        <v>64</v>
      </c>
      <c r="P588" s="2" t="s">
        <v>45</v>
      </c>
      <c r="Q588" s="2">
        <v>0</v>
      </c>
      <c r="R588" s="2">
        <v>0</v>
      </c>
      <c r="S588" s="2">
        <v>0</v>
      </c>
      <c r="T588" s="2" t="s">
        <v>46</v>
      </c>
      <c r="U588" s="2" t="s">
        <v>46</v>
      </c>
      <c r="V588" s="2">
        <v>0</v>
      </c>
      <c r="W588" s="2" t="s">
        <v>38</v>
      </c>
      <c r="X588" s="2">
        <v>134</v>
      </c>
      <c r="Y588" s="2"/>
      <c r="Z588" s="2">
        <v>0</v>
      </c>
      <c r="AA588" s="2" t="s">
        <v>51</v>
      </c>
      <c r="AB588" s="2">
        <v>68</v>
      </c>
      <c r="AC588" s="2">
        <v>0</v>
      </c>
      <c r="AD588" s="2">
        <v>0</v>
      </c>
      <c r="AE588" s="2" t="s">
        <v>47</v>
      </c>
      <c r="AF588" s="3">
        <v>42410</v>
      </c>
    </row>
    <row r="589" spans="1:32" x14ac:dyDescent="0.25">
      <c r="A589" s="2" t="s">
        <v>41</v>
      </c>
      <c r="B589" s="2">
        <v>1</v>
      </c>
      <c r="C589" s="2">
        <v>302</v>
      </c>
      <c r="D589" s="2">
        <v>2016</v>
      </c>
      <c r="E589" s="2" t="s">
        <v>62</v>
      </c>
      <c r="F589" s="2">
        <v>38</v>
      </c>
      <c r="G589" s="2">
        <v>16</v>
      </c>
      <c r="H589" s="2">
        <v>1</v>
      </c>
      <c r="I589" s="2">
        <v>2</v>
      </c>
      <c r="J589" s="2">
        <v>2</v>
      </c>
      <c r="K589" s="2">
        <v>0</v>
      </c>
      <c r="L589" s="2">
        <v>0</v>
      </c>
      <c r="M589" s="2" t="s">
        <v>34</v>
      </c>
      <c r="N589" s="2" t="s">
        <v>43</v>
      </c>
      <c r="O589" s="2" t="s">
        <v>49</v>
      </c>
      <c r="P589" s="2" t="s">
        <v>45</v>
      </c>
      <c r="Q589" s="2">
        <v>0</v>
      </c>
      <c r="R589" s="2">
        <v>0</v>
      </c>
      <c r="S589" s="2">
        <v>0</v>
      </c>
      <c r="T589" s="2" t="s">
        <v>46</v>
      </c>
      <c r="U589" s="2" t="s">
        <v>46</v>
      </c>
      <c r="V589" s="2">
        <v>0</v>
      </c>
      <c r="W589" s="2" t="s">
        <v>68</v>
      </c>
      <c r="X589" s="2">
        <v>12</v>
      </c>
      <c r="Y589" s="2"/>
      <c r="Z589" s="2">
        <v>70</v>
      </c>
      <c r="AA589" s="2" t="s">
        <v>39</v>
      </c>
      <c r="AB589" s="2">
        <v>100</v>
      </c>
      <c r="AC589" s="2">
        <v>0</v>
      </c>
      <c r="AD589" s="2">
        <v>0</v>
      </c>
      <c r="AE589" s="2" t="s">
        <v>47</v>
      </c>
      <c r="AF589" s="3">
        <v>42397</v>
      </c>
    </row>
    <row r="590" spans="1:32" x14ac:dyDescent="0.25">
      <c r="A590" s="2" t="s">
        <v>41</v>
      </c>
      <c r="B590" s="2">
        <v>0</v>
      </c>
      <c r="C590" s="2">
        <v>9</v>
      </c>
      <c r="D590" s="2">
        <v>2016</v>
      </c>
      <c r="E590" s="2" t="s">
        <v>83</v>
      </c>
      <c r="F590" s="2">
        <v>25</v>
      </c>
      <c r="G590" s="2">
        <v>17</v>
      </c>
      <c r="H590" s="2">
        <v>0</v>
      </c>
      <c r="I590" s="2">
        <v>2</v>
      </c>
      <c r="J590" s="2">
        <v>3</v>
      </c>
      <c r="K590" s="2">
        <v>0</v>
      </c>
      <c r="L590" s="2">
        <v>0</v>
      </c>
      <c r="M590" s="2" t="s">
        <v>34</v>
      </c>
      <c r="N590" s="2" t="s">
        <v>110</v>
      </c>
      <c r="O590" s="2" t="s">
        <v>44</v>
      </c>
      <c r="P590" s="2" t="s">
        <v>45</v>
      </c>
      <c r="Q590" s="2">
        <v>0</v>
      </c>
      <c r="R590" s="2">
        <v>0</v>
      </c>
      <c r="S590" s="2">
        <v>0</v>
      </c>
      <c r="T590" s="2" t="s">
        <v>57</v>
      </c>
      <c r="U590" s="2" t="s">
        <v>57</v>
      </c>
      <c r="V590" s="2">
        <v>0</v>
      </c>
      <c r="W590" s="2" t="s">
        <v>38</v>
      </c>
      <c r="X590" s="2">
        <v>9</v>
      </c>
      <c r="Y590" s="2"/>
      <c r="Z590" s="2">
        <v>0</v>
      </c>
      <c r="AA590" s="2" t="s">
        <v>39</v>
      </c>
      <c r="AB590" s="2">
        <v>177</v>
      </c>
      <c r="AC590" s="2">
        <v>0</v>
      </c>
      <c r="AD590" s="2">
        <v>2</v>
      </c>
      <c r="AE590" s="2" t="s">
        <v>40</v>
      </c>
      <c r="AF590" s="3">
        <v>42540</v>
      </c>
    </row>
    <row r="591" spans="1:32" x14ac:dyDescent="0.25">
      <c r="A591" s="2" t="s">
        <v>41</v>
      </c>
      <c r="B591" s="2">
        <v>0</v>
      </c>
      <c r="C591" s="2">
        <v>124</v>
      </c>
      <c r="D591" s="2">
        <v>2016</v>
      </c>
      <c r="E591" s="2" t="s">
        <v>83</v>
      </c>
      <c r="F591" s="2">
        <v>27</v>
      </c>
      <c r="G591" s="2">
        <v>30</v>
      </c>
      <c r="H591" s="2">
        <v>0</v>
      </c>
      <c r="I591" s="2">
        <v>2</v>
      </c>
      <c r="J591" s="2">
        <v>2</v>
      </c>
      <c r="K591" s="2">
        <v>0</v>
      </c>
      <c r="L591" s="2">
        <v>0</v>
      </c>
      <c r="M591" s="2" t="s">
        <v>34</v>
      </c>
      <c r="N591" s="2" t="s">
        <v>109</v>
      </c>
      <c r="O591" s="2" t="s">
        <v>44</v>
      </c>
      <c r="P591" s="2" t="s">
        <v>45</v>
      </c>
      <c r="Q591" s="2">
        <v>0</v>
      </c>
      <c r="R591" s="2">
        <v>0</v>
      </c>
      <c r="S591" s="2">
        <v>0</v>
      </c>
      <c r="T591" s="2" t="s">
        <v>86</v>
      </c>
      <c r="U591" s="2" t="s">
        <v>86</v>
      </c>
      <c r="V591" s="2">
        <v>1</v>
      </c>
      <c r="W591" s="2" t="s">
        <v>38</v>
      </c>
      <c r="X591" s="2">
        <v>9</v>
      </c>
      <c r="Y591" s="2"/>
      <c r="Z591" s="2">
        <v>0</v>
      </c>
      <c r="AA591" s="2" t="s">
        <v>51</v>
      </c>
      <c r="AB591" s="2">
        <v>97.55</v>
      </c>
      <c r="AC591" s="2">
        <v>0</v>
      </c>
      <c r="AD591" s="2">
        <v>0</v>
      </c>
      <c r="AE591" s="2" t="s">
        <v>40</v>
      </c>
      <c r="AF591" s="3">
        <v>42553</v>
      </c>
    </row>
    <row r="592" spans="1:32" x14ac:dyDescent="0.25">
      <c r="A592" s="2" t="s">
        <v>32</v>
      </c>
      <c r="B592" s="2">
        <v>1</v>
      </c>
      <c r="C592" s="2">
        <v>54</v>
      </c>
      <c r="D592" s="2">
        <v>2016</v>
      </c>
      <c r="E592" s="2" t="s">
        <v>42</v>
      </c>
      <c r="F592" s="2">
        <v>29</v>
      </c>
      <c r="G592" s="2">
        <v>15</v>
      </c>
      <c r="H592" s="2">
        <v>0</v>
      </c>
      <c r="I592" s="2">
        <v>2</v>
      </c>
      <c r="J592" s="2">
        <v>2</v>
      </c>
      <c r="K592" s="2">
        <v>0</v>
      </c>
      <c r="L592" s="2">
        <v>0</v>
      </c>
      <c r="M592" s="2" t="s">
        <v>34</v>
      </c>
      <c r="N592" s="2" t="s">
        <v>63</v>
      </c>
      <c r="O592" s="2" t="s">
        <v>44</v>
      </c>
      <c r="P592" s="2" t="s">
        <v>45</v>
      </c>
      <c r="Q592" s="2">
        <v>0</v>
      </c>
      <c r="R592" s="2">
        <v>0</v>
      </c>
      <c r="S592" s="2">
        <v>0</v>
      </c>
      <c r="T592" s="2" t="s">
        <v>46</v>
      </c>
      <c r="U592" s="2" t="s">
        <v>46</v>
      </c>
      <c r="V592" s="2">
        <v>0</v>
      </c>
      <c r="W592" s="2" t="s">
        <v>38</v>
      </c>
      <c r="X592" s="2">
        <v>240</v>
      </c>
      <c r="Y592" s="2"/>
      <c r="Z592" s="2">
        <v>0</v>
      </c>
      <c r="AA592" s="2" t="s">
        <v>39</v>
      </c>
      <c r="AB592" s="2">
        <v>160</v>
      </c>
      <c r="AC592" s="2">
        <v>0</v>
      </c>
      <c r="AD592" s="2">
        <v>0</v>
      </c>
      <c r="AE592" s="2" t="s">
        <v>47</v>
      </c>
      <c r="AF592" s="3">
        <v>42534</v>
      </c>
    </row>
    <row r="593" spans="1:32" x14ac:dyDescent="0.25">
      <c r="A593" s="2" t="s">
        <v>41</v>
      </c>
      <c r="B593" s="2">
        <v>0</v>
      </c>
      <c r="C593" s="2">
        <v>3</v>
      </c>
      <c r="D593" s="2">
        <v>2016</v>
      </c>
      <c r="E593" s="2" t="s">
        <v>62</v>
      </c>
      <c r="F593" s="2">
        <v>40</v>
      </c>
      <c r="G593" s="2">
        <v>26</v>
      </c>
      <c r="H593" s="2">
        <v>3</v>
      </c>
      <c r="I593" s="2">
        <v>7</v>
      </c>
      <c r="J593" s="2">
        <v>1</v>
      </c>
      <c r="K593" s="2">
        <v>0</v>
      </c>
      <c r="L593" s="2">
        <v>0</v>
      </c>
      <c r="M593" s="2" t="s">
        <v>34</v>
      </c>
      <c r="N593" s="2" t="s">
        <v>43</v>
      </c>
      <c r="O593" s="2" t="s">
        <v>76</v>
      </c>
      <c r="P593" s="2" t="s">
        <v>76</v>
      </c>
      <c r="Q593" s="2">
        <v>1</v>
      </c>
      <c r="R593" s="2">
        <v>4</v>
      </c>
      <c r="S593" s="2">
        <v>46</v>
      </c>
      <c r="T593" s="2" t="s">
        <v>46</v>
      </c>
      <c r="U593" s="2" t="s">
        <v>46</v>
      </c>
      <c r="V593" s="2">
        <v>0</v>
      </c>
      <c r="W593" s="2" t="s">
        <v>38</v>
      </c>
      <c r="X593" s="2"/>
      <c r="Y593" s="2">
        <v>40</v>
      </c>
      <c r="Z593" s="2">
        <v>0</v>
      </c>
      <c r="AA593" s="2" t="s">
        <v>39</v>
      </c>
      <c r="AB593" s="2">
        <v>65</v>
      </c>
      <c r="AC593" s="2">
        <v>0</v>
      </c>
      <c r="AD593" s="2">
        <v>0</v>
      </c>
      <c r="AE593" s="2" t="s">
        <v>40</v>
      </c>
      <c r="AF593" s="3">
        <v>42649</v>
      </c>
    </row>
    <row r="594" spans="1:32" x14ac:dyDescent="0.25">
      <c r="A594" s="2" t="s">
        <v>41</v>
      </c>
      <c r="B594" s="2">
        <v>1</v>
      </c>
      <c r="C594" s="2">
        <v>420</v>
      </c>
      <c r="D594" s="2">
        <v>2016</v>
      </c>
      <c r="E594" s="2" t="s">
        <v>62</v>
      </c>
      <c r="F594" s="2">
        <v>36</v>
      </c>
      <c r="G594" s="2">
        <v>3</v>
      </c>
      <c r="H594" s="2">
        <v>2</v>
      </c>
      <c r="I594" s="2">
        <v>2</v>
      </c>
      <c r="J594" s="2">
        <v>2</v>
      </c>
      <c r="K594" s="2">
        <v>0</v>
      </c>
      <c r="L594" s="2">
        <v>0</v>
      </c>
      <c r="M594" s="2" t="s">
        <v>34</v>
      </c>
      <c r="N594" s="2" t="s">
        <v>43</v>
      </c>
      <c r="O594" s="2" t="s">
        <v>64</v>
      </c>
      <c r="P594" s="2" t="s">
        <v>45</v>
      </c>
      <c r="Q594" s="2">
        <v>0</v>
      </c>
      <c r="R594" s="2">
        <v>0</v>
      </c>
      <c r="S594" s="2">
        <v>0</v>
      </c>
      <c r="T594" s="2" t="s">
        <v>46</v>
      </c>
      <c r="U594" s="2" t="s">
        <v>46</v>
      </c>
      <c r="V594" s="2">
        <v>0</v>
      </c>
      <c r="W594" s="2" t="s">
        <v>68</v>
      </c>
      <c r="X594" s="2">
        <v>35</v>
      </c>
      <c r="Y594" s="2"/>
      <c r="Z594" s="2">
        <v>0</v>
      </c>
      <c r="AA594" s="2" t="s">
        <v>39</v>
      </c>
      <c r="AB594" s="2">
        <v>75</v>
      </c>
      <c r="AC594" s="2">
        <v>0</v>
      </c>
      <c r="AD594" s="2">
        <v>0</v>
      </c>
      <c r="AE594" s="2" t="s">
        <v>47</v>
      </c>
      <c r="AF594" s="3">
        <v>42289</v>
      </c>
    </row>
    <row r="595" spans="1:32" x14ac:dyDescent="0.25">
      <c r="A595" s="2" t="s">
        <v>41</v>
      </c>
      <c r="B595" s="2">
        <v>0</v>
      </c>
      <c r="C595" s="2">
        <v>122</v>
      </c>
      <c r="D595" s="2">
        <v>2016</v>
      </c>
      <c r="E595" s="2" t="s">
        <v>52</v>
      </c>
      <c r="F595" s="2">
        <v>14</v>
      </c>
      <c r="G595" s="2">
        <v>27</v>
      </c>
      <c r="H595" s="2">
        <v>2</v>
      </c>
      <c r="I595" s="2">
        <v>1</v>
      </c>
      <c r="J595" s="2">
        <v>2</v>
      </c>
      <c r="K595" s="2">
        <v>0</v>
      </c>
      <c r="L595" s="2">
        <v>0</v>
      </c>
      <c r="M595" s="2" t="s">
        <v>60</v>
      </c>
      <c r="N595" s="2" t="s">
        <v>43</v>
      </c>
      <c r="O595" s="2" t="s">
        <v>49</v>
      </c>
      <c r="P595" s="2" t="s">
        <v>45</v>
      </c>
      <c r="Q595" s="2">
        <v>0</v>
      </c>
      <c r="R595" s="2">
        <v>0</v>
      </c>
      <c r="S595" s="2">
        <v>0</v>
      </c>
      <c r="T595" s="2" t="s">
        <v>46</v>
      </c>
      <c r="U595" s="2" t="s">
        <v>46</v>
      </c>
      <c r="V595" s="2">
        <v>0</v>
      </c>
      <c r="W595" s="2" t="s">
        <v>38</v>
      </c>
      <c r="X595" s="2">
        <v>26</v>
      </c>
      <c r="Y595" s="2"/>
      <c r="Z595" s="2">
        <v>0</v>
      </c>
      <c r="AA595" s="2" t="s">
        <v>51</v>
      </c>
      <c r="AB595" s="2">
        <v>107</v>
      </c>
      <c r="AC595" s="2">
        <v>0</v>
      </c>
      <c r="AD595" s="2">
        <v>1</v>
      </c>
      <c r="AE595" s="2" t="s">
        <v>40</v>
      </c>
      <c r="AF595" s="3">
        <v>42459</v>
      </c>
    </row>
    <row r="596" spans="1:32" x14ac:dyDescent="0.25">
      <c r="A596" s="2" t="s">
        <v>41</v>
      </c>
      <c r="B596" s="2">
        <v>0</v>
      </c>
      <c r="C596" s="2">
        <v>3</v>
      </c>
      <c r="D596" s="2">
        <v>2016</v>
      </c>
      <c r="E596" s="2" t="s">
        <v>54</v>
      </c>
      <c r="F596" s="2">
        <v>18</v>
      </c>
      <c r="G596" s="2">
        <v>25</v>
      </c>
      <c r="H596" s="2">
        <v>1</v>
      </c>
      <c r="I596" s="2">
        <v>0</v>
      </c>
      <c r="J596" s="2">
        <v>1</v>
      </c>
      <c r="K596" s="2">
        <v>0</v>
      </c>
      <c r="L596" s="2">
        <v>0</v>
      </c>
      <c r="M596" s="2" t="s">
        <v>34</v>
      </c>
      <c r="N596" s="2" t="s">
        <v>43</v>
      </c>
      <c r="O596" s="2" t="s">
        <v>76</v>
      </c>
      <c r="P596" s="2" t="s">
        <v>76</v>
      </c>
      <c r="Q596" s="2">
        <v>1</v>
      </c>
      <c r="R596" s="2">
        <v>0</v>
      </c>
      <c r="S596" s="2">
        <v>4</v>
      </c>
      <c r="T596" s="2" t="s">
        <v>46</v>
      </c>
      <c r="U596" s="2" t="s">
        <v>46</v>
      </c>
      <c r="V596" s="2">
        <v>0</v>
      </c>
      <c r="W596" s="2" t="s">
        <v>38</v>
      </c>
      <c r="X596" s="2"/>
      <c r="Y596" s="2">
        <v>40</v>
      </c>
      <c r="Z596" s="2">
        <v>0</v>
      </c>
      <c r="AA596" s="2" t="s">
        <v>39</v>
      </c>
      <c r="AB596" s="2">
        <v>65</v>
      </c>
      <c r="AC596" s="2">
        <v>0</v>
      </c>
      <c r="AD596" s="2">
        <v>0</v>
      </c>
      <c r="AE596" s="2" t="s">
        <v>40</v>
      </c>
      <c r="AF596" s="3">
        <v>42486</v>
      </c>
    </row>
    <row r="597" spans="1:32" x14ac:dyDescent="0.25">
      <c r="A597" s="2" t="s">
        <v>41</v>
      </c>
      <c r="B597" s="2">
        <v>0</v>
      </c>
      <c r="C597" s="2">
        <v>178</v>
      </c>
      <c r="D597" s="2">
        <v>2016</v>
      </c>
      <c r="E597" s="2" t="s">
        <v>67</v>
      </c>
      <c r="F597" s="2">
        <v>35</v>
      </c>
      <c r="G597" s="2">
        <v>23</v>
      </c>
      <c r="H597" s="2">
        <v>0</v>
      </c>
      <c r="I597" s="2">
        <v>3</v>
      </c>
      <c r="J597" s="2">
        <v>3</v>
      </c>
      <c r="K597" s="2">
        <v>0</v>
      </c>
      <c r="L597" s="2">
        <v>0</v>
      </c>
      <c r="M597" s="2" t="s">
        <v>34</v>
      </c>
      <c r="N597" s="2" t="s">
        <v>106</v>
      </c>
      <c r="O597" s="2" t="s">
        <v>44</v>
      </c>
      <c r="P597" s="2" t="s">
        <v>45</v>
      </c>
      <c r="Q597" s="2">
        <v>0</v>
      </c>
      <c r="R597" s="2">
        <v>0</v>
      </c>
      <c r="S597" s="2">
        <v>0</v>
      </c>
      <c r="T597" s="2" t="s">
        <v>57</v>
      </c>
      <c r="U597" s="2" t="s">
        <v>57</v>
      </c>
      <c r="V597" s="2">
        <v>1</v>
      </c>
      <c r="W597" s="2" t="s">
        <v>38</v>
      </c>
      <c r="X597" s="2">
        <v>9</v>
      </c>
      <c r="Y597" s="2"/>
      <c r="Z597" s="2">
        <v>0</v>
      </c>
      <c r="AA597" s="2" t="s">
        <v>39</v>
      </c>
      <c r="AB597" s="2">
        <v>143.69999999999999</v>
      </c>
      <c r="AC597" s="2">
        <v>1</v>
      </c>
      <c r="AD597" s="2">
        <v>1</v>
      </c>
      <c r="AE597" s="2" t="s">
        <v>40</v>
      </c>
      <c r="AF597" s="3">
        <v>42608</v>
      </c>
    </row>
    <row r="598" spans="1:32" x14ac:dyDescent="0.25">
      <c r="A598" s="2" t="s">
        <v>41</v>
      </c>
      <c r="B598" s="2">
        <v>0</v>
      </c>
      <c r="C598" s="2">
        <v>83</v>
      </c>
      <c r="D598" s="2">
        <v>2016</v>
      </c>
      <c r="E598" s="2" t="s">
        <v>52</v>
      </c>
      <c r="F598" s="2">
        <v>14</v>
      </c>
      <c r="G598" s="2">
        <v>28</v>
      </c>
      <c r="H598" s="2">
        <v>1</v>
      </c>
      <c r="I598" s="2">
        <v>4</v>
      </c>
      <c r="J598" s="2">
        <v>2</v>
      </c>
      <c r="K598" s="2">
        <v>0</v>
      </c>
      <c r="L598" s="2">
        <v>0</v>
      </c>
      <c r="M598" s="2" t="s">
        <v>34</v>
      </c>
      <c r="N598" s="2" t="s">
        <v>43</v>
      </c>
      <c r="O598" s="2" t="s">
        <v>49</v>
      </c>
      <c r="P598" s="2" t="s">
        <v>45</v>
      </c>
      <c r="Q598" s="2">
        <v>0</v>
      </c>
      <c r="R598" s="2">
        <v>0</v>
      </c>
      <c r="S598" s="2">
        <v>0</v>
      </c>
      <c r="T598" s="2" t="s">
        <v>46</v>
      </c>
      <c r="U598" s="2" t="s">
        <v>46</v>
      </c>
      <c r="V598" s="2">
        <v>0</v>
      </c>
      <c r="W598" s="2" t="s">
        <v>38</v>
      </c>
      <c r="X598" s="2">
        <v>16</v>
      </c>
      <c r="Y598" s="2"/>
      <c r="Z598" s="2">
        <v>0</v>
      </c>
      <c r="AA598" s="2" t="s">
        <v>39</v>
      </c>
      <c r="AB598" s="2">
        <v>80.75</v>
      </c>
      <c r="AC598" s="2">
        <v>0</v>
      </c>
      <c r="AD598" s="2">
        <v>0</v>
      </c>
      <c r="AE598" s="2" t="s">
        <v>40</v>
      </c>
      <c r="AF598" s="3">
        <v>42462</v>
      </c>
    </row>
    <row r="599" spans="1:32" x14ac:dyDescent="0.25">
      <c r="A599" s="2" t="s">
        <v>32</v>
      </c>
      <c r="B599" s="2">
        <v>1</v>
      </c>
      <c r="C599" s="2">
        <v>162</v>
      </c>
      <c r="D599" s="2">
        <v>2016</v>
      </c>
      <c r="E599" s="2" t="s">
        <v>67</v>
      </c>
      <c r="F599" s="2">
        <v>36</v>
      </c>
      <c r="G599" s="2">
        <v>31</v>
      </c>
      <c r="H599" s="2">
        <v>2</v>
      </c>
      <c r="I599" s="2">
        <v>7</v>
      </c>
      <c r="J599" s="2">
        <v>2</v>
      </c>
      <c r="K599" s="2">
        <v>0</v>
      </c>
      <c r="L599" s="2">
        <v>0</v>
      </c>
      <c r="M599" s="2" t="s">
        <v>34</v>
      </c>
      <c r="N599" s="2" t="s">
        <v>35</v>
      </c>
      <c r="O599" s="2" t="s">
        <v>44</v>
      </c>
      <c r="P599" s="2" t="s">
        <v>45</v>
      </c>
      <c r="Q599" s="2">
        <v>0</v>
      </c>
      <c r="R599" s="2">
        <v>0</v>
      </c>
      <c r="S599" s="2">
        <v>0</v>
      </c>
      <c r="T599" s="2" t="s">
        <v>46</v>
      </c>
      <c r="U599" s="2" t="s">
        <v>46</v>
      </c>
      <c r="V599" s="2">
        <v>0</v>
      </c>
      <c r="W599" s="2" t="s">
        <v>38</v>
      </c>
      <c r="X599" s="2">
        <v>240</v>
      </c>
      <c r="Y599" s="2"/>
      <c r="Z599" s="2">
        <v>0</v>
      </c>
      <c r="AA599" s="2" t="s">
        <v>39</v>
      </c>
      <c r="AB599" s="2">
        <v>141.33000000000001</v>
      </c>
      <c r="AC599" s="2">
        <v>0</v>
      </c>
      <c r="AD599" s="2">
        <v>0</v>
      </c>
      <c r="AE599" s="2" t="s">
        <v>47</v>
      </c>
      <c r="AF599" s="3">
        <v>42572</v>
      </c>
    </row>
    <row r="600" spans="1:32" x14ac:dyDescent="0.25">
      <c r="A600" s="2" t="s">
        <v>32</v>
      </c>
      <c r="B600" s="2">
        <v>0</v>
      </c>
      <c r="C600" s="2">
        <v>16</v>
      </c>
      <c r="D600" s="2">
        <v>2016</v>
      </c>
      <c r="E600" s="2" t="s">
        <v>33</v>
      </c>
      <c r="F600" s="2">
        <v>52</v>
      </c>
      <c r="G600" s="2">
        <v>24</v>
      </c>
      <c r="H600" s="2">
        <v>2</v>
      </c>
      <c r="I600" s="2">
        <v>1</v>
      </c>
      <c r="J600" s="2">
        <v>2</v>
      </c>
      <c r="K600" s="2">
        <v>0</v>
      </c>
      <c r="L600" s="2">
        <v>0</v>
      </c>
      <c r="M600" s="2" t="s">
        <v>34</v>
      </c>
      <c r="N600" s="2" t="s">
        <v>35</v>
      </c>
      <c r="O600" s="2" t="s">
        <v>36</v>
      </c>
      <c r="P600" s="2" t="s">
        <v>36</v>
      </c>
      <c r="Q600" s="2">
        <v>0</v>
      </c>
      <c r="R600" s="2">
        <v>0</v>
      </c>
      <c r="S600" s="2">
        <v>0</v>
      </c>
      <c r="T600" s="2" t="s">
        <v>72</v>
      </c>
      <c r="U600" s="2" t="s">
        <v>72</v>
      </c>
      <c r="V600" s="2">
        <v>0</v>
      </c>
      <c r="W600" s="2" t="s">
        <v>38</v>
      </c>
      <c r="X600" s="2"/>
      <c r="Y600" s="2"/>
      <c r="Z600" s="2">
        <v>0</v>
      </c>
      <c r="AA600" s="2" t="s">
        <v>39</v>
      </c>
      <c r="AB600" s="2">
        <v>99.33</v>
      </c>
      <c r="AC600" s="2">
        <v>0</v>
      </c>
      <c r="AD600" s="2">
        <v>0</v>
      </c>
      <c r="AE600" s="2" t="s">
        <v>40</v>
      </c>
      <c r="AF600" s="3">
        <v>42731</v>
      </c>
    </row>
    <row r="601" spans="1:32" x14ac:dyDescent="0.25">
      <c r="A601" s="2" t="s">
        <v>32</v>
      </c>
      <c r="B601" s="2">
        <v>1</v>
      </c>
      <c r="C601" s="2">
        <v>108</v>
      </c>
      <c r="D601" s="2">
        <v>2016</v>
      </c>
      <c r="E601" s="2" t="s">
        <v>52</v>
      </c>
      <c r="F601" s="2">
        <v>13</v>
      </c>
      <c r="G601" s="2">
        <v>21</v>
      </c>
      <c r="H601" s="2">
        <v>1</v>
      </c>
      <c r="I601" s="2">
        <v>1</v>
      </c>
      <c r="J601" s="2">
        <v>2</v>
      </c>
      <c r="K601" s="2">
        <v>0</v>
      </c>
      <c r="L601" s="2">
        <v>0</v>
      </c>
      <c r="M601" s="2" t="s">
        <v>34</v>
      </c>
      <c r="N601" s="2" t="s">
        <v>43</v>
      </c>
      <c r="O601" s="2" t="s">
        <v>44</v>
      </c>
      <c r="P601" s="2" t="s">
        <v>45</v>
      </c>
      <c r="Q601" s="2">
        <v>0</v>
      </c>
      <c r="R601" s="2">
        <v>0</v>
      </c>
      <c r="S601" s="2">
        <v>0</v>
      </c>
      <c r="T601" s="2" t="s">
        <v>46</v>
      </c>
      <c r="U601" s="2" t="s">
        <v>46</v>
      </c>
      <c r="V601" s="2">
        <v>1</v>
      </c>
      <c r="W601" s="2" t="s">
        <v>38</v>
      </c>
      <c r="X601" s="2">
        <v>240</v>
      </c>
      <c r="Y601" s="2"/>
      <c r="Z601" s="2">
        <v>0</v>
      </c>
      <c r="AA601" s="2" t="s">
        <v>39</v>
      </c>
      <c r="AB601" s="2">
        <v>48</v>
      </c>
      <c r="AC601" s="2">
        <v>0</v>
      </c>
      <c r="AD601" s="2">
        <v>1</v>
      </c>
      <c r="AE601" s="2" t="s">
        <v>47</v>
      </c>
      <c r="AF601" s="3">
        <v>42373</v>
      </c>
    </row>
    <row r="602" spans="1:32" x14ac:dyDescent="0.25">
      <c r="A602" s="2" t="s">
        <v>41</v>
      </c>
      <c r="B602" s="2">
        <v>0</v>
      </c>
      <c r="C602" s="2">
        <v>13</v>
      </c>
      <c r="D602" s="2">
        <v>2016</v>
      </c>
      <c r="E602" s="2" t="s">
        <v>59</v>
      </c>
      <c r="F602" s="2">
        <v>42</v>
      </c>
      <c r="G602" s="2">
        <v>10</v>
      </c>
      <c r="H602" s="2">
        <v>1</v>
      </c>
      <c r="I602" s="2">
        <v>2</v>
      </c>
      <c r="J602" s="2">
        <v>2</v>
      </c>
      <c r="K602" s="2">
        <v>0</v>
      </c>
      <c r="L602" s="2">
        <v>0</v>
      </c>
      <c r="M602" s="2" t="s">
        <v>34</v>
      </c>
      <c r="N602" s="2" t="s">
        <v>71</v>
      </c>
      <c r="O602" s="2" t="s">
        <v>76</v>
      </c>
      <c r="P602" s="2" t="s">
        <v>76</v>
      </c>
      <c r="Q602" s="2">
        <v>0</v>
      </c>
      <c r="R602" s="2">
        <v>0</v>
      </c>
      <c r="S602" s="2">
        <v>0</v>
      </c>
      <c r="T602" s="2" t="s">
        <v>46</v>
      </c>
      <c r="U602" s="2" t="s">
        <v>46</v>
      </c>
      <c r="V602" s="2">
        <v>0</v>
      </c>
      <c r="W602" s="2" t="s">
        <v>38</v>
      </c>
      <c r="X602" s="2"/>
      <c r="Y602" s="2">
        <v>332</v>
      </c>
      <c r="Z602" s="2">
        <v>0</v>
      </c>
      <c r="AA602" s="2" t="s">
        <v>39</v>
      </c>
      <c r="AB602" s="2">
        <v>159</v>
      </c>
      <c r="AC602" s="2">
        <v>0</v>
      </c>
      <c r="AD602" s="2">
        <v>0</v>
      </c>
      <c r="AE602" s="2" t="s">
        <v>40</v>
      </c>
      <c r="AF602" s="3">
        <v>42656</v>
      </c>
    </row>
    <row r="603" spans="1:32" x14ac:dyDescent="0.25">
      <c r="A603" s="2" t="s">
        <v>32</v>
      </c>
      <c r="B603" s="2">
        <v>0</v>
      </c>
      <c r="C603" s="2">
        <v>130</v>
      </c>
      <c r="D603" s="2">
        <v>2016</v>
      </c>
      <c r="E603" s="2" t="s">
        <v>67</v>
      </c>
      <c r="F603" s="2">
        <v>34</v>
      </c>
      <c r="G603" s="2">
        <v>20</v>
      </c>
      <c r="H603" s="2">
        <v>4</v>
      </c>
      <c r="I603" s="2">
        <v>10</v>
      </c>
      <c r="J603" s="2">
        <v>2</v>
      </c>
      <c r="K603" s="2">
        <v>0</v>
      </c>
      <c r="L603" s="2">
        <v>0</v>
      </c>
      <c r="M603" s="2" t="s">
        <v>34</v>
      </c>
      <c r="N603" s="2" t="s">
        <v>95</v>
      </c>
      <c r="O603" s="2" t="s">
        <v>36</v>
      </c>
      <c r="P603" s="2" t="s">
        <v>36</v>
      </c>
      <c r="Q603" s="2">
        <v>0</v>
      </c>
      <c r="R603" s="2">
        <v>0</v>
      </c>
      <c r="S603" s="2">
        <v>0</v>
      </c>
      <c r="T603" s="2" t="s">
        <v>57</v>
      </c>
      <c r="U603" s="2" t="s">
        <v>57</v>
      </c>
      <c r="V603" s="2">
        <v>0</v>
      </c>
      <c r="W603" s="2" t="s">
        <v>38</v>
      </c>
      <c r="X603" s="2"/>
      <c r="Y603" s="2"/>
      <c r="Z603" s="2">
        <v>0</v>
      </c>
      <c r="AA603" s="2" t="s">
        <v>39</v>
      </c>
      <c r="AB603" s="2">
        <v>189.86</v>
      </c>
      <c r="AC603" s="2">
        <v>0</v>
      </c>
      <c r="AD603" s="2">
        <v>0</v>
      </c>
      <c r="AE603" s="2" t="s">
        <v>40</v>
      </c>
      <c r="AF603" s="3">
        <v>42616</v>
      </c>
    </row>
    <row r="604" spans="1:32" x14ac:dyDescent="0.25">
      <c r="A604" s="2" t="s">
        <v>41</v>
      </c>
      <c r="B604" s="2">
        <v>1</v>
      </c>
      <c r="C604" s="2">
        <v>178</v>
      </c>
      <c r="D604" s="2">
        <v>2016</v>
      </c>
      <c r="E604" s="2" t="s">
        <v>67</v>
      </c>
      <c r="F604" s="2">
        <v>34</v>
      </c>
      <c r="G604" s="2">
        <v>18</v>
      </c>
      <c r="H604" s="2">
        <v>0</v>
      </c>
      <c r="I604" s="2">
        <v>3</v>
      </c>
      <c r="J604" s="2">
        <v>1</v>
      </c>
      <c r="K604" s="2">
        <v>1</v>
      </c>
      <c r="L604" s="2">
        <v>0</v>
      </c>
      <c r="M604" s="2" t="s">
        <v>34</v>
      </c>
      <c r="N604" s="2" t="s">
        <v>106</v>
      </c>
      <c r="O604" s="2" t="s">
        <v>44</v>
      </c>
      <c r="P604" s="2" t="s">
        <v>45</v>
      </c>
      <c r="Q604" s="2">
        <v>0</v>
      </c>
      <c r="R604" s="2">
        <v>0</v>
      </c>
      <c r="S604" s="2">
        <v>0</v>
      </c>
      <c r="T604" s="2" t="s">
        <v>46</v>
      </c>
      <c r="U604" s="2" t="s">
        <v>46</v>
      </c>
      <c r="V604" s="2">
        <v>0</v>
      </c>
      <c r="W604" s="2" t="s">
        <v>38</v>
      </c>
      <c r="X604" s="2">
        <v>9</v>
      </c>
      <c r="Y604" s="2"/>
      <c r="Z604" s="2">
        <v>0</v>
      </c>
      <c r="AA604" s="2" t="s">
        <v>39</v>
      </c>
      <c r="AB604" s="2">
        <v>124.5</v>
      </c>
      <c r="AC604" s="2">
        <v>0</v>
      </c>
      <c r="AD604" s="2">
        <v>0</v>
      </c>
      <c r="AE604" s="2" t="s">
        <v>47</v>
      </c>
      <c r="AF604" s="3">
        <v>42433</v>
      </c>
    </row>
    <row r="605" spans="1:32" x14ac:dyDescent="0.25">
      <c r="A605" s="2" t="s">
        <v>32</v>
      </c>
      <c r="B605" s="2">
        <v>0</v>
      </c>
      <c r="C605" s="2">
        <v>4</v>
      </c>
      <c r="D605" s="2">
        <v>2016</v>
      </c>
      <c r="E605" s="2" t="s">
        <v>61</v>
      </c>
      <c r="F605" s="2">
        <v>48</v>
      </c>
      <c r="G605" s="2">
        <v>26</v>
      </c>
      <c r="H605" s="2">
        <v>2</v>
      </c>
      <c r="I605" s="2">
        <v>1</v>
      </c>
      <c r="J605" s="2">
        <v>1</v>
      </c>
      <c r="K605" s="2">
        <v>0</v>
      </c>
      <c r="L605" s="2">
        <v>0</v>
      </c>
      <c r="M605" s="2" t="s">
        <v>34</v>
      </c>
      <c r="N605" s="2" t="s">
        <v>70</v>
      </c>
      <c r="O605" s="2" t="s">
        <v>44</v>
      </c>
      <c r="P605" s="2" t="s">
        <v>45</v>
      </c>
      <c r="Q605" s="2">
        <v>0</v>
      </c>
      <c r="R605" s="2">
        <v>0</v>
      </c>
      <c r="S605" s="2">
        <v>0</v>
      </c>
      <c r="T605" s="2" t="s">
        <v>46</v>
      </c>
      <c r="U605" s="2" t="s">
        <v>57</v>
      </c>
      <c r="V605" s="2">
        <v>0</v>
      </c>
      <c r="W605" s="2" t="s">
        <v>38</v>
      </c>
      <c r="X605" s="2">
        <v>240</v>
      </c>
      <c r="Y605" s="2"/>
      <c r="Z605" s="2">
        <v>0</v>
      </c>
      <c r="AA605" s="2" t="s">
        <v>39</v>
      </c>
      <c r="AB605" s="2">
        <v>43</v>
      </c>
      <c r="AC605" s="2">
        <v>0</v>
      </c>
      <c r="AD605" s="2">
        <v>1</v>
      </c>
      <c r="AE605" s="2" t="s">
        <v>40</v>
      </c>
      <c r="AF605" s="3">
        <v>42703</v>
      </c>
    </row>
    <row r="606" spans="1:32" x14ac:dyDescent="0.25">
      <c r="A606" s="2" t="s">
        <v>41</v>
      </c>
      <c r="B606" s="2">
        <v>0</v>
      </c>
      <c r="C606" s="2">
        <v>7</v>
      </c>
      <c r="D606" s="2">
        <v>2016</v>
      </c>
      <c r="E606" s="2" t="s">
        <v>67</v>
      </c>
      <c r="F606" s="2">
        <v>35</v>
      </c>
      <c r="G606" s="2">
        <v>26</v>
      </c>
      <c r="H606" s="2">
        <v>2</v>
      </c>
      <c r="I606" s="2">
        <v>2</v>
      </c>
      <c r="J606" s="2">
        <v>2</v>
      </c>
      <c r="K606" s="2">
        <v>0</v>
      </c>
      <c r="L606" s="2">
        <v>0</v>
      </c>
      <c r="M606" s="2" t="s">
        <v>34</v>
      </c>
      <c r="N606" s="2" t="s">
        <v>78</v>
      </c>
      <c r="O606" s="2" t="s">
        <v>44</v>
      </c>
      <c r="P606" s="2" t="s">
        <v>45</v>
      </c>
      <c r="Q606" s="2">
        <v>0</v>
      </c>
      <c r="R606" s="2">
        <v>0</v>
      </c>
      <c r="S606" s="2">
        <v>0</v>
      </c>
      <c r="T606" s="2" t="s">
        <v>46</v>
      </c>
      <c r="U606" s="2" t="s">
        <v>46</v>
      </c>
      <c r="V606" s="2">
        <v>0</v>
      </c>
      <c r="W606" s="2" t="s">
        <v>38</v>
      </c>
      <c r="X606" s="2">
        <v>9</v>
      </c>
      <c r="Y606" s="2"/>
      <c r="Z606" s="2">
        <v>0</v>
      </c>
      <c r="AA606" s="2" t="s">
        <v>39</v>
      </c>
      <c r="AB606" s="2">
        <v>143</v>
      </c>
      <c r="AC606" s="2">
        <v>0</v>
      </c>
      <c r="AD606" s="2">
        <v>1</v>
      </c>
      <c r="AE606" s="2" t="s">
        <v>40</v>
      </c>
      <c r="AF606" s="3">
        <v>42612</v>
      </c>
    </row>
    <row r="607" spans="1:32" x14ac:dyDescent="0.25">
      <c r="A607" s="2" t="s">
        <v>41</v>
      </c>
      <c r="B607" s="2">
        <v>1</v>
      </c>
      <c r="C607" s="2">
        <v>230</v>
      </c>
      <c r="D607" s="2">
        <v>2016</v>
      </c>
      <c r="E607" s="2" t="s">
        <v>42</v>
      </c>
      <c r="F607" s="2">
        <v>31</v>
      </c>
      <c r="G607" s="2">
        <v>26</v>
      </c>
      <c r="H607" s="2">
        <v>0</v>
      </c>
      <c r="I607" s="2">
        <v>3</v>
      </c>
      <c r="J607" s="2">
        <v>2</v>
      </c>
      <c r="K607" s="2">
        <v>0</v>
      </c>
      <c r="L607" s="2">
        <v>0</v>
      </c>
      <c r="M607" s="2" t="s">
        <v>34</v>
      </c>
      <c r="N607" s="2" t="s">
        <v>65</v>
      </c>
      <c r="O607" s="2" t="s">
        <v>44</v>
      </c>
      <c r="P607" s="2" t="s">
        <v>45</v>
      </c>
      <c r="Q607" s="2">
        <v>0</v>
      </c>
      <c r="R607" s="2">
        <v>0</v>
      </c>
      <c r="S607" s="2">
        <v>0</v>
      </c>
      <c r="T607" s="2" t="s">
        <v>86</v>
      </c>
      <c r="U607" s="2" t="s">
        <v>86</v>
      </c>
      <c r="V607" s="2">
        <v>1</v>
      </c>
      <c r="W607" s="2" t="s">
        <v>38</v>
      </c>
      <c r="X607" s="2">
        <v>9</v>
      </c>
      <c r="Y607" s="2"/>
      <c r="Z607" s="2">
        <v>0</v>
      </c>
      <c r="AA607" s="2" t="s">
        <v>51</v>
      </c>
      <c r="AB607" s="2">
        <v>95.75</v>
      </c>
      <c r="AC607" s="2">
        <v>0</v>
      </c>
      <c r="AD607" s="2">
        <v>1</v>
      </c>
      <c r="AE607" s="2" t="s">
        <v>47</v>
      </c>
      <c r="AF607" s="3">
        <v>42394</v>
      </c>
    </row>
    <row r="608" spans="1:32" x14ac:dyDescent="0.25">
      <c r="A608" s="2" t="s">
        <v>32</v>
      </c>
      <c r="B608" s="2">
        <v>1</v>
      </c>
      <c r="C608" s="2">
        <v>72</v>
      </c>
      <c r="D608" s="2">
        <v>2016</v>
      </c>
      <c r="E608" s="2" t="s">
        <v>66</v>
      </c>
      <c r="F608" s="2">
        <v>6</v>
      </c>
      <c r="G608" s="2">
        <v>6</v>
      </c>
      <c r="H608" s="2">
        <v>2</v>
      </c>
      <c r="I608" s="2">
        <v>1</v>
      </c>
      <c r="J608" s="2">
        <v>2</v>
      </c>
      <c r="K608" s="2">
        <v>0</v>
      </c>
      <c r="L608" s="2">
        <v>0</v>
      </c>
      <c r="M608" s="2" t="s">
        <v>60</v>
      </c>
      <c r="N608" s="2" t="s">
        <v>43</v>
      </c>
      <c r="O608" s="2" t="s">
        <v>64</v>
      </c>
      <c r="P608" s="2" t="s">
        <v>36</v>
      </c>
      <c r="Q608" s="2">
        <v>0</v>
      </c>
      <c r="R608" s="2">
        <v>0</v>
      </c>
      <c r="S608" s="2">
        <v>0</v>
      </c>
      <c r="T608" s="2" t="s">
        <v>57</v>
      </c>
      <c r="U608" s="2" t="s">
        <v>57</v>
      </c>
      <c r="V608" s="2">
        <v>0</v>
      </c>
      <c r="W608" s="2" t="s">
        <v>38</v>
      </c>
      <c r="X608" s="2"/>
      <c r="Y608" s="2"/>
      <c r="Z608" s="2">
        <v>0</v>
      </c>
      <c r="AA608" s="2" t="s">
        <v>51</v>
      </c>
      <c r="AB608" s="2">
        <v>73.33</v>
      </c>
      <c r="AC608" s="2">
        <v>0</v>
      </c>
      <c r="AD608" s="2">
        <v>0</v>
      </c>
      <c r="AE608" s="2" t="s">
        <v>47</v>
      </c>
      <c r="AF608" s="3">
        <v>42388</v>
      </c>
    </row>
    <row r="609" spans="1:32" x14ac:dyDescent="0.25">
      <c r="A609" s="2" t="s">
        <v>41</v>
      </c>
      <c r="B609" s="2">
        <v>0</v>
      </c>
      <c r="C609" s="2">
        <v>127</v>
      </c>
      <c r="D609" s="2">
        <v>2016</v>
      </c>
      <c r="E609" s="2" t="s">
        <v>54</v>
      </c>
      <c r="F609" s="2">
        <v>18</v>
      </c>
      <c r="G609" s="2">
        <v>28</v>
      </c>
      <c r="H609" s="2">
        <v>1</v>
      </c>
      <c r="I609" s="2">
        <v>3</v>
      </c>
      <c r="J609" s="2">
        <v>2</v>
      </c>
      <c r="K609" s="2">
        <v>0</v>
      </c>
      <c r="L609" s="2">
        <v>0</v>
      </c>
      <c r="M609" s="2" t="s">
        <v>34</v>
      </c>
      <c r="N609" s="2" t="s">
        <v>71</v>
      </c>
      <c r="O609" s="2" t="s">
        <v>49</v>
      </c>
      <c r="P609" s="2" t="s">
        <v>45</v>
      </c>
      <c r="Q609" s="2">
        <v>0</v>
      </c>
      <c r="R609" s="2">
        <v>0</v>
      </c>
      <c r="S609" s="2">
        <v>0</v>
      </c>
      <c r="T609" s="2" t="s">
        <v>46</v>
      </c>
      <c r="U609" s="2" t="s">
        <v>46</v>
      </c>
      <c r="V609" s="2">
        <v>0</v>
      </c>
      <c r="W609" s="2" t="s">
        <v>38</v>
      </c>
      <c r="X609" s="2">
        <v>3</v>
      </c>
      <c r="Y609" s="2"/>
      <c r="Z609" s="2">
        <v>0</v>
      </c>
      <c r="AA609" s="2" t="s">
        <v>39</v>
      </c>
      <c r="AB609" s="2">
        <v>90</v>
      </c>
      <c r="AC609" s="2">
        <v>0</v>
      </c>
      <c r="AD609" s="2">
        <v>0</v>
      </c>
      <c r="AE609" s="2" t="s">
        <v>40</v>
      </c>
      <c r="AF609" s="3">
        <v>42492</v>
      </c>
    </row>
    <row r="610" spans="1:32" x14ac:dyDescent="0.25">
      <c r="A610" s="2" t="s">
        <v>41</v>
      </c>
      <c r="B610" s="2">
        <v>1</v>
      </c>
      <c r="C610" s="2">
        <v>19</v>
      </c>
      <c r="D610" s="2">
        <v>2016</v>
      </c>
      <c r="E610" s="2" t="s">
        <v>62</v>
      </c>
      <c r="F610" s="2">
        <v>39</v>
      </c>
      <c r="G610" s="2">
        <v>23</v>
      </c>
      <c r="H610" s="2">
        <v>1</v>
      </c>
      <c r="I610" s="2">
        <v>2</v>
      </c>
      <c r="J610" s="2">
        <v>2</v>
      </c>
      <c r="K610" s="2">
        <v>0</v>
      </c>
      <c r="L610" s="2">
        <v>0</v>
      </c>
      <c r="M610" s="2" t="s">
        <v>34</v>
      </c>
      <c r="N610" s="2" t="s">
        <v>56</v>
      </c>
      <c r="O610" s="2" t="s">
        <v>44</v>
      </c>
      <c r="P610" s="2" t="s">
        <v>45</v>
      </c>
      <c r="Q610" s="2">
        <v>0</v>
      </c>
      <c r="R610" s="2">
        <v>0</v>
      </c>
      <c r="S610" s="2">
        <v>0</v>
      </c>
      <c r="T610" s="2" t="s">
        <v>46</v>
      </c>
      <c r="U610" s="2" t="s">
        <v>46</v>
      </c>
      <c r="V610" s="2">
        <v>0</v>
      </c>
      <c r="W610" s="2" t="s">
        <v>38</v>
      </c>
      <c r="X610" s="2">
        <v>9</v>
      </c>
      <c r="Y610" s="2"/>
      <c r="Z610" s="2">
        <v>0</v>
      </c>
      <c r="AA610" s="2" t="s">
        <v>39</v>
      </c>
      <c r="AB610" s="2">
        <v>159</v>
      </c>
      <c r="AC610" s="2">
        <v>0</v>
      </c>
      <c r="AD610" s="2">
        <v>1</v>
      </c>
      <c r="AE610" s="2" t="s">
        <v>47</v>
      </c>
      <c r="AF610" s="3">
        <v>42633</v>
      </c>
    </row>
    <row r="611" spans="1:32" x14ac:dyDescent="0.25">
      <c r="A611" s="2" t="s">
        <v>41</v>
      </c>
      <c r="B611" s="2">
        <v>0</v>
      </c>
      <c r="C611" s="2">
        <v>6</v>
      </c>
      <c r="D611" s="2">
        <v>2016</v>
      </c>
      <c r="E611" s="2" t="s">
        <v>62</v>
      </c>
      <c r="F611" s="2">
        <v>39</v>
      </c>
      <c r="G611" s="2">
        <v>22</v>
      </c>
      <c r="H611" s="2">
        <v>0</v>
      </c>
      <c r="I611" s="2">
        <v>1</v>
      </c>
      <c r="J611" s="2">
        <v>2</v>
      </c>
      <c r="K611" s="2">
        <v>0</v>
      </c>
      <c r="L611" s="2">
        <v>0</v>
      </c>
      <c r="M611" s="2" t="s">
        <v>55</v>
      </c>
      <c r="N611" s="2" t="s">
        <v>106</v>
      </c>
      <c r="O611" s="2" t="s">
        <v>44</v>
      </c>
      <c r="P611" s="2" t="s">
        <v>45</v>
      </c>
      <c r="Q611" s="2">
        <v>0</v>
      </c>
      <c r="R611" s="2">
        <v>0</v>
      </c>
      <c r="S611" s="2">
        <v>0</v>
      </c>
      <c r="T611" s="2" t="s">
        <v>46</v>
      </c>
      <c r="U611" s="2" t="s">
        <v>46</v>
      </c>
      <c r="V611" s="2">
        <v>0</v>
      </c>
      <c r="W611" s="2" t="s">
        <v>38</v>
      </c>
      <c r="X611" s="2">
        <v>9</v>
      </c>
      <c r="Y611" s="2"/>
      <c r="Z611" s="2">
        <v>0</v>
      </c>
      <c r="AA611" s="2" t="s">
        <v>39</v>
      </c>
      <c r="AB611" s="2">
        <v>159</v>
      </c>
      <c r="AC611" s="2">
        <v>0</v>
      </c>
      <c r="AD611" s="2">
        <v>3</v>
      </c>
      <c r="AE611" s="2" t="s">
        <v>40</v>
      </c>
      <c r="AF611" s="3">
        <v>42636</v>
      </c>
    </row>
    <row r="612" spans="1:32" x14ac:dyDescent="0.25">
      <c r="A612" s="2" t="s">
        <v>32</v>
      </c>
      <c r="B612" s="2">
        <v>0</v>
      </c>
      <c r="C612" s="2">
        <v>34</v>
      </c>
      <c r="D612" s="2">
        <v>2016</v>
      </c>
      <c r="E612" s="2" t="s">
        <v>52</v>
      </c>
      <c r="F612" s="2">
        <v>11</v>
      </c>
      <c r="G612" s="2">
        <v>8</v>
      </c>
      <c r="H612" s="2">
        <v>2</v>
      </c>
      <c r="I612" s="2">
        <v>5</v>
      </c>
      <c r="J612" s="2">
        <v>2</v>
      </c>
      <c r="K612" s="2">
        <v>0</v>
      </c>
      <c r="L612" s="2">
        <v>0</v>
      </c>
      <c r="M612" s="2" t="s">
        <v>90</v>
      </c>
      <c r="N612" s="2" t="s">
        <v>35</v>
      </c>
      <c r="O612" s="2" t="s">
        <v>49</v>
      </c>
      <c r="P612" s="2" t="s">
        <v>45</v>
      </c>
      <c r="Q612" s="2">
        <v>0</v>
      </c>
      <c r="R612" s="2">
        <v>0</v>
      </c>
      <c r="S612" s="2">
        <v>0</v>
      </c>
      <c r="T612" s="2" t="s">
        <v>72</v>
      </c>
      <c r="U612" s="2" t="s">
        <v>72</v>
      </c>
      <c r="V612" s="2">
        <v>0</v>
      </c>
      <c r="W612" s="2" t="s">
        <v>38</v>
      </c>
      <c r="X612" s="2">
        <v>115</v>
      </c>
      <c r="Y612" s="2"/>
      <c r="Z612" s="2">
        <v>0</v>
      </c>
      <c r="AA612" s="2" t="s">
        <v>39</v>
      </c>
      <c r="AB612" s="2">
        <v>83.33</v>
      </c>
      <c r="AC612" s="2">
        <v>0</v>
      </c>
      <c r="AD612" s="2">
        <v>1</v>
      </c>
      <c r="AE612" s="2" t="s">
        <v>40</v>
      </c>
      <c r="AF612" s="3">
        <v>42444</v>
      </c>
    </row>
    <row r="613" spans="1:32" x14ac:dyDescent="0.25">
      <c r="A613" s="2" t="s">
        <v>41</v>
      </c>
      <c r="B613" s="2">
        <v>1</v>
      </c>
      <c r="C613" s="2">
        <v>196</v>
      </c>
      <c r="D613" s="2">
        <v>2016</v>
      </c>
      <c r="E613" s="2" t="s">
        <v>67</v>
      </c>
      <c r="F613" s="2">
        <v>32</v>
      </c>
      <c r="G613" s="2">
        <v>4</v>
      </c>
      <c r="H613" s="2">
        <v>0</v>
      </c>
      <c r="I613" s="2">
        <v>3</v>
      </c>
      <c r="J613" s="2">
        <v>2</v>
      </c>
      <c r="K613" s="2">
        <v>0</v>
      </c>
      <c r="L613" s="2">
        <v>0</v>
      </c>
      <c r="M613" s="2" t="s">
        <v>34</v>
      </c>
      <c r="N613" s="2" t="s">
        <v>63</v>
      </c>
      <c r="O613" s="2" t="s">
        <v>44</v>
      </c>
      <c r="P613" s="2" t="s">
        <v>45</v>
      </c>
      <c r="Q613" s="2">
        <v>0</v>
      </c>
      <c r="R613" s="2">
        <v>0</v>
      </c>
      <c r="S613" s="2">
        <v>0</v>
      </c>
      <c r="T613" s="2" t="s">
        <v>46</v>
      </c>
      <c r="U613" s="2" t="s">
        <v>46</v>
      </c>
      <c r="V613" s="2">
        <v>0</v>
      </c>
      <c r="W613" s="2" t="s">
        <v>38</v>
      </c>
      <c r="X613" s="2">
        <v>9</v>
      </c>
      <c r="Y613" s="2"/>
      <c r="Z613" s="2">
        <v>0</v>
      </c>
      <c r="AA613" s="2" t="s">
        <v>39</v>
      </c>
      <c r="AB613" s="2">
        <v>105.3</v>
      </c>
      <c r="AC613" s="2">
        <v>0</v>
      </c>
      <c r="AD613" s="2">
        <v>0</v>
      </c>
      <c r="AE613" s="2" t="s">
        <v>47</v>
      </c>
      <c r="AF613" s="3">
        <v>42394</v>
      </c>
    </row>
    <row r="614" spans="1:32" x14ac:dyDescent="0.25">
      <c r="A614" s="2" t="s">
        <v>32</v>
      </c>
      <c r="B614" s="2">
        <v>0</v>
      </c>
      <c r="C614" s="2">
        <v>3</v>
      </c>
      <c r="D614" s="2">
        <v>2016</v>
      </c>
      <c r="E614" s="2" t="s">
        <v>33</v>
      </c>
      <c r="F614" s="2">
        <v>49</v>
      </c>
      <c r="G614" s="2">
        <v>1</v>
      </c>
      <c r="H614" s="2">
        <v>0</v>
      </c>
      <c r="I614" s="2">
        <v>2</v>
      </c>
      <c r="J614" s="2">
        <v>2</v>
      </c>
      <c r="K614" s="2">
        <v>0</v>
      </c>
      <c r="L614" s="2">
        <v>0</v>
      </c>
      <c r="M614" s="2" t="s">
        <v>34</v>
      </c>
      <c r="N614" s="2" t="s">
        <v>43</v>
      </c>
      <c r="O614" s="2" t="s">
        <v>44</v>
      </c>
      <c r="P614" s="2" t="s">
        <v>45</v>
      </c>
      <c r="Q614" s="2">
        <v>0</v>
      </c>
      <c r="R614" s="2">
        <v>0</v>
      </c>
      <c r="S614" s="2">
        <v>0</v>
      </c>
      <c r="T614" s="2" t="s">
        <v>46</v>
      </c>
      <c r="U614" s="2" t="s">
        <v>57</v>
      </c>
      <c r="V614" s="2">
        <v>0</v>
      </c>
      <c r="W614" s="2" t="s">
        <v>38</v>
      </c>
      <c r="X614" s="2">
        <v>240</v>
      </c>
      <c r="Y614" s="2"/>
      <c r="Z614" s="2">
        <v>0</v>
      </c>
      <c r="AA614" s="2" t="s">
        <v>39</v>
      </c>
      <c r="AB614" s="2">
        <v>48</v>
      </c>
      <c r="AC614" s="2">
        <v>0</v>
      </c>
      <c r="AD614" s="2">
        <v>1</v>
      </c>
      <c r="AE614" s="2" t="s">
        <v>40</v>
      </c>
      <c r="AF614" s="3">
        <v>42707</v>
      </c>
    </row>
    <row r="615" spans="1:32" x14ac:dyDescent="0.25">
      <c r="A615" s="2" t="s">
        <v>32</v>
      </c>
      <c r="B615" s="2">
        <v>0</v>
      </c>
      <c r="C615" s="2">
        <v>6</v>
      </c>
      <c r="D615" s="2">
        <v>2016</v>
      </c>
      <c r="E615" s="2" t="s">
        <v>52</v>
      </c>
      <c r="F615" s="2">
        <v>12</v>
      </c>
      <c r="G615" s="2">
        <v>15</v>
      </c>
      <c r="H615" s="2">
        <v>0</v>
      </c>
      <c r="I615" s="2">
        <v>2</v>
      </c>
      <c r="J615" s="2">
        <v>1</v>
      </c>
      <c r="K615" s="2">
        <v>0</v>
      </c>
      <c r="L615" s="2">
        <v>0</v>
      </c>
      <c r="M615" s="2" t="s">
        <v>34</v>
      </c>
      <c r="N615" s="2"/>
      <c r="O615" s="2" t="s">
        <v>76</v>
      </c>
      <c r="P615" s="2" t="s">
        <v>76</v>
      </c>
      <c r="Q615" s="2">
        <v>0</v>
      </c>
      <c r="R615" s="2">
        <v>0</v>
      </c>
      <c r="S615" s="2">
        <v>0</v>
      </c>
      <c r="T615" s="2" t="s">
        <v>46</v>
      </c>
      <c r="U615" s="2" t="s">
        <v>57</v>
      </c>
      <c r="V615" s="2">
        <v>0</v>
      </c>
      <c r="W615" s="2" t="s">
        <v>38</v>
      </c>
      <c r="X615" s="2"/>
      <c r="Y615" s="2"/>
      <c r="Z615" s="2">
        <v>0</v>
      </c>
      <c r="AA615" s="2" t="s">
        <v>39</v>
      </c>
      <c r="AB615" s="2">
        <v>30</v>
      </c>
      <c r="AC615" s="2">
        <v>0</v>
      </c>
      <c r="AD615" s="2">
        <v>0</v>
      </c>
      <c r="AE615" s="2" t="s">
        <v>40</v>
      </c>
      <c r="AF615" s="3">
        <v>42446</v>
      </c>
    </row>
    <row r="616" spans="1:32" x14ac:dyDescent="0.25">
      <c r="A616" s="2" t="s">
        <v>41</v>
      </c>
      <c r="B616" s="2">
        <v>0</v>
      </c>
      <c r="C616" s="2">
        <v>115</v>
      </c>
      <c r="D616" s="2">
        <v>2016</v>
      </c>
      <c r="E616" s="2" t="s">
        <v>69</v>
      </c>
      <c r="F616" s="2">
        <v>19</v>
      </c>
      <c r="G616" s="2">
        <v>4</v>
      </c>
      <c r="H616" s="2">
        <v>1</v>
      </c>
      <c r="I616" s="2">
        <v>4</v>
      </c>
      <c r="J616" s="2">
        <v>2</v>
      </c>
      <c r="K616" s="2">
        <v>0</v>
      </c>
      <c r="L616" s="2">
        <v>0</v>
      </c>
      <c r="M616" s="2" t="s">
        <v>34</v>
      </c>
      <c r="N616" s="2" t="s">
        <v>56</v>
      </c>
      <c r="O616" s="2" t="s">
        <v>44</v>
      </c>
      <c r="P616" s="2" t="s">
        <v>45</v>
      </c>
      <c r="Q616" s="2">
        <v>0</v>
      </c>
      <c r="R616" s="2">
        <v>0</v>
      </c>
      <c r="S616" s="2">
        <v>0</v>
      </c>
      <c r="T616" s="2" t="s">
        <v>46</v>
      </c>
      <c r="U616" s="2" t="s">
        <v>46</v>
      </c>
      <c r="V616" s="2">
        <v>0</v>
      </c>
      <c r="W616" s="2" t="s">
        <v>38</v>
      </c>
      <c r="X616" s="2">
        <v>9</v>
      </c>
      <c r="Y616" s="2"/>
      <c r="Z616" s="2">
        <v>0</v>
      </c>
      <c r="AA616" s="2" t="s">
        <v>51</v>
      </c>
      <c r="AB616" s="2">
        <v>99.45</v>
      </c>
      <c r="AC616" s="2">
        <v>0</v>
      </c>
      <c r="AD616" s="2">
        <v>1</v>
      </c>
      <c r="AE616" s="2" t="s">
        <v>40</v>
      </c>
      <c r="AF616" s="3">
        <v>42499</v>
      </c>
    </row>
    <row r="617" spans="1:32" x14ac:dyDescent="0.25">
      <c r="A617" s="2" t="s">
        <v>41</v>
      </c>
      <c r="B617" s="2">
        <v>0</v>
      </c>
      <c r="C617" s="2">
        <v>115</v>
      </c>
      <c r="D617" s="2">
        <v>2016</v>
      </c>
      <c r="E617" s="2" t="s">
        <v>54</v>
      </c>
      <c r="F617" s="2">
        <v>15</v>
      </c>
      <c r="G617" s="2">
        <v>8</v>
      </c>
      <c r="H617" s="2">
        <v>0</v>
      </c>
      <c r="I617" s="2">
        <v>2</v>
      </c>
      <c r="J617" s="2">
        <v>1</v>
      </c>
      <c r="K617" s="2">
        <v>0</v>
      </c>
      <c r="L617" s="2">
        <v>0</v>
      </c>
      <c r="M617" s="2" t="s">
        <v>34</v>
      </c>
      <c r="N617" s="2" t="s">
        <v>43</v>
      </c>
      <c r="O617" s="2" t="s">
        <v>64</v>
      </c>
      <c r="P617" s="2" t="s">
        <v>45</v>
      </c>
      <c r="Q617" s="2">
        <v>0</v>
      </c>
      <c r="R617" s="2">
        <v>0</v>
      </c>
      <c r="S617" s="2">
        <v>0</v>
      </c>
      <c r="T617" s="2" t="s">
        <v>46</v>
      </c>
      <c r="U617" s="2" t="s">
        <v>46</v>
      </c>
      <c r="V617" s="2">
        <v>1</v>
      </c>
      <c r="W617" s="2" t="s">
        <v>38</v>
      </c>
      <c r="X617" s="2">
        <v>1</v>
      </c>
      <c r="Y617" s="2"/>
      <c r="Z617" s="2">
        <v>34</v>
      </c>
      <c r="AA617" s="2" t="s">
        <v>51</v>
      </c>
      <c r="AB617" s="2">
        <v>57.5</v>
      </c>
      <c r="AC617" s="2">
        <v>0</v>
      </c>
      <c r="AD617" s="2">
        <v>0</v>
      </c>
      <c r="AE617" s="2" t="s">
        <v>40</v>
      </c>
      <c r="AF617" s="3">
        <v>42470</v>
      </c>
    </row>
    <row r="618" spans="1:32" x14ac:dyDescent="0.25">
      <c r="A618" s="2" t="s">
        <v>41</v>
      </c>
      <c r="B618" s="2">
        <v>1</v>
      </c>
      <c r="C618" s="2">
        <v>302</v>
      </c>
      <c r="D618" s="2">
        <v>2016</v>
      </c>
      <c r="E618" s="2" t="s">
        <v>59</v>
      </c>
      <c r="F618" s="2">
        <v>41</v>
      </c>
      <c r="G618" s="2">
        <v>6</v>
      </c>
      <c r="H618" s="2">
        <v>0</v>
      </c>
      <c r="I618" s="2">
        <v>3</v>
      </c>
      <c r="J618" s="2">
        <v>2</v>
      </c>
      <c r="K618" s="2">
        <v>0</v>
      </c>
      <c r="L618" s="2">
        <v>0</v>
      </c>
      <c r="M618" s="2" t="s">
        <v>34</v>
      </c>
      <c r="N618" s="2" t="s">
        <v>43</v>
      </c>
      <c r="O618" s="2" t="s">
        <v>49</v>
      </c>
      <c r="P618" s="2" t="s">
        <v>45</v>
      </c>
      <c r="Q618" s="2">
        <v>0</v>
      </c>
      <c r="R618" s="2">
        <v>1</v>
      </c>
      <c r="S618" s="2">
        <v>0</v>
      </c>
      <c r="T618" s="2" t="s">
        <v>46</v>
      </c>
      <c r="U618" s="2" t="s">
        <v>46</v>
      </c>
      <c r="V618" s="2">
        <v>0</v>
      </c>
      <c r="W618" s="2" t="s">
        <v>68</v>
      </c>
      <c r="X618" s="2">
        <v>3</v>
      </c>
      <c r="Y618" s="2"/>
      <c r="Z618" s="2">
        <v>0</v>
      </c>
      <c r="AA618" s="2" t="s">
        <v>39</v>
      </c>
      <c r="AB618" s="2">
        <v>105</v>
      </c>
      <c r="AC618" s="2">
        <v>0</v>
      </c>
      <c r="AD618" s="2">
        <v>0</v>
      </c>
      <c r="AE618" s="2" t="s">
        <v>47</v>
      </c>
      <c r="AF618" s="3">
        <v>42367</v>
      </c>
    </row>
    <row r="619" spans="1:32" x14ac:dyDescent="0.25">
      <c r="A619" s="2" t="s">
        <v>32</v>
      </c>
      <c r="B619" s="2">
        <v>0</v>
      </c>
      <c r="C619" s="2">
        <v>129</v>
      </c>
      <c r="D619" s="2">
        <v>2016</v>
      </c>
      <c r="E619" s="2" t="s">
        <v>42</v>
      </c>
      <c r="F619" s="2">
        <v>29</v>
      </c>
      <c r="G619" s="2">
        <v>10</v>
      </c>
      <c r="H619" s="2">
        <v>2</v>
      </c>
      <c r="I619" s="2">
        <v>4</v>
      </c>
      <c r="J619" s="2">
        <v>2</v>
      </c>
      <c r="K619" s="2">
        <v>0</v>
      </c>
      <c r="L619" s="2">
        <v>0</v>
      </c>
      <c r="M619" s="2" t="s">
        <v>34</v>
      </c>
      <c r="N619" s="2" t="s">
        <v>43</v>
      </c>
      <c r="O619" s="2" t="s">
        <v>44</v>
      </c>
      <c r="P619" s="2" t="s">
        <v>45</v>
      </c>
      <c r="Q619" s="2">
        <v>0</v>
      </c>
      <c r="R619" s="2">
        <v>0</v>
      </c>
      <c r="S619" s="2">
        <v>0</v>
      </c>
      <c r="T619" s="2" t="s">
        <v>46</v>
      </c>
      <c r="U619" s="2" t="s">
        <v>46</v>
      </c>
      <c r="V619" s="2">
        <v>0</v>
      </c>
      <c r="W619" s="2" t="s">
        <v>38</v>
      </c>
      <c r="X619" s="2">
        <v>240</v>
      </c>
      <c r="Y619" s="2"/>
      <c r="Z619" s="2">
        <v>0</v>
      </c>
      <c r="AA619" s="2" t="s">
        <v>39</v>
      </c>
      <c r="AB619" s="2">
        <v>158.66999999999999</v>
      </c>
      <c r="AC619" s="2">
        <v>1</v>
      </c>
      <c r="AD619" s="2">
        <v>3</v>
      </c>
      <c r="AE619" s="2" t="s">
        <v>40</v>
      </c>
      <c r="AF619" s="3">
        <v>42567</v>
      </c>
    </row>
    <row r="620" spans="1:32" x14ac:dyDescent="0.25">
      <c r="A620" s="2" t="s">
        <v>41</v>
      </c>
      <c r="B620" s="2">
        <v>0</v>
      </c>
      <c r="C620" s="2">
        <v>9</v>
      </c>
      <c r="D620" s="2">
        <v>2016</v>
      </c>
      <c r="E620" s="2" t="s">
        <v>83</v>
      </c>
      <c r="F620" s="2">
        <v>25</v>
      </c>
      <c r="G620" s="2">
        <v>17</v>
      </c>
      <c r="H620" s="2">
        <v>1</v>
      </c>
      <c r="I620" s="2">
        <v>2</v>
      </c>
      <c r="J620" s="2">
        <v>2</v>
      </c>
      <c r="K620" s="2">
        <v>1</v>
      </c>
      <c r="L620" s="2">
        <v>0</v>
      </c>
      <c r="M620" s="2" t="s">
        <v>34</v>
      </c>
      <c r="N620" s="2" t="s">
        <v>35</v>
      </c>
      <c r="O620" s="2" t="s">
        <v>49</v>
      </c>
      <c r="P620" s="2" t="s">
        <v>45</v>
      </c>
      <c r="Q620" s="2">
        <v>0</v>
      </c>
      <c r="R620" s="2">
        <v>0</v>
      </c>
      <c r="S620" s="2">
        <v>0</v>
      </c>
      <c r="T620" s="2" t="s">
        <v>46</v>
      </c>
      <c r="U620" s="2" t="s">
        <v>57</v>
      </c>
      <c r="V620" s="2">
        <v>0</v>
      </c>
      <c r="W620" s="2" t="s">
        <v>38</v>
      </c>
      <c r="X620" s="2">
        <v>138</v>
      </c>
      <c r="Y620" s="2"/>
      <c r="Z620" s="2">
        <v>0</v>
      </c>
      <c r="AA620" s="2" t="s">
        <v>39</v>
      </c>
      <c r="AB620" s="2">
        <v>95</v>
      </c>
      <c r="AC620" s="2">
        <v>0</v>
      </c>
      <c r="AD620" s="2">
        <v>1</v>
      </c>
      <c r="AE620" s="2" t="s">
        <v>40</v>
      </c>
      <c r="AF620" s="3">
        <v>42541</v>
      </c>
    </row>
    <row r="621" spans="1:32" x14ac:dyDescent="0.25">
      <c r="A621" s="2" t="s">
        <v>41</v>
      </c>
      <c r="B621" s="2">
        <v>0</v>
      </c>
      <c r="C621" s="2">
        <v>28</v>
      </c>
      <c r="D621" s="2">
        <v>2016</v>
      </c>
      <c r="E621" s="2" t="s">
        <v>83</v>
      </c>
      <c r="F621" s="2">
        <v>25</v>
      </c>
      <c r="G621" s="2">
        <v>14</v>
      </c>
      <c r="H621" s="2">
        <v>0</v>
      </c>
      <c r="I621" s="2">
        <v>3</v>
      </c>
      <c r="J621" s="2">
        <v>1</v>
      </c>
      <c r="K621" s="2">
        <v>0</v>
      </c>
      <c r="L621" s="2">
        <v>0</v>
      </c>
      <c r="M621" s="2" t="s">
        <v>34</v>
      </c>
      <c r="N621" s="2" t="s">
        <v>78</v>
      </c>
      <c r="O621" s="2" t="s">
        <v>44</v>
      </c>
      <c r="P621" s="2" t="s">
        <v>45</v>
      </c>
      <c r="Q621" s="2">
        <v>0</v>
      </c>
      <c r="R621" s="2">
        <v>0</v>
      </c>
      <c r="S621" s="2">
        <v>0</v>
      </c>
      <c r="T621" s="2" t="s">
        <v>57</v>
      </c>
      <c r="U621" s="2" t="s">
        <v>57</v>
      </c>
      <c r="V621" s="2">
        <v>0</v>
      </c>
      <c r="W621" s="2" t="s">
        <v>38</v>
      </c>
      <c r="X621" s="2">
        <v>7</v>
      </c>
      <c r="Y621" s="2"/>
      <c r="Z621" s="2">
        <v>0</v>
      </c>
      <c r="AA621" s="2" t="s">
        <v>39</v>
      </c>
      <c r="AB621" s="2">
        <v>108.42</v>
      </c>
      <c r="AC621" s="2">
        <v>0</v>
      </c>
      <c r="AD621" s="2">
        <v>1</v>
      </c>
      <c r="AE621" s="2" t="s">
        <v>40</v>
      </c>
      <c r="AF621" s="3">
        <v>42538</v>
      </c>
    </row>
    <row r="622" spans="1:32" x14ac:dyDescent="0.25">
      <c r="A622" s="2" t="s">
        <v>41</v>
      </c>
      <c r="B622" s="2">
        <v>1</v>
      </c>
      <c r="C622" s="2">
        <v>127</v>
      </c>
      <c r="D622" s="2">
        <v>2016</v>
      </c>
      <c r="E622" s="2" t="s">
        <v>54</v>
      </c>
      <c r="F622" s="2">
        <v>18</v>
      </c>
      <c r="G622" s="2">
        <v>28</v>
      </c>
      <c r="H622" s="2">
        <v>1</v>
      </c>
      <c r="I622" s="2">
        <v>3</v>
      </c>
      <c r="J622" s="2">
        <v>1</v>
      </c>
      <c r="K622" s="2">
        <v>0</v>
      </c>
      <c r="L622" s="2">
        <v>0</v>
      </c>
      <c r="M622" s="2" t="s">
        <v>34</v>
      </c>
      <c r="N622" s="2" t="s">
        <v>43</v>
      </c>
      <c r="O622" s="2" t="s">
        <v>49</v>
      </c>
      <c r="P622" s="2" t="s">
        <v>45</v>
      </c>
      <c r="Q622" s="2">
        <v>0</v>
      </c>
      <c r="R622" s="2">
        <v>0</v>
      </c>
      <c r="S622" s="2">
        <v>0</v>
      </c>
      <c r="T622" s="2" t="s">
        <v>46</v>
      </c>
      <c r="U622" s="2" t="s">
        <v>46</v>
      </c>
      <c r="V622" s="2">
        <v>0</v>
      </c>
      <c r="W622" s="2" t="s">
        <v>38</v>
      </c>
      <c r="X622" s="2">
        <v>3</v>
      </c>
      <c r="Y622" s="2"/>
      <c r="Z622" s="2">
        <v>0</v>
      </c>
      <c r="AA622" s="2" t="s">
        <v>51</v>
      </c>
      <c r="AB622" s="2">
        <v>80</v>
      </c>
      <c r="AC622" s="2">
        <v>0</v>
      </c>
      <c r="AD622" s="2">
        <v>0</v>
      </c>
      <c r="AE622" s="2" t="s">
        <v>47</v>
      </c>
      <c r="AF622" s="3">
        <v>42410</v>
      </c>
    </row>
    <row r="623" spans="1:32" x14ac:dyDescent="0.25">
      <c r="A623" s="2" t="s">
        <v>41</v>
      </c>
      <c r="B623" s="2">
        <v>0</v>
      </c>
      <c r="C623" s="2">
        <v>153</v>
      </c>
      <c r="D623" s="2">
        <v>2016</v>
      </c>
      <c r="E623" s="2" t="s">
        <v>42</v>
      </c>
      <c r="F623" s="2">
        <v>30</v>
      </c>
      <c r="G623" s="2">
        <v>23</v>
      </c>
      <c r="H623" s="2">
        <v>2</v>
      </c>
      <c r="I623" s="2">
        <v>2</v>
      </c>
      <c r="J623" s="2">
        <v>2</v>
      </c>
      <c r="K623" s="2">
        <v>0</v>
      </c>
      <c r="L623" s="2">
        <v>0</v>
      </c>
      <c r="M623" s="2" t="s">
        <v>34</v>
      </c>
      <c r="N623" s="2" t="s">
        <v>70</v>
      </c>
      <c r="O623" s="2" t="s">
        <v>44</v>
      </c>
      <c r="P623" s="2" t="s">
        <v>45</v>
      </c>
      <c r="Q623" s="2">
        <v>0</v>
      </c>
      <c r="R623" s="2">
        <v>0</v>
      </c>
      <c r="S623" s="2">
        <v>0</v>
      </c>
      <c r="T623" s="2" t="s">
        <v>46</v>
      </c>
      <c r="U623" s="2" t="s">
        <v>46</v>
      </c>
      <c r="V623" s="2">
        <v>0</v>
      </c>
      <c r="W623" s="2" t="s">
        <v>38</v>
      </c>
      <c r="X623" s="2">
        <v>9</v>
      </c>
      <c r="Y623" s="2"/>
      <c r="Z623" s="2">
        <v>0</v>
      </c>
      <c r="AA623" s="2" t="s">
        <v>39</v>
      </c>
      <c r="AB623" s="2">
        <v>108.45</v>
      </c>
      <c r="AC623" s="2">
        <v>0</v>
      </c>
      <c r="AD623" s="2">
        <v>1</v>
      </c>
      <c r="AE623" s="2" t="s">
        <v>40</v>
      </c>
      <c r="AF623" s="3">
        <v>42578</v>
      </c>
    </row>
    <row r="624" spans="1:32" x14ac:dyDescent="0.25">
      <c r="A624" s="2" t="s">
        <v>41</v>
      </c>
      <c r="B624" s="2">
        <v>1</v>
      </c>
      <c r="C624" s="2">
        <v>31</v>
      </c>
      <c r="D624" s="2">
        <v>2016</v>
      </c>
      <c r="E624" s="2" t="s">
        <v>61</v>
      </c>
      <c r="F624" s="2">
        <v>48</v>
      </c>
      <c r="G624" s="2">
        <v>23</v>
      </c>
      <c r="H624" s="2">
        <v>0</v>
      </c>
      <c r="I624" s="2">
        <v>4</v>
      </c>
      <c r="J624" s="2">
        <v>2</v>
      </c>
      <c r="K624" s="2">
        <v>0</v>
      </c>
      <c r="L624" s="2">
        <v>0</v>
      </c>
      <c r="M624" s="2" t="s">
        <v>34</v>
      </c>
      <c r="N624" s="2" t="s">
        <v>105</v>
      </c>
      <c r="O624" s="2" t="s">
        <v>44</v>
      </c>
      <c r="P624" s="2" t="s">
        <v>45</v>
      </c>
      <c r="Q624" s="2">
        <v>0</v>
      </c>
      <c r="R624" s="2">
        <v>0</v>
      </c>
      <c r="S624" s="2">
        <v>0</v>
      </c>
      <c r="T624" s="2" t="s">
        <v>86</v>
      </c>
      <c r="U624" s="2" t="s">
        <v>86</v>
      </c>
      <c r="V624" s="2">
        <v>1</v>
      </c>
      <c r="W624" s="2" t="s">
        <v>38</v>
      </c>
      <c r="X624" s="2">
        <v>9</v>
      </c>
      <c r="Y624" s="2"/>
      <c r="Z624" s="2">
        <v>0</v>
      </c>
      <c r="AA624" s="2" t="s">
        <v>39</v>
      </c>
      <c r="AB624" s="2">
        <v>77.86</v>
      </c>
      <c r="AC624" s="2">
        <v>0</v>
      </c>
      <c r="AD624" s="2">
        <v>2</v>
      </c>
      <c r="AE624" s="2" t="s">
        <v>47</v>
      </c>
      <c r="AF624" s="3">
        <v>42685</v>
      </c>
    </row>
    <row r="625" spans="1:32" x14ac:dyDescent="0.25">
      <c r="A625" s="2" t="s">
        <v>41</v>
      </c>
      <c r="B625" s="2">
        <v>0</v>
      </c>
      <c r="C625" s="2">
        <v>34</v>
      </c>
      <c r="D625" s="2">
        <v>2016</v>
      </c>
      <c r="E625" s="2" t="s">
        <v>83</v>
      </c>
      <c r="F625" s="2">
        <v>25</v>
      </c>
      <c r="G625" s="2">
        <v>14</v>
      </c>
      <c r="H625" s="2">
        <v>0</v>
      </c>
      <c r="I625" s="2">
        <v>3</v>
      </c>
      <c r="J625" s="2">
        <v>2</v>
      </c>
      <c r="K625" s="2">
        <v>0</v>
      </c>
      <c r="L625" s="2">
        <v>0</v>
      </c>
      <c r="M625" s="2" t="s">
        <v>55</v>
      </c>
      <c r="N625" s="2" t="s">
        <v>43</v>
      </c>
      <c r="O625" s="2" t="s">
        <v>44</v>
      </c>
      <c r="P625" s="2" t="s">
        <v>45</v>
      </c>
      <c r="Q625" s="2">
        <v>0</v>
      </c>
      <c r="R625" s="2">
        <v>0</v>
      </c>
      <c r="S625" s="2">
        <v>0</v>
      </c>
      <c r="T625" s="2" t="s">
        <v>46</v>
      </c>
      <c r="U625" s="2" t="s">
        <v>46</v>
      </c>
      <c r="V625" s="2">
        <v>0</v>
      </c>
      <c r="W625" s="2" t="s">
        <v>38</v>
      </c>
      <c r="X625" s="2">
        <v>9</v>
      </c>
      <c r="Y625" s="2"/>
      <c r="Z625" s="2">
        <v>0</v>
      </c>
      <c r="AA625" s="2" t="s">
        <v>39</v>
      </c>
      <c r="AB625" s="2">
        <v>107.1</v>
      </c>
      <c r="AC625" s="2">
        <v>0</v>
      </c>
      <c r="AD625" s="2">
        <v>1</v>
      </c>
      <c r="AE625" s="2" t="s">
        <v>40</v>
      </c>
      <c r="AF625" s="3">
        <v>42538</v>
      </c>
    </row>
    <row r="626" spans="1:32" x14ac:dyDescent="0.25">
      <c r="A626" s="2" t="s">
        <v>41</v>
      </c>
      <c r="B626" s="2">
        <v>0</v>
      </c>
      <c r="C626" s="2">
        <v>1</v>
      </c>
      <c r="D626" s="2">
        <v>2016</v>
      </c>
      <c r="E626" s="2" t="s">
        <v>74</v>
      </c>
      <c r="F626" s="2">
        <v>2</v>
      </c>
      <c r="G626" s="2">
        <v>8</v>
      </c>
      <c r="H626" s="2">
        <v>0</v>
      </c>
      <c r="I626" s="2">
        <v>2</v>
      </c>
      <c r="J626" s="2">
        <v>2</v>
      </c>
      <c r="K626" s="2">
        <v>0</v>
      </c>
      <c r="L626" s="2">
        <v>0</v>
      </c>
      <c r="M626" s="2" t="s">
        <v>55</v>
      </c>
      <c r="N626" s="2" t="s">
        <v>48</v>
      </c>
      <c r="O626" s="2" t="s">
        <v>44</v>
      </c>
      <c r="P626" s="2" t="s">
        <v>45</v>
      </c>
      <c r="Q626" s="2">
        <v>1</v>
      </c>
      <c r="R626" s="2">
        <v>11</v>
      </c>
      <c r="S626" s="2">
        <v>0</v>
      </c>
      <c r="T626" s="2" t="s">
        <v>46</v>
      </c>
      <c r="U626" s="2" t="s">
        <v>46</v>
      </c>
      <c r="V626" s="2">
        <v>0</v>
      </c>
      <c r="W626" s="2" t="s">
        <v>38</v>
      </c>
      <c r="X626" s="2">
        <v>9</v>
      </c>
      <c r="Y626" s="2"/>
      <c r="Z626" s="2">
        <v>0</v>
      </c>
      <c r="AA626" s="2" t="s">
        <v>51</v>
      </c>
      <c r="AB626" s="2">
        <v>67.5</v>
      </c>
      <c r="AC626" s="2">
        <v>0</v>
      </c>
      <c r="AD626" s="2">
        <v>0</v>
      </c>
      <c r="AE626" s="2" t="s">
        <v>40</v>
      </c>
      <c r="AF626" s="3">
        <v>42379</v>
      </c>
    </row>
    <row r="627" spans="1:32" x14ac:dyDescent="0.25">
      <c r="A627" s="2" t="s">
        <v>41</v>
      </c>
      <c r="B627" s="2">
        <v>1</v>
      </c>
      <c r="C627" s="2">
        <v>14</v>
      </c>
      <c r="D627" s="2">
        <v>2016</v>
      </c>
      <c r="E627" s="2" t="s">
        <v>54</v>
      </c>
      <c r="F627" s="2">
        <v>16</v>
      </c>
      <c r="G627" s="2">
        <v>16</v>
      </c>
      <c r="H627" s="2">
        <v>2</v>
      </c>
      <c r="I627" s="2">
        <v>1</v>
      </c>
      <c r="J627" s="2">
        <v>2</v>
      </c>
      <c r="K627" s="2">
        <v>1</v>
      </c>
      <c r="L627" s="2">
        <v>0</v>
      </c>
      <c r="M627" s="2" t="s">
        <v>34</v>
      </c>
      <c r="N627" s="2" t="s">
        <v>43</v>
      </c>
      <c r="O627" s="2" t="s">
        <v>44</v>
      </c>
      <c r="P627" s="2" t="s">
        <v>45</v>
      </c>
      <c r="Q627" s="2">
        <v>0</v>
      </c>
      <c r="R627" s="2">
        <v>0</v>
      </c>
      <c r="S627" s="2">
        <v>0</v>
      </c>
      <c r="T627" s="2" t="s">
        <v>46</v>
      </c>
      <c r="U627" s="2" t="s">
        <v>46</v>
      </c>
      <c r="V627" s="2">
        <v>0</v>
      </c>
      <c r="W627" s="2" t="s">
        <v>38</v>
      </c>
      <c r="X627" s="2">
        <v>9</v>
      </c>
      <c r="Y627" s="2"/>
      <c r="Z627" s="2">
        <v>0</v>
      </c>
      <c r="AA627" s="2" t="s">
        <v>39</v>
      </c>
      <c r="AB627" s="2">
        <v>127.67</v>
      </c>
      <c r="AC627" s="2">
        <v>0</v>
      </c>
      <c r="AD627" s="2">
        <v>0</v>
      </c>
      <c r="AE627" s="2" t="s">
        <v>47</v>
      </c>
      <c r="AF627" s="3">
        <v>42464</v>
      </c>
    </row>
    <row r="628" spans="1:32" x14ac:dyDescent="0.25">
      <c r="A628" s="2" t="s">
        <v>41</v>
      </c>
      <c r="B628" s="2">
        <v>1</v>
      </c>
      <c r="C628" s="2">
        <v>212</v>
      </c>
      <c r="D628" s="2">
        <v>2016</v>
      </c>
      <c r="E628" s="2" t="s">
        <v>59</v>
      </c>
      <c r="F628" s="2">
        <v>42</v>
      </c>
      <c r="G628" s="2">
        <v>9</v>
      </c>
      <c r="H628" s="2">
        <v>2</v>
      </c>
      <c r="I628" s="2">
        <v>2</v>
      </c>
      <c r="J628" s="2">
        <v>2</v>
      </c>
      <c r="K628" s="2">
        <v>0</v>
      </c>
      <c r="L628" s="2">
        <v>0</v>
      </c>
      <c r="M628" s="2" t="s">
        <v>34</v>
      </c>
      <c r="N628" s="2" t="s">
        <v>43</v>
      </c>
      <c r="O628" s="2" t="s">
        <v>44</v>
      </c>
      <c r="P628" s="2" t="s">
        <v>45</v>
      </c>
      <c r="Q628" s="2">
        <v>0</v>
      </c>
      <c r="R628" s="2">
        <v>0</v>
      </c>
      <c r="S628" s="2">
        <v>0</v>
      </c>
      <c r="T628" s="2" t="s">
        <v>46</v>
      </c>
      <c r="U628" s="2" t="s">
        <v>46</v>
      </c>
      <c r="V628" s="2">
        <v>0</v>
      </c>
      <c r="W628" s="2" t="s">
        <v>38</v>
      </c>
      <c r="X628" s="2">
        <v>7</v>
      </c>
      <c r="Y628" s="2"/>
      <c r="Z628" s="2">
        <v>0</v>
      </c>
      <c r="AA628" s="2" t="s">
        <v>39</v>
      </c>
      <c r="AB628" s="2">
        <v>75.23</v>
      </c>
      <c r="AC628" s="2">
        <v>0</v>
      </c>
      <c r="AD628" s="2">
        <v>0</v>
      </c>
      <c r="AE628" s="2" t="s">
        <v>47</v>
      </c>
      <c r="AF628" s="3">
        <v>42441</v>
      </c>
    </row>
    <row r="629" spans="1:32" x14ac:dyDescent="0.25">
      <c r="A629" s="2" t="s">
        <v>41</v>
      </c>
      <c r="B629" s="2">
        <v>1</v>
      </c>
      <c r="C629" s="2">
        <v>163</v>
      </c>
      <c r="D629" s="2">
        <v>2016</v>
      </c>
      <c r="E629" s="2" t="s">
        <v>83</v>
      </c>
      <c r="F629" s="2">
        <v>24</v>
      </c>
      <c r="G629" s="2">
        <v>5</v>
      </c>
      <c r="H629" s="2">
        <v>2</v>
      </c>
      <c r="I629" s="2">
        <v>2</v>
      </c>
      <c r="J629" s="2">
        <v>1</v>
      </c>
      <c r="K629" s="2">
        <v>0</v>
      </c>
      <c r="L629" s="2">
        <v>0</v>
      </c>
      <c r="M629" s="2" t="s">
        <v>34</v>
      </c>
      <c r="N629" s="2" t="s">
        <v>43</v>
      </c>
      <c r="O629" s="2" t="s">
        <v>49</v>
      </c>
      <c r="P629" s="2" t="s">
        <v>45</v>
      </c>
      <c r="Q629" s="2">
        <v>0</v>
      </c>
      <c r="R629" s="2">
        <v>0</v>
      </c>
      <c r="S629" s="2">
        <v>0</v>
      </c>
      <c r="T629" s="2" t="s">
        <v>46</v>
      </c>
      <c r="U629" s="2" t="s">
        <v>46</v>
      </c>
      <c r="V629" s="2">
        <v>0</v>
      </c>
      <c r="W629" s="2" t="s">
        <v>68</v>
      </c>
      <c r="X629" s="2">
        <v>171</v>
      </c>
      <c r="Y629" s="2"/>
      <c r="Z629" s="2">
        <v>0</v>
      </c>
      <c r="AA629" s="2" t="s">
        <v>39</v>
      </c>
      <c r="AB629" s="2">
        <v>100</v>
      </c>
      <c r="AC629" s="2">
        <v>0</v>
      </c>
      <c r="AD629" s="2">
        <v>0</v>
      </c>
      <c r="AE629" s="2" t="s">
        <v>47</v>
      </c>
      <c r="AF629" s="3">
        <v>42395</v>
      </c>
    </row>
    <row r="630" spans="1:32" x14ac:dyDescent="0.25">
      <c r="A630" s="2" t="s">
        <v>41</v>
      </c>
      <c r="B630" s="2">
        <v>0</v>
      </c>
      <c r="C630" s="2">
        <v>116</v>
      </c>
      <c r="D630" s="2">
        <v>2016</v>
      </c>
      <c r="E630" s="2" t="s">
        <v>59</v>
      </c>
      <c r="F630" s="2">
        <v>44</v>
      </c>
      <c r="G630" s="2">
        <v>23</v>
      </c>
      <c r="H630" s="2">
        <v>2</v>
      </c>
      <c r="I630" s="2">
        <v>2</v>
      </c>
      <c r="J630" s="2">
        <v>2</v>
      </c>
      <c r="K630" s="2">
        <v>0</v>
      </c>
      <c r="L630" s="2">
        <v>1</v>
      </c>
      <c r="M630" s="2" t="s">
        <v>34</v>
      </c>
      <c r="N630" s="2" t="s">
        <v>87</v>
      </c>
      <c r="O630" s="2" t="s">
        <v>44</v>
      </c>
      <c r="P630" s="2" t="s">
        <v>45</v>
      </c>
      <c r="Q630" s="2">
        <v>0</v>
      </c>
      <c r="R630" s="2">
        <v>0</v>
      </c>
      <c r="S630" s="2">
        <v>0</v>
      </c>
      <c r="T630" s="2" t="s">
        <v>46</v>
      </c>
      <c r="U630" s="2" t="s">
        <v>46</v>
      </c>
      <c r="V630" s="2">
        <v>2</v>
      </c>
      <c r="W630" s="2" t="s">
        <v>38</v>
      </c>
      <c r="X630" s="2">
        <v>9</v>
      </c>
      <c r="Y630" s="2"/>
      <c r="Z630" s="2">
        <v>0</v>
      </c>
      <c r="AA630" s="2" t="s">
        <v>39</v>
      </c>
      <c r="AB630" s="2">
        <v>104.85</v>
      </c>
      <c r="AC630" s="2">
        <v>0</v>
      </c>
      <c r="AD630" s="2">
        <v>2</v>
      </c>
      <c r="AE630" s="2" t="s">
        <v>40</v>
      </c>
      <c r="AF630" s="3">
        <v>42670</v>
      </c>
    </row>
    <row r="631" spans="1:32" x14ac:dyDescent="0.25">
      <c r="A631" s="2" t="s">
        <v>32</v>
      </c>
      <c r="B631" s="2">
        <v>1</v>
      </c>
      <c r="C631" s="2">
        <v>106</v>
      </c>
      <c r="D631" s="2">
        <v>2016</v>
      </c>
      <c r="E631" s="2" t="s">
        <v>42</v>
      </c>
      <c r="F631" s="2">
        <v>30</v>
      </c>
      <c r="G631" s="2">
        <v>21</v>
      </c>
      <c r="H631" s="2">
        <v>1</v>
      </c>
      <c r="I631" s="2">
        <v>3</v>
      </c>
      <c r="J631" s="2">
        <v>2</v>
      </c>
      <c r="K631" s="2">
        <v>2</v>
      </c>
      <c r="L631" s="2">
        <v>0</v>
      </c>
      <c r="M631" s="2" t="s">
        <v>34</v>
      </c>
      <c r="N631" s="2" t="s">
        <v>75</v>
      </c>
      <c r="O631" s="2" t="s">
        <v>44</v>
      </c>
      <c r="P631" s="2" t="s">
        <v>45</v>
      </c>
      <c r="Q631" s="2">
        <v>0</v>
      </c>
      <c r="R631" s="2">
        <v>0</v>
      </c>
      <c r="S631" s="2">
        <v>0</v>
      </c>
      <c r="T631" s="2" t="s">
        <v>84</v>
      </c>
      <c r="U631" s="2" t="s">
        <v>84</v>
      </c>
      <c r="V631" s="2">
        <v>0</v>
      </c>
      <c r="W631" s="2" t="s">
        <v>38</v>
      </c>
      <c r="X631" s="2">
        <v>240</v>
      </c>
      <c r="Y631" s="2"/>
      <c r="Z631" s="2">
        <v>0</v>
      </c>
      <c r="AA631" s="2" t="s">
        <v>39</v>
      </c>
      <c r="AB631" s="2">
        <v>252</v>
      </c>
      <c r="AC631" s="2">
        <v>0</v>
      </c>
      <c r="AD631" s="2">
        <v>0</v>
      </c>
      <c r="AE631" s="2" t="s">
        <v>47</v>
      </c>
      <c r="AF631" s="3">
        <v>42534</v>
      </c>
    </row>
    <row r="632" spans="1:32" x14ac:dyDescent="0.25">
      <c r="A632" s="2" t="s">
        <v>32</v>
      </c>
      <c r="B632" s="2">
        <v>1</v>
      </c>
      <c r="C632" s="2">
        <v>72</v>
      </c>
      <c r="D632" s="2">
        <v>2016</v>
      </c>
      <c r="E632" s="2" t="s">
        <v>66</v>
      </c>
      <c r="F632" s="2">
        <v>6</v>
      </c>
      <c r="G632" s="2">
        <v>6</v>
      </c>
      <c r="H632" s="2">
        <v>2</v>
      </c>
      <c r="I632" s="2">
        <v>1</v>
      </c>
      <c r="J632" s="2">
        <v>2</v>
      </c>
      <c r="K632" s="2">
        <v>0</v>
      </c>
      <c r="L632" s="2">
        <v>0</v>
      </c>
      <c r="M632" s="2" t="s">
        <v>60</v>
      </c>
      <c r="N632" s="2" t="s">
        <v>43</v>
      </c>
      <c r="O632" s="2" t="s">
        <v>64</v>
      </c>
      <c r="P632" s="2" t="s">
        <v>36</v>
      </c>
      <c r="Q632" s="2">
        <v>0</v>
      </c>
      <c r="R632" s="2">
        <v>0</v>
      </c>
      <c r="S632" s="2">
        <v>0</v>
      </c>
      <c r="T632" s="2" t="s">
        <v>57</v>
      </c>
      <c r="U632" s="2" t="s">
        <v>57</v>
      </c>
      <c r="V632" s="2">
        <v>0</v>
      </c>
      <c r="W632" s="2" t="s">
        <v>38</v>
      </c>
      <c r="X632" s="2"/>
      <c r="Y632" s="2"/>
      <c r="Z632" s="2">
        <v>0</v>
      </c>
      <c r="AA632" s="2" t="s">
        <v>51</v>
      </c>
      <c r="AB632" s="2">
        <v>73.33</v>
      </c>
      <c r="AC632" s="2">
        <v>0</v>
      </c>
      <c r="AD632" s="2">
        <v>0</v>
      </c>
      <c r="AE632" s="2" t="s">
        <v>47</v>
      </c>
      <c r="AF632" s="3">
        <v>42388</v>
      </c>
    </row>
    <row r="633" spans="1:32" x14ac:dyDescent="0.25">
      <c r="A633" s="2" t="s">
        <v>32</v>
      </c>
      <c r="B633" s="2">
        <v>0</v>
      </c>
      <c r="C633" s="2">
        <v>30</v>
      </c>
      <c r="D633" s="2">
        <v>2016</v>
      </c>
      <c r="E633" s="2" t="s">
        <v>66</v>
      </c>
      <c r="F633" s="2">
        <v>8</v>
      </c>
      <c r="G633" s="2">
        <v>20</v>
      </c>
      <c r="H633" s="2">
        <v>2</v>
      </c>
      <c r="I633" s="2">
        <v>5</v>
      </c>
      <c r="J633" s="2">
        <v>2</v>
      </c>
      <c r="K633" s="2">
        <v>0</v>
      </c>
      <c r="L633" s="2">
        <v>1</v>
      </c>
      <c r="M633" s="2" t="s">
        <v>34</v>
      </c>
      <c r="N633" s="2" t="s">
        <v>35</v>
      </c>
      <c r="O633" s="2" t="s">
        <v>36</v>
      </c>
      <c r="P633" s="2" t="s">
        <v>36</v>
      </c>
      <c r="Q633" s="2">
        <v>0</v>
      </c>
      <c r="R633" s="2">
        <v>0</v>
      </c>
      <c r="S633" s="2">
        <v>0</v>
      </c>
      <c r="T633" s="2" t="s">
        <v>46</v>
      </c>
      <c r="U633" s="2" t="s">
        <v>72</v>
      </c>
      <c r="V633" s="2">
        <v>1</v>
      </c>
      <c r="W633" s="2" t="s">
        <v>38</v>
      </c>
      <c r="X633" s="2"/>
      <c r="Y633" s="2"/>
      <c r="Z633" s="2">
        <v>0</v>
      </c>
      <c r="AA633" s="2" t="s">
        <v>39</v>
      </c>
      <c r="AB633" s="2">
        <v>48</v>
      </c>
      <c r="AC633" s="2">
        <v>0</v>
      </c>
      <c r="AD633" s="2">
        <v>1</v>
      </c>
      <c r="AE633" s="2" t="s">
        <v>40</v>
      </c>
      <c r="AF633" s="3">
        <v>42427</v>
      </c>
    </row>
    <row r="634" spans="1:32" x14ac:dyDescent="0.25">
      <c r="A634" s="2" t="s">
        <v>32</v>
      </c>
      <c r="B634" s="2">
        <v>0</v>
      </c>
      <c r="C634" s="2">
        <v>222</v>
      </c>
      <c r="D634" s="2">
        <v>2016</v>
      </c>
      <c r="E634" s="2" t="s">
        <v>54</v>
      </c>
      <c r="F634" s="2">
        <v>14</v>
      </c>
      <c r="G634" s="2">
        <v>2</v>
      </c>
      <c r="H634" s="2">
        <v>2</v>
      </c>
      <c r="I634" s="2">
        <v>5</v>
      </c>
      <c r="J634" s="2">
        <v>2</v>
      </c>
      <c r="K634" s="2">
        <v>0</v>
      </c>
      <c r="L634" s="2">
        <v>0</v>
      </c>
      <c r="M634" s="2" t="s">
        <v>34</v>
      </c>
      <c r="N634" s="2" t="s">
        <v>35</v>
      </c>
      <c r="O634" s="2" t="s">
        <v>44</v>
      </c>
      <c r="P634" s="2" t="s">
        <v>45</v>
      </c>
      <c r="Q634" s="2">
        <v>0</v>
      </c>
      <c r="R634" s="2">
        <v>0</v>
      </c>
      <c r="S634" s="2">
        <v>0</v>
      </c>
      <c r="T634" s="2" t="s">
        <v>46</v>
      </c>
      <c r="U634" s="2" t="s">
        <v>46</v>
      </c>
      <c r="V634" s="2">
        <v>0</v>
      </c>
      <c r="W634" s="2" t="s">
        <v>38</v>
      </c>
      <c r="X634" s="2">
        <v>241</v>
      </c>
      <c r="Y634" s="2"/>
      <c r="Z634" s="2">
        <v>0</v>
      </c>
      <c r="AA634" s="2" t="s">
        <v>39</v>
      </c>
      <c r="AB634" s="2">
        <v>42.19</v>
      </c>
      <c r="AC634" s="2">
        <v>0</v>
      </c>
      <c r="AD634" s="2">
        <v>2</v>
      </c>
      <c r="AE634" s="2" t="s">
        <v>40</v>
      </c>
      <c r="AF634" s="3">
        <v>42469</v>
      </c>
    </row>
    <row r="635" spans="1:32" x14ac:dyDescent="0.25">
      <c r="A635" s="2" t="s">
        <v>41</v>
      </c>
      <c r="B635" s="2">
        <v>1</v>
      </c>
      <c r="C635" s="2">
        <v>9</v>
      </c>
      <c r="D635" s="2">
        <v>2016</v>
      </c>
      <c r="E635" s="2" t="s">
        <v>54</v>
      </c>
      <c r="F635" s="2">
        <v>17</v>
      </c>
      <c r="G635" s="2">
        <v>19</v>
      </c>
      <c r="H635" s="2">
        <v>0</v>
      </c>
      <c r="I635" s="2">
        <v>1</v>
      </c>
      <c r="J635" s="2">
        <v>2</v>
      </c>
      <c r="K635" s="2">
        <v>0</v>
      </c>
      <c r="L635" s="2">
        <v>0</v>
      </c>
      <c r="M635" s="2" t="s">
        <v>55</v>
      </c>
      <c r="N635" s="2" t="s">
        <v>109</v>
      </c>
      <c r="O635" s="2" t="s">
        <v>44</v>
      </c>
      <c r="P635" s="2" t="s">
        <v>45</v>
      </c>
      <c r="Q635" s="2">
        <v>0</v>
      </c>
      <c r="R635" s="2">
        <v>0</v>
      </c>
      <c r="S635" s="2">
        <v>0</v>
      </c>
      <c r="T635" s="2" t="s">
        <v>46</v>
      </c>
      <c r="U635" s="2" t="s">
        <v>46</v>
      </c>
      <c r="V635" s="2">
        <v>0</v>
      </c>
      <c r="W635" s="2" t="s">
        <v>38</v>
      </c>
      <c r="X635" s="2">
        <v>9</v>
      </c>
      <c r="Y635" s="2"/>
      <c r="Z635" s="2">
        <v>0</v>
      </c>
      <c r="AA635" s="2" t="s">
        <v>39</v>
      </c>
      <c r="AB635" s="2">
        <v>89</v>
      </c>
      <c r="AC635" s="2">
        <v>0</v>
      </c>
      <c r="AD635" s="2">
        <v>0</v>
      </c>
      <c r="AE635" s="2" t="s">
        <v>47</v>
      </c>
      <c r="AF635" s="3">
        <v>42475</v>
      </c>
    </row>
    <row r="636" spans="1:32" x14ac:dyDescent="0.25">
      <c r="A636" s="2" t="s">
        <v>41</v>
      </c>
      <c r="B636" s="2">
        <v>1</v>
      </c>
      <c r="C636" s="2">
        <v>317</v>
      </c>
      <c r="D636" s="2">
        <v>2016</v>
      </c>
      <c r="E636" s="2" t="s">
        <v>62</v>
      </c>
      <c r="F636" s="2">
        <v>38</v>
      </c>
      <c r="G636" s="2">
        <v>15</v>
      </c>
      <c r="H636" s="2">
        <v>0</v>
      </c>
      <c r="I636" s="2">
        <v>2</v>
      </c>
      <c r="J636" s="2">
        <v>2</v>
      </c>
      <c r="K636" s="2">
        <v>0</v>
      </c>
      <c r="L636" s="2">
        <v>0</v>
      </c>
      <c r="M636" s="2" t="s">
        <v>34</v>
      </c>
      <c r="N636" s="2" t="s">
        <v>43</v>
      </c>
      <c r="O636" s="2" t="s">
        <v>49</v>
      </c>
      <c r="P636" s="2" t="s">
        <v>45</v>
      </c>
      <c r="Q636" s="2">
        <v>0</v>
      </c>
      <c r="R636" s="2">
        <v>0</v>
      </c>
      <c r="S636" s="2">
        <v>0</v>
      </c>
      <c r="T636" s="2" t="s">
        <v>46</v>
      </c>
      <c r="U636" s="2" t="s">
        <v>46</v>
      </c>
      <c r="V636" s="2">
        <v>0</v>
      </c>
      <c r="W636" s="2" t="s">
        <v>68</v>
      </c>
      <c r="X636" s="2">
        <v>19</v>
      </c>
      <c r="Y636" s="2"/>
      <c r="Z636" s="2">
        <v>0</v>
      </c>
      <c r="AA636" s="2" t="s">
        <v>39</v>
      </c>
      <c r="AB636" s="2">
        <v>120</v>
      </c>
      <c r="AC636" s="2">
        <v>0</v>
      </c>
      <c r="AD636" s="2">
        <v>0</v>
      </c>
      <c r="AE636" s="2" t="s">
        <v>47</v>
      </c>
      <c r="AF636" s="3">
        <v>42409</v>
      </c>
    </row>
    <row r="637" spans="1:32" x14ac:dyDescent="0.25">
      <c r="A637" s="2" t="s">
        <v>32</v>
      </c>
      <c r="B637" s="2">
        <v>0</v>
      </c>
      <c r="C637" s="2">
        <v>129</v>
      </c>
      <c r="D637" s="2">
        <v>2016</v>
      </c>
      <c r="E637" s="2" t="s">
        <v>52</v>
      </c>
      <c r="F637" s="2">
        <v>14</v>
      </c>
      <c r="G637" s="2">
        <v>28</v>
      </c>
      <c r="H637" s="2">
        <v>2</v>
      </c>
      <c r="I637" s="2">
        <v>5</v>
      </c>
      <c r="J637" s="2">
        <v>3</v>
      </c>
      <c r="K637" s="2">
        <v>0</v>
      </c>
      <c r="L637" s="2">
        <v>0</v>
      </c>
      <c r="M637" s="2" t="s">
        <v>34</v>
      </c>
      <c r="N637" s="2" t="s">
        <v>65</v>
      </c>
      <c r="O637" s="2" t="s">
        <v>36</v>
      </c>
      <c r="P637" s="2" t="s">
        <v>36</v>
      </c>
      <c r="Q637" s="2">
        <v>0</v>
      </c>
      <c r="R637" s="2">
        <v>0</v>
      </c>
      <c r="S637" s="2">
        <v>0</v>
      </c>
      <c r="T637" s="2" t="s">
        <v>104</v>
      </c>
      <c r="U637" s="2" t="s">
        <v>104</v>
      </c>
      <c r="V637" s="2">
        <v>0</v>
      </c>
      <c r="W637" s="2" t="s">
        <v>38</v>
      </c>
      <c r="X637" s="2"/>
      <c r="Y637" s="2"/>
      <c r="Z637" s="2">
        <v>0</v>
      </c>
      <c r="AA637" s="2" t="s">
        <v>39</v>
      </c>
      <c r="AB637" s="2">
        <v>88.84</v>
      </c>
      <c r="AC637" s="2">
        <v>0</v>
      </c>
      <c r="AD637" s="2">
        <v>1</v>
      </c>
      <c r="AE637" s="2" t="s">
        <v>40</v>
      </c>
      <c r="AF637" s="3">
        <v>42464</v>
      </c>
    </row>
    <row r="638" spans="1:32" x14ac:dyDescent="0.25">
      <c r="A638" s="2" t="s">
        <v>41</v>
      </c>
      <c r="B638" s="2">
        <v>1</v>
      </c>
      <c r="C638" s="2">
        <v>240</v>
      </c>
      <c r="D638" s="2">
        <v>2016</v>
      </c>
      <c r="E638" s="2" t="s">
        <v>33</v>
      </c>
      <c r="F638" s="2">
        <v>50</v>
      </c>
      <c r="G638" s="2">
        <v>10</v>
      </c>
      <c r="H638" s="2">
        <v>2</v>
      </c>
      <c r="I638" s="2">
        <v>1</v>
      </c>
      <c r="J638" s="2">
        <v>2</v>
      </c>
      <c r="K638" s="2">
        <v>0</v>
      </c>
      <c r="L638" s="2">
        <v>0</v>
      </c>
      <c r="M638" s="2" t="s">
        <v>55</v>
      </c>
      <c r="N638" s="2" t="s">
        <v>106</v>
      </c>
      <c r="O638" s="2" t="s">
        <v>44</v>
      </c>
      <c r="P638" s="2" t="s">
        <v>45</v>
      </c>
      <c r="Q638" s="2">
        <v>0</v>
      </c>
      <c r="R638" s="2">
        <v>0</v>
      </c>
      <c r="S638" s="2">
        <v>0</v>
      </c>
      <c r="T638" s="2" t="s">
        <v>46</v>
      </c>
      <c r="U638" s="2" t="s">
        <v>46</v>
      </c>
      <c r="V638" s="2">
        <v>0</v>
      </c>
      <c r="W638" s="2" t="s">
        <v>38</v>
      </c>
      <c r="X638" s="2">
        <v>9</v>
      </c>
      <c r="Y638" s="2"/>
      <c r="Z638" s="2">
        <v>0</v>
      </c>
      <c r="AA638" s="2" t="s">
        <v>39</v>
      </c>
      <c r="AB638" s="2">
        <v>67.5</v>
      </c>
      <c r="AC638" s="2">
        <v>0</v>
      </c>
      <c r="AD638" s="2">
        <v>2</v>
      </c>
      <c r="AE638" s="2" t="s">
        <v>47</v>
      </c>
      <c r="AF638" s="3">
        <v>42679</v>
      </c>
    </row>
    <row r="639" spans="1:32" x14ac:dyDescent="0.25">
      <c r="A639" s="2" t="s">
        <v>41</v>
      </c>
      <c r="B639" s="2">
        <v>0</v>
      </c>
      <c r="C639" s="2">
        <v>87</v>
      </c>
      <c r="D639" s="2">
        <v>2016</v>
      </c>
      <c r="E639" s="2" t="s">
        <v>69</v>
      </c>
      <c r="F639" s="2">
        <v>22</v>
      </c>
      <c r="G639" s="2">
        <v>22</v>
      </c>
      <c r="H639" s="2">
        <v>2</v>
      </c>
      <c r="I639" s="2">
        <v>5</v>
      </c>
      <c r="J639" s="2">
        <v>2</v>
      </c>
      <c r="K639" s="2">
        <v>0</v>
      </c>
      <c r="L639" s="2">
        <v>0</v>
      </c>
      <c r="M639" s="2" t="s">
        <v>55</v>
      </c>
      <c r="N639" s="2" t="s">
        <v>35</v>
      </c>
      <c r="O639" s="2" t="s">
        <v>49</v>
      </c>
      <c r="P639" s="2" t="s">
        <v>45</v>
      </c>
      <c r="Q639" s="2">
        <v>0</v>
      </c>
      <c r="R639" s="2">
        <v>0</v>
      </c>
      <c r="S639" s="2">
        <v>0</v>
      </c>
      <c r="T639" s="2" t="s">
        <v>46</v>
      </c>
      <c r="U639" s="2" t="s">
        <v>46</v>
      </c>
      <c r="V639" s="2">
        <v>0</v>
      </c>
      <c r="W639" s="2" t="s">
        <v>38</v>
      </c>
      <c r="X639" s="2">
        <v>138</v>
      </c>
      <c r="Y639" s="2"/>
      <c r="Z639" s="2">
        <v>0</v>
      </c>
      <c r="AA639" s="2" t="s">
        <v>39</v>
      </c>
      <c r="AB639" s="2">
        <v>85</v>
      </c>
      <c r="AC639" s="2">
        <v>0</v>
      </c>
      <c r="AD639" s="2">
        <v>0</v>
      </c>
      <c r="AE639" s="2" t="s">
        <v>40</v>
      </c>
      <c r="AF639" s="3">
        <v>42519</v>
      </c>
    </row>
    <row r="640" spans="1:32" x14ac:dyDescent="0.25">
      <c r="A640" s="2" t="s">
        <v>41</v>
      </c>
      <c r="B640" s="2">
        <v>0</v>
      </c>
      <c r="C640" s="2">
        <v>23</v>
      </c>
      <c r="D640" s="2">
        <v>2016</v>
      </c>
      <c r="E640" s="2" t="s">
        <v>52</v>
      </c>
      <c r="F640" s="2">
        <v>12</v>
      </c>
      <c r="G640" s="2">
        <v>18</v>
      </c>
      <c r="H640" s="2">
        <v>0</v>
      </c>
      <c r="I640" s="2">
        <v>1</v>
      </c>
      <c r="J640" s="2">
        <v>2</v>
      </c>
      <c r="K640" s="2">
        <v>1</v>
      </c>
      <c r="L640" s="2">
        <v>0</v>
      </c>
      <c r="M640" s="2" t="s">
        <v>34</v>
      </c>
      <c r="N640" s="2" t="s">
        <v>43</v>
      </c>
      <c r="O640" s="2" t="s">
        <v>44</v>
      </c>
      <c r="P640" s="2" t="s">
        <v>45</v>
      </c>
      <c r="Q640" s="2">
        <v>0</v>
      </c>
      <c r="R640" s="2">
        <v>0</v>
      </c>
      <c r="S640" s="2">
        <v>0</v>
      </c>
      <c r="T640" s="2" t="s">
        <v>46</v>
      </c>
      <c r="U640" s="2" t="s">
        <v>57</v>
      </c>
      <c r="V640" s="2">
        <v>0</v>
      </c>
      <c r="W640" s="2" t="s">
        <v>38</v>
      </c>
      <c r="X640" s="2">
        <v>9</v>
      </c>
      <c r="Y640" s="2"/>
      <c r="Z640" s="2">
        <v>0</v>
      </c>
      <c r="AA640" s="2" t="s">
        <v>51</v>
      </c>
      <c r="AB640" s="2">
        <v>109</v>
      </c>
      <c r="AC640" s="2">
        <v>0</v>
      </c>
      <c r="AD640" s="2">
        <v>2</v>
      </c>
      <c r="AE640" s="2" t="s">
        <v>40</v>
      </c>
      <c r="AF640" s="3">
        <v>42448</v>
      </c>
    </row>
    <row r="641" spans="1:32" x14ac:dyDescent="0.25">
      <c r="A641" s="2" t="s">
        <v>32</v>
      </c>
      <c r="B641" s="2">
        <v>0</v>
      </c>
      <c r="C641" s="2">
        <v>0</v>
      </c>
      <c r="D641" s="2">
        <v>2016</v>
      </c>
      <c r="E641" s="2" t="s">
        <v>59</v>
      </c>
      <c r="F641" s="2">
        <v>44</v>
      </c>
      <c r="G641" s="2">
        <v>28</v>
      </c>
      <c r="H641" s="2">
        <v>0</v>
      </c>
      <c r="I641" s="2">
        <v>1</v>
      </c>
      <c r="J641" s="2">
        <v>2</v>
      </c>
      <c r="K641" s="2">
        <v>0</v>
      </c>
      <c r="L641" s="2">
        <v>0</v>
      </c>
      <c r="M641" s="2" t="s">
        <v>34</v>
      </c>
      <c r="N641" s="2" t="s">
        <v>63</v>
      </c>
      <c r="O641" s="2" t="s">
        <v>36</v>
      </c>
      <c r="P641" s="2" t="s">
        <v>36</v>
      </c>
      <c r="Q641" s="2">
        <v>0</v>
      </c>
      <c r="R641" s="2">
        <v>0</v>
      </c>
      <c r="S641" s="2">
        <v>0</v>
      </c>
      <c r="T641" s="2" t="s">
        <v>57</v>
      </c>
      <c r="U641" s="2" t="s">
        <v>57</v>
      </c>
      <c r="V641" s="2">
        <v>0</v>
      </c>
      <c r="W641" s="2" t="s">
        <v>38</v>
      </c>
      <c r="X641" s="2"/>
      <c r="Y641" s="2"/>
      <c r="Z641" s="2">
        <v>0</v>
      </c>
      <c r="AA641" s="2" t="s">
        <v>39</v>
      </c>
      <c r="AB641" s="2">
        <v>68</v>
      </c>
      <c r="AC641" s="2">
        <v>0</v>
      </c>
      <c r="AD641" s="2">
        <v>0</v>
      </c>
      <c r="AE641" s="2" t="s">
        <v>40</v>
      </c>
      <c r="AF641" s="3">
        <v>42672</v>
      </c>
    </row>
    <row r="642" spans="1:32" x14ac:dyDescent="0.25">
      <c r="A642" s="2" t="s">
        <v>32</v>
      </c>
      <c r="B642" s="2">
        <v>0</v>
      </c>
      <c r="C642" s="2">
        <v>132</v>
      </c>
      <c r="D642" s="2">
        <v>2016</v>
      </c>
      <c r="E642" s="2" t="s">
        <v>42</v>
      </c>
      <c r="F642" s="2">
        <v>30</v>
      </c>
      <c r="G642" s="2">
        <v>18</v>
      </c>
      <c r="H642" s="2">
        <v>1</v>
      </c>
      <c r="I642" s="2">
        <v>3</v>
      </c>
      <c r="J642" s="2">
        <v>2</v>
      </c>
      <c r="K642" s="2">
        <v>2</v>
      </c>
      <c r="L642" s="2">
        <v>0</v>
      </c>
      <c r="M642" s="2" t="s">
        <v>34</v>
      </c>
      <c r="N642" s="2" t="s">
        <v>43</v>
      </c>
      <c r="O642" s="2" t="s">
        <v>44</v>
      </c>
      <c r="P642" s="2" t="s">
        <v>45</v>
      </c>
      <c r="Q642" s="2">
        <v>0</v>
      </c>
      <c r="R642" s="2">
        <v>0</v>
      </c>
      <c r="S642" s="2">
        <v>0</v>
      </c>
      <c r="T642" s="2" t="s">
        <v>104</v>
      </c>
      <c r="U642" s="2" t="s">
        <v>104</v>
      </c>
      <c r="V642" s="2">
        <v>1</v>
      </c>
      <c r="W642" s="2" t="s">
        <v>38</v>
      </c>
      <c r="X642" s="2">
        <v>196</v>
      </c>
      <c r="Y642" s="2"/>
      <c r="Z642" s="2">
        <v>0</v>
      </c>
      <c r="AA642" s="2" t="s">
        <v>39</v>
      </c>
      <c r="AB642" s="2">
        <v>198.5</v>
      </c>
      <c r="AC642" s="2">
        <v>0</v>
      </c>
      <c r="AD642" s="2">
        <v>0</v>
      </c>
      <c r="AE642" s="2" t="s">
        <v>40</v>
      </c>
      <c r="AF642" s="3">
        <v>42573</v>
      </c>
    </row>
    <row r="643" spans="1:32" x14ac:dyDescent="0.25">
      <c r="A643" s="2" t="s">
        <v>41</v>
      </c>
      <c r="B643" s="2">
        <v>1</v>
      </c>
      <c r="C643" s="2">
        <v>188</v>
      </c>
      <c r="D643" s="2">
        <v>2016</v>
      </c>
      <c r="E643" s="2" t="s">
        <v>83</v>
      </c>
      <c r="F643" s="2">
        <v>25</v>
      </c>
      <c r="G643" s="2">
        <v>15</v>
      </c>
      <c r="H643" s="2">
        <v>0</v>
      </c>
      <c r="I643" s="2">
        <v>2</v>
      </c>
      <c r="J643" s="2">
        <v>1</v>
      </c>
      <c r="K643" s="2">
        <v>0</v>
      </c>
      <c r="L643" s="2">
        <v>0</v>
      </c>
      <c r="M643" s="2" t="s">
        <v>34</v>
      </c>
      <c r="N643" s="2" t="s">
        <v>43</v>
      </c>
      <c r="O643" s="2" t="s">
        <v>49</v>
      </c>
      <c r="P643" s="2" t="s">
        <v>45</v>
      </c>
      <c r="Q643" s="2">
        <v>0</v>
      </c>
      <c r="R643" s="2">
        <v>0</v>
      </c>
      <c r="S643" s="2">
        <v>0</v>
      </c>
      <c r="T643" s="2" t="s">
        <v>46</v>
      </c>
      <c r="U643" s="2" t="s">
        <v>46</v>
      </c>
      <c r="V643" s="2">
        <v>0</v>
      </c>
      <c r="W643" s="2" t="s">
        <v>68</v>
      </c>
      <c r="X643" s="2">
        <v>119</v>
      </c>
      <c r="Y643" s="2"/>
      <c r="Z643" s="2">
        <v>39</v>
      </c>
      <c r="AA643" s="2" t="s">
        <v>39</v>
      </c>
      <c r="AB643" s="2">
        <v>130</v>
      </c>
      <c r="AC643" s="2">
        <v>0</v>
      </c>
      <c r="AD643" s="2">
        <v>0</v>
      </c>
      <c r="AE643" s="2" t="s">
        <v>47</v>
      </c>
      <c r="AF643" s="3">
        <v>42387</v>
      </c>
    </row>
    <row r="644" spans="1:32" x14ac:dyDescent="0.25">
      <c r="A644" s="2" t="s">
        <v>41</v>
      </c>
      <c r="B644" s="2">
        <v>0</v>
      </c>
      <c r="C644" s="2">
        <v>57</v>
      </c>
      <c r="D644" s="2">
        <v>2016</v>
      </c>
      <c r="E644" s="2" t="s">
        <v>66</v>
      </c>
      <c r="F644" s="2">
        <v>7</v>
      </c>
      <c r="G644" s="2">
        <v>7</v>
      </c>
      <c r="H644" s="2">
        <v>2</v>
      </c>
      <c r="I644" s="2">
        <v>2</v>
      </c>
      <c r="J644" s="2">
        <v>2</v>
      </c>
      <c r="K644" s="2">
        <v>0</v>
      </c>
      <c r="L644" s="2">
        <v>0</v>
      </c>
      <c r="M644" s="2" t="s">
        <v>34</v>
      </c>
      <c r="N644" s="2" t="s">
        <v>65</v>
      </c>
      <c r="O644" s="2" t="s">
        <v>36</v>
      </c>
      <c r="P644" s="2" t="s">
        <v>36</v>
      </c>
      <c r="Q644" s="2">
        <v>0</v>
      </c>
      <c r="R644" s="2">
        <v>0</v>
      </c>
      <c r="S644" s="2">
        <v>0</v>
      </c>
      <c r="T644" s="2" t="s">
        <v>86</v>
      </c>
      <c r="U644" s="2" t="s">
        <v>86</v>
      </c>
      <c r="V644" s="2">
        <v>0</v>
      </c>
      <c r="W644" s="2" t="s">
        <v>38</v>
      </c>
      <c r="X644" s="2"/>
      <c r="Y644" s="2"/>
      <c r="Z644" s="2">
        <v>0</v>
      </c>
      <c r="AA644" s="2" t="s">
        <v>39</v>
      </c>
      <c r="AB644" s="2">
        <v>65</v>
      </c>
      <c r="AC644" s="2">
        <v>0</v>
      </c>
      <c r="AD644" s="2">
        <v>1</v>
      </c>
      <c r="AE644" s="2" t="s">
        <v>40</v>
      </c>
      <c r="AF644" s="3">
        <v>42411</v>
      </c>
    </row>
    <row r="645" spans="1:32" x14ac:dyDescent="0.25">
      <c r="A645" s="2" t="s">
        <v>41</v>
      </c>
      <c r="B645" s="2">
        <v>1</v>
      </c>
      <c r="C645" s="2">
        <v>107</v>
      </c>
      <c r="D645" s="2">
        <v>2016</v>
      </c>
      <c r="E645" s="2" t="s">
        <v>54</v>
      </c>
      <c r="F645" s="2">
        <v>16</v>
      </c>
      <c r="G645" s="2">
        <v>14</v>
      </c>
      <c r="H645" s="2">
        <v>0</v>
      </c>
      <c r="I645" s="2">
        <v>3</v>
      </c>
      <c r="J645" s="2">
        <v>2</v>
      </c>
      <c r="K645" s="2">
        <v>0</v>
      </c>
      <c r="L645" s="2">
        <v>0</v>
      </c>
      <c r="M645" s="2" t="s">
        <v>34</v>
      </c>
      <c r="N645" s="2" t="s">
        <v>95</v>
      </c>
      <c r="O645" s="2" t="s">
        <v>44</v>
      </c>
      <c r="P645" s="2" t="s">
        <v>45</v>
      </c>
      <c r="Q645" s="2">
        <v>0</v>
      </c>
      <c r="R645" s="2">
        <v>0</v>
      </c>
      <c r="S645" s="2">
        <v>0</v>
      </c>
      <c r="T645" s="2" t="s">
        <v>57</v>
      </c>
      <c r="U645" s="2" t="s">
        <v>57</v>
      </c>
      <c r="V645" s="2">
        <v>0</v>
      </c>
      <c r="W645" s="2" t="s">
        <v>38</v>
      </c>
      <c r="X645" s="2">
        <v>9</v>
      </c>
      <c r="Y645" s="2"/>
      <c r="Z645" s="2">
        <v>0</v>
      </c>
      <c r="AA645" s="2" t="s">
        <v>39</v>
      </c>
      <c r="AB645" s="2">
        <v>102.3</v>
      </c>
      <c r="AC645" s="2">
        <v>0</v>
      </c>
      <c r="AD645" s="2">
        <v>1</v>
      </c>
      <c r="AE645" s="2" t="s">
        <v>47</v>
      </c>
      <c r="AF645" s="3">
        <v>42437</v>
      </c>
    </row>
    <row r="646" spans="1:32" x14ac:dyDescent="0.25">
      <c r="A646" s="2" t="s">
        <v>41</v>
      </c>
      <c r="B646" s="2">
        <v>0</v>
      </c>
      <c r="C646" s="2">
        <v>74</v>
      </c>
      <c r="D646" s="2">
        <v>2016</v>
      </c>
      <c r="E646" s="2" t="s">
        <v>52</v>
      </c>
      <c r="F646" s="2">
        <v>13</v>
      </c>
      <c r="G646" s="2">
        <v>20</v>
      </c>
      <c r="H646" s="2">
        <v>2</v>
      </c>
      <c r="I646" s="2">
        <v>2</v>
      </c>
      <c r="J646" s="2">
        <v>2</v>
      </c>
      <c r="K646" s="2">
        <v>0</v>
      </c>
      <c r="L646" s="2">
        <v>0</v>
      </c>
      <c r="M646" s="2" t="s">
        <v>34</v>
      </c>
      <c r="N646" s="2" t="s">
        <v>106</v>
      </c>
      <c r="O646" s="2" t="s">
        <v>44</v>
      </c>
      <c r="P646" s="2" t="s">
        <v>45</v>
      </c>
      <c r="Q646" s="2">
        <v>0</v>
      </c>
      <c r="R646" s="2">
        <v>0</v>
      </c>
      <c r="S646" s="2">
        <v>0</v>
      </c>
      <c r="T646" s="2" t="s">
        <v>46</v>
      </c>
      <c r="U646" s="2" t="s">
        <v>46</v>
      </c>
      <c r="V646" s="2">
        <v>0</v>
      </c>
      <c r="W646" s="2" t="s">
        <v>38</v>
      </c>
      <c r="X646" s="2">
        <v>9</v>
      </c>
      <c r="Y646" s="2"/>
      <c r="Z646" s="2">
        <v>0</v>
      </c>
      <c r="AA646" s="2" t="s">
        <v>39</v>
      </c>
      <c r="AB646" s="2">
        <v>82.45</v>
      </c>
      <c r="AC646" s="2">
        <v>0</v>
      </c>
      <c r="AD646" s="2">
        <v>1</v>
      </c>
      <c r="AE646" s="2" t="s">
        <v>40</v>
      </c>
      <c r="AF646" s="3">
        <v>42453</v>
      </c>
    </row>
    <row r="647" spans="1:32" x14ac:dyDescent="0.25">
      <c r="A647" s="2" t="s">
        <v>41</v>
      </c>
      <c r="B647" s="2">
        <v>1</v>
      </c>
      <c r="C647" s="2">
        <v>277</v>
      </c>
      <c r="D647" s="2">
        <v>2016</v>
      </c>
      <c r="E647" s="2" t="s">
        <v>61</v>
      </c>
      <c r="F647" s="2">
        <v>46</v>
      </c>
      <c r="G647" s="2">
        <v>7</v>
      </c>
      <c r="H647" s="2">
        <v>1</v>
      </c>
      <c r="I647" s="2">
        <v>2</v>
      </c>
      <c r="J647" s="2">
        <v>2</v>
      </c>
      <c r="K647" s="2">
        <v>0</v>
      </c>
      <c r="L647" s="2">
        <v>0</v>
      </c>
      <c r="M647" s="2" t="s">
        <v>34</v>
      </c>
      <c r="N647" s="2" t="s">
        <v>43</v>
      </c>
      <c r="O647" s="2" t="s">
        <v>64</v>
      </c>
      <c r="P647" s="2" t="s">
        <v>45</v>
      </c>
      <c r="Q647" s="2">
        <v>0</v>
      </c>
      <c r="R647" s="2">
        <v>0</v>
      </c>
      <c r="S647" s="2">
        <v>0</v>
      </c>
      <c r="T647" s="2" t="s">
        <v>46</v>
      </c>
      <c r="U647" s="2" t="s">
        <v>46</v>
      </c>
      <c r="V647" s="2">
        <v>0</v>
      </c>
      <c r="W647" s="2" t="s">
        <v>68</v>
      </c>
      <c r="X647" s="2"/>
      <c r="Y647" s="2"/>
      <c r="Z647" s="2">
        <v>0</v>
      </c>
      <c r="AA647" s="2" t="s">
        <v>39</v>
      </c>
      <c r="AB647" s="2">
        <v>100</v>
      </c>
      <c r="AC647" s="2">
        <v>0</v>
      </c>
      <c r="AD647" s="2">
        <v>0</v>
      </c>
      <c r="AE647" s="2" t="s">
        <v>47</v>
      </c>
      <c r="AF647" s="3">
        <v>42464</v>
      </c>
    </row>
    <row r="648" spans="1:32" x14ac:dyDescent="0.25">
      <c r="A648" s="2" t="s">
        <v>41</v>
      </c>
      <c r="B648" s="2">
        <v>0</v>
      </c>
      <c r="C648" s="2">
        <v>2</v>
      </c>
      <c r="D648" s="2">
        <v>2016</v>
      </c>
      <c r="E648" s="2" t="s">
        <v>67</v>
      </c>
      <c r="F648" s="2">
        <v>33</v>
      </c>
      <c r="G648" s="2">
        <v>13</v>
      </c>
      <c r="H648" s="2">
        <v>0</v>
      </c>
      <c r="I648" s="2">
        <v>1</v>
      </c>
      <c r="J648" s="2">
        <v>2</v>
      </c>
      <c r="K648" s="2">
        <v>1</v>
      </c>
      <c r="L648" s="2">
        <v>0</v>
      </c>
      <c r="M648" s="2" t="s">
        <v>34</v>
      </c>
      <c r="N648" s="2" t="s">
        <v>43</v>
      </c>
      <c r="O648" s="2" t="s">
        <v>36</v>
      </c>
      <c r="P648" s="2" t="s">
        <v>36</v>
      </c>
      <c r="Q648" s="2">
        <v>0</v>
      </c>
      <c r="R648" s="2">
        <v>0</v>
      </c>
      <c r="S648" s="2">
        <v>0</v>
      </c>
      <c r="T648" s="2" t="s">
        <v>57</v>
      </c>
      <c r="U648" s="2" t="s">
        <v>57</v>
      </c>
      <c r="V648" s="2">
        <v>0</v>
      </c>
      <c r="W648" s="2" t="s">
        <v>38</v>
      </c>
      <c r="X648" s="2">
        <v>14</v>
      </c>
      <c r="Y648" s="2"/>
      <c r="Z648" s="2">
        <v>0</v>
      </c>
      <c r="AA648" s="2" t="s">
        <v>39</v>
      </c>
      <c r="AB648" s="2">
        <v>175.65</v>
      </c>
      <c r="AC648" s="2">
        <v>0</v>
      </c>
      <c r="AD648" s="2">
        <v>2</v>
      </c>
      <c r="AE648" s="2" t="s">
        <v>40</v>
      </c>
      <c r="AF648" s="3">
        <v>42596</v>
      </c>
    </row>
    <row r="649" spans="1:32" x14ac:dyDescent="0.25">
      <c r="A649" s="2" t="s">
        <v>32</v>
      </c>
      <c r="B649" s="2">
        <v>0</v>
      </c>
      <c r="C649" s="2">
        <v>152</v>
      </c>
      <c r="D649" s="2">
        <v>2016</v>
      </c>
      <c r="E649" s="2" t="s">
        <v>62</v>
      </c>
      <c r="F649" s="2">
        <v>40</v>
      </c>
      <c r="G649" s="2">
        <v>26</v>
      </c>
      <c r="H649" s="2">
        <v>2</v>
      </c>
      <c r="I649" s="2">
        <v>5</v>
      </c>
      <c r="J649" s="2">
        <v>1</v>
      </c>
      <c r="K649" s="2">
        <v>0</v>
      </c>
      <c r="L649" s="2">
        <v>0</v>
      </c>
      <c r="M649" s="2" t="s">
        <v>60</v>
      </c>
      <c r="N649" s="2" t="s">
        <v>35</v>
      </c>
      <c r="O649" s="2" t="s">
        <v>64</v>
      </c>
      <c r="P649" s="2" t="s">
        <v>45</v>
      </c>
      <c r="Q649" s="2">
        <v>0</v>
      </c>
      <c r="R649" s="2">
        <v>0</v>
      </c>
      <c r="S649" s="2">
        <v>0</v>
      </c>
      <c r="T649" s="2" t="s">
        <v>46</v>
      </c>
      <c r="U649" s="2" t="s">
        <v>46</v>
      </c>
      <c r="V649" s="2">
        <v>0</v>
      </c>
      <c r="W649" s="2" t="s">
        <v>38</v>
      </c>
      <c r="X649" s="2">
        <v>253</v>
      </c>
      <c r="Y649" s="2"/>
      <c r="Z649" s="2">
        <v>0</v>
      </c>
      <c r="AA649" s="2" t="s">
        <v>51</v>
      </c>
      <c r="AB649" s="2">
        <v>48.5</v>
      </c>
      <c r="AC649" s="2">
        <v>0</v>
      </c>
      <c r="AD649" s="2">
        <v>0</v>
      </c>
      <c r="AE649" s="2" t="s">
        <v>40</v>
      </c>
      <c r="AF649" s="3">
        <v>42646</v>
      </c>
    </row>
    <row r="650" spans="1:32" x14ac:dyDescent="0.25">
      <c r="A650" s="2" t="s">
        <v>41</v>
      </c>
      <c r="B650" s="2">
        <v>0</v>
      </c>
      <c r="C650" s="2">
        <v>44</v>
      </c>
      <c r="D650" s="2">
        <v>2016</v>
      </c>
      <c r="E650" s="2" t="s">
        <v>83</v>
      </c>
      <c r="F650" s="2">
        <v>26</v>
      </c>
      <c r="G650" s="2">
        <v>19</v>
      </c>
      <c r="H650" s="2">
        <v>1</v>
      </c>
      <c r="I650" s="2">
        <v>0</v>
      </c>
      <c r="J650" s="2">
        <v>2</v>
      </c>
      <c r="K650" s="2">
        <v>0</v>
      </c>
      <c r="L650" s="2">
        <v>0</v>
      </c>
      <c r="M650" s="2" t="s">
        <v>34</v>
      </c>
      <c r="N650" s="2" t="s">
        <v>43</v>
      </c>
      <c r="O650" s="2" t="s">
        <v>44</v>
      </c>
      <c r="P650" s="2" t="s">
        <v>45</v>
      </c>
      <c r="Q650" s="2">
        <v>0</v>
      </c>
      <c r="R650" s="2">
        <v>0</v>
      </c>
      <c r="S650" s="2">
        <v>0</v>
      </c>
      <c r="T650" s="2" t="s">
        <v>46</v>
      </c>
      <c r="U650" s="2" t="s">
        <v>104</v>
      </c>
      <c r="V650" s="2">
        <v>0</v>
      </c>
      <c r="W650" s="2" t="s">
        <v>38</v>
      </c>
      <c r="X650" s="2">
        <v>7</v>
      </c>
      <c r="Y650" s="2"/>
      <c r="Z650" s="2">
        <v>0</v>
      </c>
      <c r="AA650" s="2" t="s">
        <v>39</v>
      </c>
      <c r="AB650" s="2">
        <v>99.1</v>
      </c>
      <c r="AC650" s="2">
        <v>0</v>
      </c>
      <c r="AD650" s="2">
        <v>1</v>
      </c>
      <c r="AE650" s="2" t="s">
        <v>40</v>
      </c>
      <c r="AF650" s="3">
        <v>42541</v>
      </c>
    </row>
    <row r="651" spans="1:32" x14ac:dyDescent="0.25">
      <c r="A651" s="2" t="s">
        <v>32</v>
      </c>
      <c r="B651" s="2">
        <v>0</v>
      </c>
      <c r="C651" s="2">
        <v>178</v>
      </c>
      <c r="D651" s="2">
        <v>2016</v>
      </c>
      <c r="E651" s="2" t="s">
        <v>42</v>
      </c>
      <c r="F651" s="2">
        <v>29</v>
      </c>
      <c r="G651" s="2">
        <v>11</v>
      </c>
      <c r="H651" s="2">
        <v>1</v>
      </c>
      <c r="I651" s="2">
        <v>3</v>
      </c>
      <c r="J651" s="2">
        <v>2</v>
      </c>
      <c r="K651" s="2">
        <v>0</v>
      </c>
      <c r="L651" s="2">
        <v>0</v>
      </c>
      <c r="M651" s="2" t="s">
        <v>34</v>
      </c>
      <c r="N651" s="2" t="s">
        <v>43</v>
      </c>
      <c r="O651" s="2" t="s">
        <v>36</v>
      </c>
      <c r="P651" s="2" t="s">
        <v>36</v>
      </c>
      <c r="Q651" s="2">
        <v>0</v>
      </c>
      <c r="R651" s="2">
        <v>0</v>
      </c>
      <c r="S651" s="2">
        <v>0</v>
      </c>
      <c r="T651" s="2" t="s">
        <v>46</v>
      </c>
      <c r="U651" s="2" t="s">
        <v>46</v>
      </c>
      <c r="V651" s="2">
        <v>0</v>
      </c>
      <c r="W651" s="2" t="s">
        <v>38</v>
      </c>
      <c r="X651" s="2">
        <v>250</v>
      </c>
      <c r="Y651" s="2"/>
      <c r="Z651" s="2">
        <v>0</v>
      </c>
      <c r="AA651" s="2" t="s">
        <v>39</v>
      </c>
      <c r="AB651" s="2">
        <v>102.9</v>
      </c>
      <c r="AC651" s="2">
        <v>1</v>
      </c>
      <c r="AD651" s="2">
        <v>0</v>
      </c>
      <c r="AE651" s="2" t="s">
        <v>40</v>
      </c>
      <c r="AF651" s="3">
        <v>42566</v>
      </c>
    </row>
    <row r="652" spans="1:32" x14ac:dyDescent="0.25">
      <c r="A652" s="2" t="s">
        <v>41</v>
      </c>
      <c r="B652" s="2">
        <v>1</v>
      </c>
      <c r="C652" s="2">
        <v>71</v>
      </c>
      <c r="D652" s="2">
        <v>2016</v>
      </c>
      <c r="E652" s="2" t="s">
        <v>83</v>
      </c>
      <c r="F652" s="2">
        <v>25</v>
      </c>
      <c r="G652" s="2">
        <v>14</v>
      </c>
      <c r="H652" s="2">
        <v>0</v>
      </c>
      <c r="I652" s="2">
        <v>3</v>
      </c>
      <c r="J652" s="2">
        <v>1</v>
      </c>
      <c r="K652" s="2">
        <v>0</v>
      </c>
      <c r="L652" s="2">
        <v>0</v>
      </c>
      <c r="M652" s="2" t="s">
        <v>34</v>
      </c>
      <c r="N652" s="2" t="s">
        <v>43</v>
      </c>
      <c r="O652" s="2" t="s">
        <v>49</v>
      </c>
      <c r="P652" s="2" t="s">
        <v>45</v>
      </c>
      <c r="Q652" s="2">
        <v>0</v>
      </c>
      <c r="R652" s="2">
        <v>0</v>
      </c>
      <c r="S652" s="2">
        <v>0</v>
      </c>
      <c r="T652" s="2" t="s">
        <v>46</v>
      </c>
      <c r="U652" s="2" t="s">
        <v>46</v>
      </c>
      <c r="V652" s="2">
        <v>0</v>
      </c>
      <c r="W652" s="2" t="s">
        <v>68</v>
      </c>
      <c r="X652" s="2">
        <v>236</v>
      </c>
      <c r="Y652" s="2"/>
      <c r="Z652" s="2">
        <v>0</v>
      </c>
      <c r="AA652" s="2" t="s">
        <v>39</v>
      </c>
      <c r="AB652" s="2">
        <v>120</v>
      </c>
      <c r="AC652" s="2">
        <v>0</v>
      </c>
      <c r="AD652" s="2">
        <v>0</v>
      </c>
      <c r="AE652" s="2" t="s">
        <v>47</v>
      </c>
      <c r="AF652" s="3">
        <v>42487</v>
      </c>
    </row>
    <row r="653" spans="1:32" x14ac:dyDescent="0.25">
      <c r="A653" s="2" t="s">
        <v>41</v>
      </c>
      <c r="B653" s="2">
        <v>0</v>
      </c>
      <c r="C653" s="2">
        <v>13</v>
      </c>
      <c r="D653" s="2">
        <v>2016</v>
      </c>
      <c r="E653" s="2" t="s">
        <v>83</v>
      </c>
      <c r="F653" s="2">
        <v>26</v>
      </c>
      <c r="G653" s="2">
        <v>20</v>
      </c>
      <c r="H653" s="2">
        <v>1</v>
      </c>
      <c r="I653" s="2">
        <v>3</v>
      </c>
      <c r="J653" s="2">
        <v>2</v>
      </c>
      <c r="K653" s="2">
        <v>0</v>
      </c>
      <c r="L653" s="2">
        <v>0</v>
      </c>
      <c r="M653" s="2" t="s">
        <v>34</v>
      </c>
      <c r="N653" s="2" t="s">
        <v>128</v>
      </c>
      <c r="O653" s="2" t="s">
        <v>44</v>
      </c>
      <c r="P653" s="2" t="s">
        <v>45</v>
      </c>
      <c r="Q653" s="2">
        <v>0</v>
      </c>
      <c r="R653" s="2">
        <v>0</v>
      </c>
      <c r="S653" s="2">
        <v>0</v>
      </c>
      <c r="T653" s="2" t="s">
        <v>46</v>
      </c>
      <c r="U653" s="2" t="s">
        <v>46</v>
      </c>
      <c r="V653" s="2">
        <v>0</v>
      </c>
      <c r="W653" s="2" t="s">
        <v>38</v>
      </c>
      <c r="X653" s="2">
        <v>9</v>
      </c>
      <c r="Y653" s="2"/>
      <c r="Z653" s="2">
        <v>0</v>
      </c>
      <c r="AA653" s="2" t="s">
        <v>39</v>
      </c>
      <c r="AB653" s="2">
        <v>131</v>
      </c>
      <c r="AC653" s="2">
        <v>0</v>
      </c>
      <c r="AD653" s="2">
        <v>1</v>
      </c>
      <c r="AE653" s="2" t="s">
        <v>40</v>
      </c>
      <c r="AF653" s="3">
        <v>42545</v>
      </c>
    </row>
    <row r="654" spans="1:32" x14ac:dyDescent="0.25">
      <c r="A654" s="2" t="s">
        <v>32</v>
      </c>
      <c r="B654" s="2">
        <v>0</v>
      </c>
      <c r="C654" s="2">
        <v>1</v>
      </c>
      <c r="D654" s="2">
        <v>2016</v>
      </c>
      <c r="E654" s="2" t="s">
        <v>69</v>
      </c>
      <c r="F654" s="2">
        <v>19</v>
      </c>
      <c r="G654" s="2">
        <v>2</v>
      </c>
      <c r="H654" s="2">
        <v>1</v>
      </c>
      <c r="I654" s="2">
        <v>0</v>
      </c>
      <c r="J654" s="2">
        <v>2</v>
      </c>
      <c r="K654" s="2">
        <v>0</v>
      </c>
      <c r="L654" s="2">
        <v>0</v>
      </c>
      <c r="M654" s="2" t="s">
        <v>60</v>
      </c>
      <c r="N654" s="2" t="s">
        <v>43</v>
      </c>
      <c r="O654" s="2" t="s">
        <v>44</v>
      </c>
      <c r="P654" s="2" t="s">
        <v>45</v>
      </c>
      <c r="Q654" s="2">
        <v>0</v>
      </c>
      <c r="R654" s="2">
        <v>0</v>
      </c>
      <c r="S654" s="2">
        <v>0</v>
      </c>
      <c r="T654" s="2" t="s">
        <v>57</v>
      </c>
      <c r="U654" s="2" t="s">
        <v>57</v>
      </c>
      <c r="V654" s="2">
        <v>0</v>
      </c>
      <c r="W654" s="2" t="s">
        <v>38</v>
      </c>
      <c r="X654" s="2">
        <v>240</v>
      </c>
      <c r="Y654" s="2"/>
      <c r="Z654" s="2">
        <v>0</v>
      </c>
      <c r="AA654" s="2" t="s">
        <v>39</v>
      </c>
      <c r="AB654" s="2">
        <v>90</v>
      </c>
      <c r="AC654" s="2">
        <v>0</v>
      </c>
      <c r="AD654" s="2">
        <v>0</v>
      </c>
      <c r="AE654" s="2" t="s">
        <v>40</v>
      </c>
      <c r="AF654" s="3">
        <v>42493</v>
      </c>
    </row>
    <row r="655" spans="1:32" x14ac:dyDescent="0.25">
      <c r="A655" s="2" t="s">
        <v>41</v>
      </c>
      <c r="B655" s="2">
        <v>0</v>
      </c>
      <c r="C655" s="2">
        <v>130</v>
      </c>
      <c r="D655" s="2">
        <v>2016</v>
      </c>
      <c r="E655" s="2" t="s">
        <v>62</v>
      </c>
      <c r="F655" s="2">
        <v>40</v>
      </c>
      <c r="G655" s="2">
        <v>29</v>
      </c>
      <c r="H655" s="2">
        <v>0</v>
      </c>
      <c r="I655" s="2">
        <v>3</v>
      </c>
      <c r="J655" s="2">
        <v>2</v>
      </c>
      <c r="K655" s="2">
        <v>0</v>
      </c>
      <c r="L655" s="2">
        <v>0</v>
      </c>
      <c r="M655" s="2" t="s">
        <v>34</v>
      </c>
      <c r="N655" s="2" t="s">
        <v>78</v>
      </c>
      <c r="O655" s="2" t="s">
        <v>44</v>
      </c>
      <c r="P655" s="2" t="s">
        <v>45</v>
      </c>
      <c r="Q655" s="2">
        <v>0</v>
      </c>
      <c r="R655" s="2">
        <v>0</v>
      </c>
      <c r="S655" s="2">
        <v>0</v>
      </c>
      <c r="T655" s="2" t="s">
        <v>57</v>
      </c>
      <c r="U655" s="2" t="s">
        <v>57</v>
      </c>
      <c r="V655" s="2">
        <v>1</v>
      </c>
      <c r="W655" s="2" t="s">
        <v>38</v>
      </c>
      <c r="X655" s="2">
        <v>9</v>
      </c>
      <c r="Y655" s="2"/>
      <c r="Z655" s="2">
        <v>0</v>
      </c>
      <c r="AA655" s="2" t="s">
        <v>39</v>
      </c>
      <c r="AB655" s="2">
        <v>139.5</v>
      </c>
      <c r="AC655" s="2">
        <v>0</v>
      </c>
      <c r="AD655" s="2">
        <v>2</v>
      </c>
      <c r="AE655" s="2" t="s">
        <v>40</v>
      </c>
      <c r="AF655" s="3">
        <v>42645</v>
      </c>
    </row>
    <row r="656" spans="1:32" x14ac:dyDescent="0.25">
      <c r="A656" s="2" t="s">
        <v>41</v>
      </c>
      <c r="B656" s="2">
        <v>1</v>
      </c>
      <c r="C656" s="2">
        <v>184</v>
      </c>
      <c r="D656" s="2">
        <v>2016</v>
      </c>
      <c r="E656" s="2" t="s">
        <v>59</v>
      </c>
      <c r="F656" s="2">
        <v>42</v>
      </c>
      <c r="G656" s="2">
        <v>12</v>
      </c>
      <c r="H656" s="2">
        <v>0</v>
      </c>
      <c r="I656" s="2">
        <v>1</v>
      </c>
      <c r="J656" s="2">
        <v>2</v>
      </c>
      <c r="K656" s="2">
        <v>0</v>
      </c>
      <c r="L656" s="2">
        <v>0</v>
      </c>
      <c r="M656" s="2" t="s">
        <v>55</v>
      </c>
      <c r="N656" s="2" t="s">
        <v>70</v>
      </c>
      <c r="O656" s="2" t="s">
        <v>44</v>
      </c>
      <c r="P656" s="2" t="s">
        <v>45</v>
      </c>
      <c r="Q656" s="2">
        <v>0</v>
      </c>
      <c r="R656" s="2">
        <v>0</v>
      </c>
      <c r="S656" s="2">
        <v>0</v>
      </c>
      <c r="T656" s="2" t="s">
        <v>46</v>
      </c>
      <c r="U656" s="2" t="s">
        <v>86</v>
      </c>
      <c r="V656" s="2">
        <v>1</v>
      </c>
      <c r="W656" s="2" t="s">
        <v>38</v>
      </c>
      <c r="X656" s="2">
        <v>9</v>
      </c>
      <c r="Y656" s="2"/>
      <c r="Z656" s="2">
        <v>0</v>
      </c>
      <c r="AA656" s="2" t="s">
        <v>39</v>
      </c>
      <c r="AB656" s="2">
        <v>98.1</v>
      </c>
      <c r="AC656" s="2">
        <v>0</v>
      </c>
      <c r="AD656" s="2">
        <v>0</v>
      </c>
      <c r="AE656" s="2" t="s">
        <v>47</v>
      </c>
      <c r="AF656" s="3">
        <v>42650</v>
      </c>
    </row>
    <row r="657" spans="1:32" x14ac:dyDescent="0.25">
      <c r="A657" s="2" t="s">
        <v>41</v>
      </c>
      <c r="B657" s="2">
        <v>1</v>
      </c>
      <c r="C657" s="2">
        <v>19</v>
      </c>
      <c r="D657" s="2">
        <v>2016</v>
      </c>
      <c r="E657" s="2" t="s">
        <v>33</v>
      </c>
      <c r="F657" s="2">
        <v>53</v>
      </c>
      <c r="G657" s="2">
        <v>30</v>
      </c>
      <c r="H657" s="2">
        <v>0</v>
      </c>
      <c r="I657" s="2">
        <v>1</v>
      </c>
      <c r="J657" s="2">
        <v>2</v>
      </c>
      <c r="K657" s="2">
        <v>0</v>
      </c>
      <c r="L657" s="2">
        <v>0</v>
      </c>
      <c r="M657" s="2" t="s">
        <v>34</v>
      </c>
      <c r="N657" s="2" t="s">
        <v>35</v>
      </c>
      <c r="O657" s="2" t="s">
        <v>44</v>
      </c>
      <c r="P657" s="2" t="s">
        <v>45</v>
      </c>
      <c r="Q657" s="2">
        <v>0</v>
      </c>
      <c r="R657" s="2">
        <v>0</v>
      </c>
      <c r="S657" s="2">
        <v>0</v>
      </c>
      <c r="T657" s="2" t="s">
        <v>57</v>
      </c>
      <c r="U657" s="2" t="s">
        <v>57</v>
      </c>
      <c r="V657" s="2">
        <v>0</v>
      </c>
      <c r="W657" s="2" t="s">
        <v>38</v>
      </c>
      <c r="X657" s="2">
        <v>9</v>
      </c>
      <c r="Y657" s="2"/>
      <c r="Z657" s="2">
        <v>0</v>
      </c>
      <c r="AA657" s="2" t="s">
        <v>39</v>
      </c>
      <c r="AB657" s="2">
        <v>148</v>
      </c>
      <c r="AC657" s="2">
        <v>0</v>
      </c>
      <c r="AD657" s="2">
        <v>0</v>
      </c>
      <c r="AE657" s="2" t="s">
        <v>47</v>
      </c>
      <c r="AF657" s="3">
        <v>42719</v>
      </c>
    </row>
    <row r="658" spans="1:32" x14ac:dyDescent="0.25">
      <c r="A658" s="2" t="s">
        <v>41</v>
      </c>
      <c r="B658" s="2">
        <v>0</v>
      </c>
      <c r="C658" s="2">
        <v>70</v>
      </c>
      <c r="D658" s="2">
        <v>2017</v>
      </c>
      <c r="E658" s="2" t="s">
        <v>54</v>
      </c>
      <c r="F658" s="2">
        <v>16</v>
      </c>
      <c r="G658" s="2">
        <v>16</v>
      </c>
      <c r="H658" s="2">
        <v>2</v>
      </c>
      <c r="I658" s="2">
        <v>2</v>
      </c>
      <c r="J658" s="2">
        <v>2</v>
      </c>
      <c r="K658" s="2">
        <v>0</v>
      </c>
      <c r="L658" s="2">
        <v>0</v>
      </c>
      <c r="M658" s="2" t="s">
        <v>55</v>
      </c>
      <c r="N658" s="2" t="s">
        <v>35</v>
      </c>
      <c r="O658" s="2" t="s">
        <v>44</v>
      </c>
      <c r="P658" s="2" t="s">
        <v>45</v>
      </c>
      <c r="Q658" s="2">
        <v>0</v>
      </c>
      <c r="R658" s="2">
        <v>0</v>
      </c>
      <c r="S658" s="2">
        <v>0</v>
      </c>
      <c r="T658" s="2" t="s">
        <v>46</v>
      </c>
      <c r="U658" s="2" t="s">
        <v>46</v>
      </c>
      <c r="V658" s="2">
        <v>0</v>
      </c>
      <c r="W658" s="2" t="s">
        <v>38</v>
      </c>
      <c r="X658" s="2">
        <v>9</v>
      </c>
      <c r="Y658" s="2"/>
      <c r="Z658" s="2">
        <v>0</v>
      </c>
      <c r="AA658" s="2" t="s">
        <v>39</v>
      </c>
      <c r="AB658" s="2">
        <v>108</v>
      </c>
      <c r="AC658" s="2">
        <v>0</v>
      </c>
      <c r="AD658" s="2">
        <v>0</v>
      </c>
      <c r="AE658" s="2" t="s">
        <v>40</v>
      </c>
      <c r="AF658" s="3">
        <v>42845</v>
      </c>
    </row>
    <row r="659" spans="1:32" x14ac:dyDescent="0.25">
      <c r="A659" s="2" t="s">
        <v>41</v>
      </c>
      <c r="B659" s="2">
        <v>0</v>
      </c>
      <c r="C659" s="2">
        <v>170</v>
      </c>
      <c r="D659" s="2">
        <v>2017</v>
      </c>
      <c r="E659" s="2" t="s">
        <v>54</v>
      </c>
      <c r="F659" s="2">
        <v>17</v>
      </c>
      <c r="G659" s="2">
        <v>27</v>
      </c>
      <c r="H659" s="2">
        <v>0</v>
      </c>
      <c r="I659" s="2">
        <v>3</v>
      </c>
      <c r="J659" s="2">
        <v>2</v>
      </c>
      <c r="K659" s="2">
        <v>0</v>
      </c>
      <c r="L659" s="2">
        <v>0</v>
      </c>
      <c r="M659" s="2" t="s">
        <v>34</v>
      </c>
      <c r="N659" s="2" t="s">
        <v>56</v>
      </c>
      <c r="O659" s="2" t="s">
        <v>44</v>
      </c>
      <c r="P659" s="2" t="s">
        <v>45</v>
      </c>
      <c r="Q659" s="2">
        <v>0</v>
      </c>
      <c r="R659" s="2">
        <v>0</v>
      </c>
      <c r="S659" s="2">
        <v>0</v>
      </c>
      <c r="T659" s="2" t="s">
        <v>57</v>
      </c>
      <c r="U659" s="2" t="s">
        <v>57</v>
      </c>
      <c r="V659" s="2">
        <v>0</v>
      </c>
      <c r="W659" s="2" t="s">
        <v>38</v>
      </c>
      <c r="X659" s="2">
        <v>9</v>
      </c>
      <c r="Y659" s="2"/>
      <c r="Z659" s="2">
        <v>0</v>
      </c>
      <c r="AA659" s="2" t="s">
        <v>39</v>
      </c>
      <c r="AB659" s="2">
        <v>130.5</v>
      </c>
      <c r="AC659" s="2">
        <v>0</v>
      </c>
      <c r="AD659" s="2">
        <v>0</v>
      </c>
      <c r="AE659" s="2" t="s">
        <v>40</v>
      </c>
      <c r="AF659" s="3">
        <v>42855</v>
      </c>
    </row>
    <row r="660" spans="1:32" x14ac:dyDescent="0.25">
      <c r="A660" s="2" t="s">
        <v>41</v>
      </c>
      <c r="B660" s="2">
        <v>1</v>
      </c>
      <c r="C660" s="2">
        <v>88</v>
      </c>
      <c r="D660" s="2">
        <v>2017</v>
      </c>
      <c r="E660" s="2" t="s">
        <v>66</v>
      </c>
      <c r="F660" s="2">
        <v>7</v>
      </c>
      <c r="G660" s="2">
        <v>17</v>
      </c>
      <c r="H660" s="2">
        <v>0</v>
      </c>
      <c r="I660" s="2">
        <v>2</v>
      </c>
      <c r="J660" s="2">
        <v>2</v>
      </c>
      <c r="K660" s="2">
        <v>0</v>
      </c>
      <c r="L660" s="2">
        <v>0</v>
      </c>
      <c r="M660" s="2" t="s">
        <v>55</v>
      </c>
      <c r="N660" s="2" t="s">
        <v>56</v>
      </c>
      <c r="O660" s="2" t="s">
        <v>44</v>
      </c>
      <c r="P660" s="2" t="s">
        <v>45</v>
      </c>
      <c r="Q660" s="2">
        <v>0</v>
      </c>
      <c r="R660" s="2">
        <v>0</v>
      </c>
      <c r="S660" s="2">
        <v>0</v>
      </c>
      <c r="T660" s="2" t="s">
        <v>46</v>
      </c>
      <c r="U660" s="2" t="s">
        <v>46</v>
      </c>
      <c r="V660" s="2">
        <v>0</v>
      </c>
      <c r="W660" s="2" t="s">
        <v>38</v>
      </c>
      <c r="X660" s="2">
        <v>9</v>
      </c>
      <c r="Y660" s="2"/>
      <c r="Z660" s="2">
        <v>0</v>
      </c>
      <c r="AA660" s="2" t="s">
        <v>39</v>
      </c>
      <c r="AB660" s="2">
        <v>79.2</v>
      </c>
      <c r="AC660" s="2">
        <v>0</v>
      </c>
      <c r="AD660" s="2">
        <v>0</v>
      </c>
      <c r="AE660" s="2" t="s">
        <v>47</v>
      </c>
      <c r="AF660" s="3">
        <v>42699</v>
      </c>
    </row>
    <row r="661" spans="1:32" x14ac:dyDescent="0.25">
      <c r="A661" s="2" t="s">
        <v>32</v>
      </c>
      <c r="B661" s="2">
        <v>0</v>
      </c>
      <c r="C661" s="2">
        <v>23</v>
      </c>
      <c r="D661" s="2">
        <v>2017</v>
      </c>
      <c r="E661" s="2" t="s">
        <v>54</v>
      </c>
      <c r="F661" s="2">
        <v>16</v>
      </c>
      <c r="G661" s="2">
        <v>20</v>
      </c>
      <c r="H661" s="2">
        <v>0</v>
      </c>
      <c r="I661" s="2">
        <v>2</v>
      </c>
      <c r="J661" s="2">
        <v>2</v>
      </c>
      <c r="K661" s="2">
        <v>0</v>
      </c>
      <c r="L661" s="2">
        <v>0</v>
      </c>
      <c r="M661" s="2" t="s">
        <v>34</v>
      </c>
      <c r="N661" s="2" t="s">
        <v>35</v>
      </c>
      <c r="O661" s="2" t="s">
        <v>64</v>
      </c>
      <c r="P661" s="2" t="s">
        <v>36</v>
      </c>
      <c r="Q661" s="2">
        <v>0</v>
      </c>
      <c r="R661" s="2">
        <v>0</v>
      </c>
      <c r="S661" s="2">
        <v>0</v>
      </c>
      <c r="T661" s="2" t="s">
        <v>46</v>
      </c>
      <c r="U661" s="2" t="s">
        <v>46</v>
      </c>
      <c r="V661" s="2">
        <v>0</v>
      </c>
      <c r="W661" s="2" t="s">
        <v>38</v>
      </c>
      <c r="X661" s="2"/>
      <c r="Y661" s="2"/>
      <c r="Z661" s="2">
        <v>0</v>
      </c>
      <c r="AA661" s="2" t="s">
        <v>51</v>
      </c>
      <c r="AB661" s="2">
        <v>99</v>
      </c>
      <c r="AC661" s="2">
        <v>1</v>
      </c>
      <c r="AD661" s="2">
        <v>0</v>
      </c>
      <c r="AE661" s="2" t="s">
        <v>40</v>
      </c>
      <c r="AF661" s="3">
        <v>42847</v>
      </c>
    </row>
    <row r="662" spans="1:32" x14ac:dyDescent="0.25">
      <c r="A662" s="2" t="s">
        <v>41</v>
      </c>
      <c r="B662" s="2">
        <v>0</v>
      </c>
      <c r="C662" s="2">
        <v>160</v>
      </c>
      <c r="D662" s="2">
        <v>2017</v>
      </c>
      <c r="E662" s="2" t="s">
        <v>42</v>
      </c>
      <c r="F662" s="2">
        <v>28</v>
      </c>
      <c r="G662" s="2">
        <v>15</v>
      </c>
      <c r="H662" s="2">
        <v>2</v>
      </c>
      <c r="I662" s="2">
        <v>5</v>
      </c>
      <c r="J662" s="2">
        <v>2</v>
      </c>
      <c r="K662" s="2">
        <v>0</v>
      </c>
      <c r="L662" s="2">
        <v>0</v>
      </c>
      <c r="M662" s="2" t="s">
        <v>34</v>
      </c>
      <c r="N662" s="2" t="s">
        <v>70</v>
      </c>
      <c r="O662" s="2" t="s">
        <v>44</v>
      </c>
      <c r="P662" s="2" t="s">
        <v>45</v>
      </c>
      <c r="Q662" s="2">
        <v>0</v>
      </c>
      <c r="R662" s="2">
        <v>0</v>
      </c>
      <c r="S662" s="2">
        <v>0</v>
      </c>
      <c r="T662" s="2" t="s">
        <v>46</v>
      </c>
      <c r="U662" s="2" t="s">
        <v>46</v>
      </c>
      <c r="V662" s="2">
        <v>0</v>
      </c>
      <c r="W662" s="2" t="s">
        <v>38</v>
      </c>
      <c r="X662" s="2">
        <v>7</v>
      </c>
      <c r="Y662" s="2"/>
      <c r="Z662" s="2">
        <v>0</v>
      </c>
      <c r="AA662" s="2" t="s">
        <v>39</v>
      </c>
      <c r="AB662" s="2">
        <v>78.349999999999994</v>
      </c>
      <c r="AC662" s="2">
        <v>0</v>
      </c>
      <c r="AD662" s="2">
        <v>1</v>
      </c>
      <c r="AE662" s="2" t="s">
        <v>40</v>
      </c>
      <c r="AF662" s="3">
        <v>42938</v>
      </c>
    </row>
    <row r="663" spans="1:32" x14ac:dyDescent="0.25">
      <c r="A663" s="2" t="s">
        <v>32</v>
      </c>
      <c r="B663" s="2">
        <v>0</v>
      </c>
      <c r="C663" s="2">
        <v>85</v>
      </c>
      <c r="D663" s="2">
        <v>2017</v>
      </c>
      <c r="E663" s="2" t="s">
        <v>54</v>
      </c>
      <c r="F663" s="2">
        <v>16</v>
      </c>
      <c r="G663" s="2">
        <v>19</v>
      </c>
      <c r="H663" s="2">
        <v>1</v>
      </c>
      <c r="I663" s="2">
        <v>4</v>
      </c>
      <c r="J663" s="2">
        <v>2</v>
      </c>
      <c r="K663" s="2">
        <v>0</v>
      </c>
      <c r="L663" s="2">
        <v>0</v>
      </c>
      <c r="M663" s="2" t="s">
        <v>34</v>
      </c>
      <c r="N663" s="2" t="s">
        <v>71</v>
      </c>
      <c r="O663" s="2" t="s">
        <v>36</v>
      </c>
      <c r="P663" s="2" t="s">
        <v>36</v>
      </c>
      <c r="Q663" s="2">
        <v>0</v>
      </c>
      <c r="R663" s="2">
        <v>0</v>
      </c>
      <c r="S663" s="2">
        <v>0</v>
      </c>
      <c r="T663" s="2" t="s">
        <v>72</v>
      </c>
      <c r="U663" s="2" t="s">
        <v>72</v>
      </c>
      <c r="V663" s="2">
        <v>2</v>
      </c>
      <c r="W663" s="2" t="s">
        <v>38</v>
      </c>
      <c r="X663" s="2"/>
      <c r="Y663" s="2"/>
      <c r="Z663" s="2">
        <v>0</v>
      </c>
      <c r="AA663" s="2" t="s">
        <v>51</v>
      </c>
      <c r="AB663" s="2">
        <v>74.599999999999994</v>
      </c>
      <c r="AC663" s="2">
        <v>0</v>
      </c>
      <c r="AD663" s="2">
        <v>1</v>
      </c>
      <c r="AE663" s="2" t="s">
        <v>40</v>
      </c>
      <c r="AF663" s="3">
        <v>42849</v>
      </c>
    </row>
    <row r="664" spans="1:32" x14ac:dyDescent="0.25">
      <c r="A664" s="2" t="s">
        <v>41</v>
      </c>
      <c r="B664" s="2">
        <v>0</v>
      </c>
      <c r="C664" s="2">
        <v>278</v>
      </c>
      <c r="D664" s="2">
        <v>2017</v>
      </c>
      <c r="E664" s="2" t="s">
        <v>42</v>
      </c>
      <c r="F664" s="2">
        <v>30</v>
      </c>
      <c r="G664" s="2">
        <v>26</v>
      </c>
      <c r="H664" s="2">
        <v>0</v>
      </c>
      <c r="I664" s="2">
        <v>4</v>
      </c>
      <c r="J664" s="2">
        <v>3</v>
      </c>
      <c r="K664" s="2">
        <v>0</v>
      </c>
      <c r="L664" s="2">
        <v>0</v>
      </c>
      <c r="M664" s="2" t="s">
        <v>34</v>
      </c>
      <c r="N664" s="2" t="s">
        <v>56</v>
      </c>
      <c r="O664" s="2" t="s">
        <v>44</v>
      </c>
      <c r="P664" s="2" t="s">
        <v>45</v>
      </c>
      <c r="Q664" s="2">
        <v>0</v>
      </c>
      <c r="R664" s="2">
        <v>0</v>
      </c>
      <c r="S664" s="2">
        <v>0</v>
      </c>
      <c r="T664" s="2" t="s">
        <v>57</v>
      </c>
      <c r="U664" s="2" t="s">
        <v>57</v>
      </c>
      <c r="V664" s="2">
        <v>0</v>
      </c>
      <c r="W664" s="2" t="s">
        <v>38</v>
      </c>
      <c r="X664" s="2">
        <v>9</v>
      </c>
      <c r="Y664" s="2"/>
      <c r="Z664" s="2">
        <v>0</v>
      </c>
      <c r="AA664" s="2" t="s">
        <v>39</v>
      </c>
      <c r="AB664" s="2">
        <v>165.6</v>
      </c>
      <c r="AC664" s="2">
        <v>0</v>
      </c>
      <c r="AD664" s="2">
        <v>2</v>
      </c>
      <c r="AE664" s="2" t="s">
        <v>40</v>
      </c>
      <c r="AF664" s="3">
        <v>42946</v>
      </c>
    </row>
    <row r="665" spans="1:32" x14ac:dyDescent="0.25">
      <c r="A665" s="2" t="s">
        <v>41</v>
      </c>
      <c r="B665" s="2">
        <v>1</v>
      </c>
      <c r="C665" s="2">
        <v>26</v>
      </c>
      <c r="D665" s="2">
        <v>2017</v>
      </c>
      <c r="E665" s="2" t="s">
        <v>69</v>
      </c>
      <c r="F665" s="2">
        <v>21</v>
      </c>
      <c r="G665" s="2">
        <v>22</v>
      </c>
      <c r="H665" s="2">
        <v>1</v>
      </c>
      <c r="I665" s="2">
        <v>1</v>
      </c>
      <c r="J665" s="2">
        <v>2</v>
      </c>
      <c r="K665" s="2">
        <v>0</v>
      </c>
      <c r="L665" s="2">
        <v>0</v>
      </c>
      <c r="M665" s="2" t="s">
        <v>34</v>
      </c>
      <c r="N665" s="2" t="s">
        <v>43</v>
      </c>
      <c r="O665" s="2" t="s">
        <v>49</v>
      </c>
      <c r="P665" s="2" t="s">
        <v>45</v>
      </c>
      <c r="Q665" s="2">
        <v>0</v>
      </c>
      <c r="R665" s="2">
        <v>0</v>
      </c>
      <c r="S665" s="2">
        <v>0</v>
      </c>
      <c r="T665" s="2" t="s">
        <v>46</v>
      </c>
      <c r="U665" s="2" t="s">
        <v>46</v>
      </c>
      <c r="V665" s="2">
        <v>0</v>
      </c>
      <c r="W665" s="2" t="s">
        <v>68</v>
      </c>
      <c r="X665" s="2">
        <v>3</v>
      </c>
      <c r="Y665" s="2"/>
      <c r="Z665" s="2">
        <v>0</v>
      </c>
      <c r="AA665" s="2" t="s">
        <v>39</v>
      </c>
      <c r="AB665" s="2">
        <v>128</v>
      </c>
      <c r="AC665" s="2">
        <v>0</v>
      </c>
      <c r="AD665" s="2">
        <v>0</v>
      </c>
      <c r="AE665" s="2" t="s">
        <v>47</v>
      </c>
      <c r="AF665" s="3">
        <v>42851</v>
      </c>
    </row>
    <row r="666" spans="1:32" x14ac:dyDescent="0.25">
      <c r="A666" s="2" t="s">
        <v>41</v>
      </c>
      <c r="B666" s="2">
        <v>0</v>
      </c>
      <c r="C666" s="2">
        <v>42</v>
      </c>
      <c r="D666" s="2">
        <v>2017</v>
      </c>
      <c r="E666" s="2" t="s">
        <v>54</v>
      </c>
      <c r="F666" s="2">
        <v>16</v>
      </c>
      <c r="G666" s="2">
        <v>21</v>
      </c>
      <c r="H666" s="2">
        <v>1</v>
      </c>
      <c r="I666" s="2">
        <v>2</v>
      </c>
      <c r="J666" s="2">
        <v>2</v>
      </c>
      <c r="K666" s="2">
        <v>0</v>
      </c>
      <c r="L666" s="2">
        <v>0</v>
      </c>
      <c r="M666" s="2" t="s">
        <v>34</v>
      </c>
      <c r="N666" s="2" t="s">
        <v>48</v>
      </c>
      <c r="O666" s="2" t="s">
        <v>44</v>
      </c>
      <c r="P666" s="2" t="s">
        <v>45</v>
      </c>
      <c r="Q666" s="2">
        <v>0</v>
      </c>
      <c r="R666" s="2">
        <v>0</v>
      </c>
      <c r="S666" s="2">
        <v>0</v>
      </c>
      <c r="T666" s="2" t="s">
        <v>57</v>
      </c>
      <c r="U666" s="2" t="s">
        <v>57</v>
      </c>
      <c r="V666" s="2">
        <v>0</v>
      </c>
      <c r="W666" s="2" t="s">
        <v>38</v>
      </c>
      <c r="X666" s="2">
        <v>9</v>
      </c>
      <c r="Y666" s="2"/>
      <c r="Z666" s="2">
        <v>0</v>
      </c>
      <c r="AA666" s="2" t="s">
        <v>39</v>
      </c>
      <c r="AB666" s="2">
        <v>156.66999999999999</v>
      </c>
      <c r="AC666" s="2">
        <v>0</v>
      </c>
      <c r="AD666" s="2">
        <v>2</v>
      </c>
      <c r="AE666" s="2" t="s">
        <v>40</v>
      </c>
      <c r="AF666" s="3">
        <v>42849</v>
      </c>
    </row>
    <row r="667" spans="1:32" x14ac:dyDescent="0.25">
      <c r="A667" s="2" t="s">
        <v>41</v>
      </c>
      <c r="B667" s="2">
        <v>1</v>
      </c>
      <c r="C667" s="2">
        <v>155</v>
      </c>
      <c r="D667" s="2">
        <v>2017</v>
      </c>
      <c r="E667" s="2" t="s">
        <v>42</v>
      </c>
      <c r="F667" s="2">
        <v>29</v>
      </c>
      <c r="G667" s="2">
        <v>17</v>
      </c>
      <c r="H667" s="2">
        <v>1</v>
      </c>
      <c r="I667" s="2">
        <v>1</v>
      </c>
      <c r="J667" s="2">
        <v>2</v>
      </c>
      <c r="K667" s="2">
        <v>0</v>
      </c>
      <c r="L667" s="2">
        <v>0</v>
      </c>
      <c r="M667" s="2" t="s">
        <v>55</v>
      </c>
      <c r="N667" s="2" t="s">
        <v>71</v>
      </c>
      <c r="O667" s="2" t="s">
        <v>44</v>
      </c>
      <c r="P667" s="2" t="s">
        <v>45</v>
      </c>
      <c r="Q667" s="2">
        <v>0</v>
      </c>
      <c r="R667" s="2">
        <v>0</v>
      </c>
      <c r="S667" s="2">
        <v>0</v>
      </c>
      <c r="T667" s="2" t="s">
        <v>46</v>
      </c>
      <c r="U667" s="2" t="s">
        <v>46</v>
      </c>
      <c r="V667" s="2">
        <v>0</v>
      </c>
      <c r="W667" s="2" t="s">
        <v>38</v>
      </c>
      <c r="X667" s="2">
        <v>9</v>
      </c>
      <c r="Y667" s="2"/>
      <c r="Z667" s="2">
        <v>0</v>
      </c>
      <c r="AA667" s="2" t="s">
        <v>39</v>
      </c>
      <c r="AB667" s="2">
        <v>89.1</v>
      </c>
      <c r="AC667" s="2">
        <v>0</v>
      </c>
      <c r="AD667" s="2">
        <v>1</v>
      </c>
      <c r="AE667" s="2" t="s">
        <v>47</v>
      </c>
      <c r="AF667" s="3">
        <v>42802</v>
      </c>
    </row>
    <row r="668" spans="1:32" x14ac:dyDescent="0.25">
      <c r="A668" s="2" t="s">
        <v>41</v>
      </c>
      <c r="B668" s="2">
        <v>1</v>
      </c>
      <c r="C668" s="2">
        <v>21</v>
      </c>
      <c r="D668" s="2">
        <v>2017</v>
      </c>
      <c r="E668" s="2" t="s">
        <v>74</v>
      </c>
      <c r="F668" s="2">
        <v>1</v>
      </c>
      <c r="G668" s="2">
        <v>2</v>
      </c>
      <c r="H668" s="2">
        <v>1</v>
      </c>
      <c r="I668" s="2">
        <v>3</v>
      </c>
      <c r="J668" s="2">
        <v>2</v>
      </c>
      <c r="K668" s="2">
        <v>0</v>
      </c>
      <c r="L668" s="2">
        <v>0</v>
      </c>
      <c r="M668" s="2" t="s">
        <v>34</v>
      </c>
      <c r="N668" s="2" t="s">
        <v>87</v>
      </c>
      <c r="O668" s="2" t="s">
        <v>44</v>
      </c>
      <c r="P668" s="2" t="s">
        <v>45</v>
      </c>
      <c r="Q668" s="2">
        <v>0</v>
      </c>
      <c r="R668" s="2">
        <v>0</v>
      </c>
      <c r="S668" s="2">
        <v>0</v>
      </c>
      <c r="T668" s="2" t="s">
        <v>46</v>
      </c>
      <c r="U668" s="2" t="s">
        <v>46</v>
      </c>
      <c r="V668" s="2">
        <v>0</v>
      </c>
      <c r="W668" s="2" t="s">
        <v>38</v>
      </c>
      <c r="X668" s="2">
        <v>9</v>
      </c>
      <c r="Y668" s="2"/>
      <c r="Z668" s="2">
        <v>0</v>
      </c>
      <c r="AA668" s="2" t="s">
        <v>39</v>
      </c>
      <c r="AB668" s="2">
        <v>90.1</v>
      </c>
      <c r="AC668" s="2">
        <v>0</v>
      </c>
      <c r="AD668" s="2">
        <v>2</v>
      </c>
      <c r="AE668" s="2" t="s">
        <v>47</v>
      </c>
      <c r="AF668" s="3">
        <v>42720</v>
      </c>
    </row>
    <row r="669" spans="1:32" x14ac:dyDescent="0.25">
      <c r="A669" s="2" t="s">
        <v>41</v>
      </c>
      <c r="B669" s="2">
        <v>1</v>
      </c>
      <c r="C669" s="2">
        <v>15</v>
      </c>
      <c r="D669" s="2">
        <v>2017</v>
      </c>
      <c r="E669" s="2" t="s">
        <v>66</v>
      </c>
      <c r="F669" s="2">
        <v>7</v>
      </c>
      <c r="G669" s="2">
        <v>17</v>
      </c>
      <c r="H669" s="2">
        <v>0</v>
      </c>
      <c r="I669" s="2">
        <v>2</v>
      </c>
      <c r="J669" s="2">
        <v>2</v>
      </c>
      <c r="K669" s="2">
        <v>0</v>
      </c>
      <c r="L669" s="2">
        <v>0</v>
      </c>
      <c r="M669" s="2" t="s">
        <v>34</v>
      </c>
      <c r="N669" s="2" t="s">
        <v>43</v>
      </c>
      <c r="O669" s="2" t="s">
        <v>49</v>
      </c>
      <c r="P669" s="2" t="s">
        <v>45</v>
      </c>
      <c r="Q669" s="2">
        <v>0</v>
      </c>
      <c r="R669" s="2">
        <v>0</v>
      </c>
      <c r="S669" s="2">
        <v>0</v>
      </c>
      <c r="T669" s="2" t="s">
        <v>46</v>
      </c>
      <c r="U669" s="2" t="s">
        <v>46</v>
      </c>
      <c r="V669" s="2">
        <v>0</v>
      </c>
      <c r="W669" s="2" t="s">
        <v>68</v>
      </c>
      <c r="X669" s="2">
        <v>19</v>
      </c>
      <c r="Y669" s="2"/>
      <c r="Z669" s="2">
        <v>0</v>
      </c>
      <c r="AA669" s="2" t="s">
        <v>39</v>
      </c>
      <c r="AB669" s="2">
        <v>95</v>
      </c>
      <c r="AC669" s="2">
        <v>0</v>
      </c>
      <c r="AD669" s="2">
        <v>0</v>
      </c>
      <c r="AE669" s="2" t="s">
        <v>47</v>
      </c>
      <c r="AF669" s="3">
        <v>42768</v>
      </c>
    </row>
    <row r="670" spans="1:32" x14ac:dyDescent="0.25">
      <c r="A670" s="2" t="s">
        <v>41</v>
      </c>
      <c r="B670" s="2">
        <v>0</v>
      </c>
      <c r="C670" s="2">
        <v>22</v>
      </c>
      <c r="D670" s="2">
        <v>2017</v>
      </c>
      <c r="E670" s="2" t="s">
        <v>52</v>
      </c>
      <c r="F670" s="2">
        <v>11</v>
      </c>
      <c r="G670" s="2">
        <v>16</v>
      </c>
      <c r="H670" s="2">
        <v>2</v>
      </c>
      <c r="I670" s="2">
        <v>5</v>
      </c>
      <c r="J670" s="2">
        <v>2</v>
      </c>
      <c r="K670" s="2">
        <v>0</v>
      </c>
      <c r="L670" s="2">
        <v>0</v>
      </c>
      <c r="M670" s="2" t="s">
        <v>34</v>
      </c>
      <c r="N670" s="2" t="s">
        <v>35</v>
      </c>
      <c r="O670" s="2" t="s">
        <v>49</v>
      </c>
      <c r="P670" s="2" t="s">
        <v>45</v>
      </c>
      <c r="Q670" s="2">
        <v>0</v>
      </c>
      <c r="R670" s="2">
        <v>0</v>
      </c>
      <c r="S670" s="2">
        <v>0</v>
      </c>
      <c r="T670" s="2" t="s">
        <v>46</v>
      </c>
      <c r="U670" s="2" t="s">
        <v>46</v>
      </c>
      <c r="V670" s="2">
        <v>0</v>
      </c>
      <c r="W670" s="2" t="s">
        <v>38</v>
      </c>
      <c r="X670" s="2">
        <v>85</v>
      </c>
      <c r="Y670" s="2"/>
      <c r="Z670" s="2">
        <v>0</v>
      </c>
      <c r="AA670" s="2" t="s">
        <v>39</v>
      </c>
      <c r="AB670" s="2">
        <v>68</v>
      </c>
      <c r="AC670" s="2">
        <v>0</v>
      </c>
      <c r="AD670" s="2">
        <v>1</v>
      </c>
      <c r="AE670" s="2" t="s">
        <v>40</v>
      </c>
      <c r="AF670" s="3">
        <v>42817</v>
      </c>
    </row>
    <row r="671" spans="1:32" x14ac:dyDescent="0.25">
      <c r="A671" s="2" t="s">
        <v>32</v>
      </c>
      <c r="B671" s="2">
        <v>1</v>
      </c>
      <c r="C671" s="2">
        <v>80</v>
      </c>
      <c r="D671" s="2">
        <v>2017</v>
      </c>
      <c r="E671" s="2" t="s">
        <v>67</v>
      </c>
      <c r="F671" s="2">
        <v>34</v>
      </c>
      <c r="G671" s="2">
        <v>26</v>
      </c>
      <c r="H671" s="2">
        <v>2</v>
      </c>
      <c r="I671" s="2">
        <v>2</v>
      </c>
      <c r="J671" s="2">
        <v>2</v>
      </c>
      <c r="K671" s="2">
        <v>0</v>
      </c>
      <c r="L671" s="2">
        <v>0</v>
      </c>
      <c r="M671" s="2" t="s">
        <v>34</v>
      </c>
      <c r="N671" s="2" t="s">
        <v>43</v>
      </c>
      <c r="O671" s="2" t="s">
        <v>49</v>
      </c>
      <c r="P671" s="2" t="s">
        <v>45</v>
      </c>
      <c r="Q671" s="2">
        <v>0</v>
      </c>
      <c r="R671" s="2">
        <v>0</v>
      </c>
      <c r="S671" s="2">
        <v>0</v>
      </c>
      <c r="T671" s="2" t="s">
        <v>57</v>
      </c>
      <c r="U671" s="2" t="s">
        <v>57</v>
      </c>
      <c r="V671" s="2">
        <v>0</v>
      </c>
      <c r="W671" s="2" t="s">
        <v>38</v>
      </c>
      <c r="X671" s="2">
        <v>40</v>
      </c>
      <c r="Y671" s="2"/>
      <c r="Z671" s="2">
        <v>0</v>
      </c>
      <c r="AA671" s="2" t="s">
        <v>73</v>
      </c>
      <c r="AB671" s="2">
        <v>135</v>
      </c>
      <c r="AC671" s="2">
        <v>0</v>
      </c>
      <c r="AD671" s="2">
        <v>1</v>
      </c>
      <c r="AE671" s="2" t="s">
        <v>47</v>
      </c>
      <c r="AF671" s="3">
        <v>42931</v>
      </c>
    </row>
    <row r="672" spans="1:32" x14ac:dyDescent="0.25">
      <c r="A672" s="2" t="s">
        <v>41</v>
      </c>
      <c r="B672" s="2">
        <v>1</v>
      </c>
      <c r="C672" s="2">
        <v>157</v>
      </c>
      <c r="D672" s="2">
        <v>2017</v>
      </c>
      <c r="E672" s="2" t="s">
        <v>69</v>
      </c>
      <c r="F672" s="2">
        <v>18</v>
      </c>
      <c r="G672" s="2">
        <v>1</v>
      </c>
      <c r="H672" s="2">
        <v>1</v>
      </c>
      <c r="I672" s="2">
        <v>3</v>
      </c>
      <c r="J672" s="2">
        <v>2</v>
      </c>
      <c r="K672" s="2">
        <v>0</v>
      </c>
      <c r="L672" s="2">
        <v>0</v>
      </c>
      <c r="M672" s="2" t="s">
        <v>34</v>
      </c>
      <c r="N672" s="2" t="s">
        <v>43</v>
      </c>
      <c r="O672" s="2" t="s">
        <v>64</v>
      </c>
      <c r="P672" s="2" t="s">
        <v>45</v>
      </c>
      <c r="Q672" s="2">
        <v>0</v>
      </c>
      <c r="R672" s="2">
        <v>0</v>
      </c>
      <c r="S672" s="2">
        <v>0</v>
      </c>
      <c r="T672" s="2" t="s">
        <v>46</v>
      </c>
      <c r="U672" s="2" t="s">
        <v>46</v>
      </c>
      <c r="V672" s="2">
        <v>0</v>
      </c>
      <c r="W672" s="2" t="s">
        <v>68</v>
      </c>
      <c r="X672" s="2">
        <v>3</v>
      </c>
      <c r="Y672" s="2"/>
      <c r="Z672" s="2">
        <v>0</v>
      </c>
      <c r="AA672" s="2" t="s">
        <v>39</v>
      </c>
      <c r="AB672" s="2">
        <v>130</v>
      </c>
      <c r="AC672" s="2">
        <v>0</v>
      </c>
      <c r="AD672" s="2">
        <v>0</v>
      </c>
      <c r="AE672" s="2" t="s">
        <v>47</v>
      </c>
      <c r="AF672" s="3">
        <v>42699</v>
      </c>
    </row>
    <row r="673" spans="1:32" x14ac:dyDescent="0.25">
      <c r="A673" s="2" t="s">
        <v>41</v>
      </c>
      <c r="B673" s="2">
        <v>0</v>
      </c>
      <c r="C673" s="2">
        <v>1</v>
      </c>
      <c r="D673" s="2">
        <v>2017</v>
      </c>
      <c r="E673" s="2" t="s">
        <v>69</v>
      </c>
      <c r="F673" s="2">
        <v>19</v>
      </c>
      <c r="G673" s="2">
        <v>9</v>
      </c>
      <c r="H673" s="2">
        <v>0</v>
      </c>
      <c r="I673" s="2">
        <v>1</v>
      </c>
      <c r="J673" s="2">
        <v>1</v>
      </c>
      <c r="K673" s="2">
        <v>0</v>
      </c>
      <c r="L673" s="2">
        <v>0</v>
      </c>
      <c r="M673" s="2" t="s">
        <v>55</v>
      </c>
      <c r="N673" s="2" t="s">
        <v>63</v>
      </c>
      <c r="O673" s="2" t="s">
        <v>44</v>
      </c>
      <c r="P673" s="2" t="s">
        <v>45</v>
      </c>
      <c r="Q673" s="2">
        <v>0</v>
      </c>
      <c r="R673" s="2">
        <v>0</v>
      </c>
      <c r="S673" s="2">
        <v>0</v>
      </c>
      <c r="T673" s="2" t="s">
        <v>46</v>
      </c>
      <c r="U673" s="2" t="s">
        <v>46</v>
      </c>
      <c r="V673" s="2">
        <v>0</v>
      </c>
      <c r="W673" s="2" t="s">
        <v>38</v>
      </c>
      <c r="X673" s="2">
        <v>10</v>
      </c>
      <c r="Y673" s="2"/>
      <c r="Z673" s="2">
        <v>0</v>
      </c>
      <c r="AA673" s="2" t="s">
        <v>39</v>
      </c>
      <c r="AB673" s="2">
        <v>95</v>
      </c>
      <c r="AC673" s="2">
        <v>0</v>
      </c>
      <c r="AD673" s="2">
        <v>0</v>
      </c>
      <c r="AE673" s="2" t="s">
        <v>40</v>
      </c>
      <c r="AF673" s="3">
        <v>42865</v>
      </c>
    </row>
    <row r="674" spans="1:32" x14ac:dyDescent="0.25">
      <c r="A674" s="2" t="s">
        <v>41</v>
      </c>
      <c r="B674" s="2">
        <v>0</v>
      </c>
      <c r="C674" s="2">
        <v>127</v>
      </c>
      <c r="D674" s="2">
        <v>2017</v>
      </c>
      <c r="E674" s="2" t="s">
        <v>42</v>
      </c>
      <c r="F674" s="2">
        <v>30</v>
      </c>
      <c r="G674" s="2">
        <v>25</v>
      </c>
      <c r="H674" s="2">
        <v>0</v>
      </c>
      <c r="I674" s="2">
        <v>3</v>
      </c>
      <c r="J674" s="2">
        <v>2</v>
      </c>
      <c r="K674" s="2">
        <v>0</v>
      </c>
      <c r="L674" s="2">
        <v>0</v>
      </c>
      <c r="M674" s="2" t="s">
        <v>34</v>
      </c>
      <c r="N674" s="2" t="s">
        <v>82</v>
      </c>
      <c r="O674" s="2" t="s">
        <v>49</v>
      </c>
      <c r="P674" s="2" t="s">
        <v>45</v>
      </c>
      <c r="Q674" s="2">
        <v>0</v>
      </c>
      <c r="R674" s="2">
        <v>0</v>
      </c>
      <c r="S674" s="2">
        <v>0</v>
      </c>
      <c r="T674" s="2" t="s">
        <v>57</v>
      </c>
      <c r="U674" s="2" t="s">
        <v>57</v>
      </c>
      <c r="V674" s="2">
        <v>0</v>
      </c>
      <c r="W674" s="2" t="s">
        <v>38</v>
      </c>
      <c r="X674" s="2">
        <v>16</v>
      </c>
      <c r="Y674" s="2"/>
      <c r="Z674" s="2">
        <v>0</v>
      </c>
      <c r="AA674" s="2" t="s">
        <v>39</v>
      </c>
      <c r="AB674" s="2">
        <v>98.1</v>
      </c>
      <c r="AC674" s="2">
        <v>0</v>
      </c>
      <c r="AD674" s="2">
        <v>0</v>
      </c>
      <c r="AE674" s="2" t="s">
        <v>40</v>
      </c>
      <c r="AF674" s="3">
        <v>42944</v>
      </c>
    </row>
    <row r="675" spans="1:32" x14ac:dyDescent="0.25">
      <c r="A675" s="2" t="s">
        <v>32</v>
      </c>
      <c r="B675" s="2">
        <v>0</v>
      </c>
      <c r="C675" s="2">
        <v>0</v>
      </c>
      <c r="D675" s="2">
        <v>2017</v>
      </c>
      <c r="E675" s="2" t="s">
        <v>74</v>
      </c>
      <c r="F675" s="2">
        <v>3</v>
      </c>
      <c r="G675" s="2">
        <v>17</v>
      </c>
      <c r="H675" s="2">
        <v>0</v>
      </c>
      <c r="I675" s="2">
        <v>1</v>
      </c>
      <c r="J675" s="2">
        <v>1</v>
      </c>
      <c r="K675" s="2">
        <v>0</v>
      </c>
      <c r="L675" s="2">
        <v>0</v>
      </c>
      <c r="M675" s="2" t="s">
        <v>34</v>
      </c>
      <c r="N675" s="2" t="s">
        <v>63</v>
      </c>
      <c r="O675" s="2" t="s">
        <v>36</v>
      </c>
      <c r="P675" s="2" t="s">
        <v>36</v>
      </c>
      <c r="Q675" s="2">
        <v>1</v>
      </c>
      <c r="R675" s="2">
        <v>0</v>
      </c>
      <c r="S675" s="2">
        <v>1</v>
      </c>
      <c r="T675" s="2" t="s">
        <v>46</v>
      </c>
      <c r="U675" s="2" t="s">
        <v>46</v>
      </c>
      <c r="V675" s="2">
        <v>0</v>
      </c>
      <c r="W675" s="2" t="s">
        <v>38</v>
      </c>
      <c r="X675" s="2"/>
      <c r="Y675" s="2"/>
      <c r="Z675" s="2">
        <v>0</v>
      </c>
      <c r="AA675" s="2" t="s">
        <v>39</v>
      </c>
      <c r="AB675" s="2">
        <v>57</v>
      </c>
      <c r="AC675" s="2">
        <v>0</v>
      </c>
      <c r="AD675" s="2">
        <v>0</v>
      </c>
      <c r="AE675" s="2" t="s">
        <v>40</v>
      </c>
      <c r="AF675" s="3">
        <v>42753</v>
      </c>
    </row>
    <row r="676" spans="1:32" x14ac:dyDescent="0.25">
      <c r="A676" s="2" t="s">
        <v>41</v>
      </c>
      <c r="B676" s="2">
        <v>0</v>
      </c>
      <c r="C676" s="2">
        <v>272</v>
      </c>
      <c r="D676" s="2">
        <v>2017</v>
      </c>
      <c r="E676" s="2" t="s">
        <v>42</v>
      </c>
      <c r="F676" s="2">
        <v>28</v>
      </c>
      <c r="G676" s="2">
        <v>12</v>
      </c>
      <c r="H676" s="2">
        <v>0</v>
      </c>
      <c r="I676" s="2">
        <v>3</v>
      </c>
      <c r="J676" s="2">
        <v>2</v>
      </c>
      <c r="K676" s="2">
        <v>2</v>
      </c>
      <c r="L676" s="2">
        <v>0</v>
      </c>
      <c r="M676" s="2" t="s">
        <v>34</v>
      </c>
      <c r="N676" s="2" t="s">
        <v>82</v>
      </c>
      <c r="O676" s="2" t="s">
        <v>44</v>
      </c>
      <c r="P676" s="2" t="s">
        <v>45</v>
      </c>
      <c r="Q676" s="2">
        <v>0</v>
      </c>
      <c r="R676" s="2">
        <v>0</v>
      </c>
      <c r="S676" s="2">
        <v>0</v>
      </c>
      <c r="T676" s="2" t="s">
        <v>37</v>
      </c>
      <c r="U676" s="2" t="s">
        <v>37</v>
      </c>
      <c r="V676" s="2">
        <v>3</v>
      </c>
      <c r="W676" s="2" t="s">
        <v>38</v>
      </c>
      <c r="X676" s="2">
        <v>9</v>
      </c>
      <c r="Y676" s="2"/>
      <c r="Z676" s="2">
        <v>0</v>
      </c>
      <c r="AA676" s="2" t="s">
        <v>51</v>
      </c>
      <c r="AB676" s="2">
        <v>179.1</v>
      </c>
      <c r="AC676" s="2">
        <v>0</v>
      </c>
      <c r="AD676" s="2">
        <v>2</v>
      </c>
      <c r="AE676" s="2" t="s">
        <v>40</v>
      </c>
      <c r="AF676" s="3">
        <v>42931</v>
      </c>
    </row>
    <row r="677" spans="1:32" x14ac:dyDescent="0.25">
      <c r="A677" s="2" t="s">
        <v>32</v>
      </c>
      <c r="B677" s="2">
        <v>1</v>
      </c>
      <c r="C677" s="2">
        <v>289</v>
      </c>
      <c r="D677" s="2">
        <v>2017</v>
      </c>
      <c r="E677" s="2" t="s">
        <v>42</v>
      </c>
      <c r="F677" s="2">
        <v>30</v>
      </c>
      <c r="G677" s="2">
        <v>25</v>
      </c>
      <c r="H677" s="2">
        <v>0</v>
      </c>
      <c r="I677" s="2">
        <v>4</v>
      </c>
      <c r="J677" s="2">
        <v>2</v>
      </c>
      <c r="K677" s="2">
        <v>1</v>
      </c>
      <c r="L677" s="2">
        <v>0</v>
      </c>
      <c r="M677" s="2" t="s">
        <v>34</v>
      </c>
      <c r="N677" s="2" t="s">
        <v>91</v>
      </c>
      <c r="O677" s="2" t="s">
        <v>44</v>
      </c>
      <c r="P677" s="2" t="s">
        <v>45</v>
      </c>
      <c r="Q677" s="2">
        <v>0</v>
      </c>
      <c r="R677" s="2">
        <v>0</v>
      </c>
      <c r="S677" s="2">
        <v>0</v>
      </c>
      <c r="T677" s="2" t="s">
        <v>72</v>
      </c>
      <c r="U677" s="2" t="s">
        <v>72</v>
      </c>
      <c r="V677" s="2">
        <v>0</v>
      </c>
      <c r="W677" s="2" t="s">
        <v>38</v>
      </c>
      <c r="X677" s="2">
        <v>240</v>
      </c>
      <c r="Y677" s="2"/>
      <c r="Z677" s="2">
        <v>0</v>
      </c>
      <c r="AA677" s="2" t="s">
        <v>39</v>
      </c>
      <c r="AB677" s="2">
        <v>172.8</v>
      </c>
      <c r="AC677" s="2">
        <v>0</v>
      </c>
      <c r="AD677" s="2">
        <v>0</v>
      </c>
      <c r="AE677" s="2" t="s">
        <v>47</v>
      </c>
      <c r="AF677" s="3">
        <v>42844</v>
      </c>
    </row>
    <row r="678" spans="1:32" x14ac:dyDescent="0.25">
      <c r="A678" s="2" t="s">
        <v>32</v>
      </c>
      <c r="B678" s="2">
        <v>1</v>
      </c>
      <c r="C678" s="2">
        <v>46</v>
      </c>
      <c r="D678" s="2">
        <v>2017</v>
      </c>
      <c r="E678" s="2" t="s">
        <v>67</v>
      </c>
      <c r="F678" s="2">
        <v>32</v>
      </c>
      <c r="G678" s="2">
        <v>12</v>
      </c>
      <c r="H678" s="2">
        <v>2</v>
      </c>
      <c r="I678" s="2">
        <v>5</v>
      </c>
      <c r="J678" s="2">
        <v>2</v>
      </c>
      <c r="K678" s="2">
        <v>0</v>
      </c>
      <c r="L678" s="2">
        <v>0</v>
      </c>
      <c r="M678" s="2" t="s">
        <v>34</v>
      </c>
      <c r="N678" s="2" t="s">
        <v>43</v>
      </c>
      <c r="O678" s="2" t="s">
        <v>49</v>
      </c>
      <c r="P678" s="2" t="s">
        <v>45</v>
      </c>
      <c r="Q678" s="2">
        <v>0</v>
      </c>
      <c r="R678" s="2">
        <v>0</v>
      </c>
      <c r="S678" s="2">
        <v>0</v>
      </c>
      <c r="T678" s="2" t="s">
        <v>46</v>
      </c>
      <c r="U678" s="2" t="s">
        <v>46</v>
      </c>
      <c r="V678" s="2">
        <v>0</v>
      </c>
      <c r="W678" s="2" t="s">
        <v>38</v>
      </c>
      <c r="X678" s="2">
        <v>261</v>
      </c>
      <c r="Y678" s="2"/>
      <c r="Z678" s="2">
        <v>0</v>
      </c>
      <c r="AA678" s="2" t="s">
        <v>39</v>
      </c>
      <c r="AB678" s="2">
        <v>212</v>
      </c>
      <c r="AC678" s="2">
        <v>0</v>
      </c>
      <c r="AD678" s="2">
        <v>0</v>
      </c>
      <c r="AE678" s="2" t="s">
        <v>47</v>
      </c>
      <c r="AF678" s="3">
        <v>42928</v>
      </c>
    </row>
    <row r="679" spans="1:32" x14ac:dyDescent="0.25">
      <c r="A679" s="2" t="s">
        <v>41</v>
      </c>
      <c r="B679" s="2">
        <v>1</v>
      </c>
      <c r="C679" s="2">
        <v>332</v>
      </c>
      <c r="D679" s="2">
        <v>2017</v>
      </c>
      <c r="E679" s="2" t="s">
        <v>54</v>
      </c>
      <c r="F679" s="2">
        <v>16</v>
      </c>
      <c r="G679" s="2">
        <v>22</v>
      </c>
      <c r="H679" s="2">
        <v>1</v>
      </c>
      <c r="I679" s="2">
        <v>1</v>
      </c>
      <c r="J679" s="2">
        <v>2</v>
      </c>
      <c r="K679" s="2">
        <v>1</v>
      </c>
      <c r="L679" s="2">
        <v>0</v>
      </c>
      <c r="M679" s="2" t="s">
        <v>34</v>
      </c>
      <c r="N679" s="2" t="s">
        <v>65</v>
      </c>
      <c r="O679" s="2" t="s">
        <v>44</v>
      </c>
      <c r="P679" s="2" t="s">
        <v>45</v>
      </c>
      <c r="Q679" s="2">
        <v>0</v>
      </c>
      <c r="R679" s="2">
        <v>0</v>
      </c>
      <c r="S679" s="2">
        <v>0</v>
      </c>
      <c r="T679" s="2" t="s">
        <v>46</v>
      </c>
      <c r="U679" s="2" t="s">
        <v>46</v>
      </c>
      <c r="V679" s="2">
        <v>0</v>
      </c>
      <c r="W679" s="2" t="s">
        <v>38</v>
      </c>
      <c r="X679" s="2">
        <v>9</v>
      </c>
      <c r="Y679" s="2"/>
      <c r="Z679" s="2">
        <v>0</v>
      </c>
      <c r="AA679" s="2" t="s">
        <v>39</v>
      </c>
      <c r="AB679" s="2">
        <v>125.1</v>
      </c>
      <c r="AC679" s="2">
        <v>0</v>
      </c>
      <c r="AD679" s="2">
        <v>0</v>
      </c>
      <c r="AE679" s="2" t="s">
        <v>47</v>
      </c>
      <c r="AF679" s="3">
        <v>42528</v>
      </c>
    </row>
    <row r="680" spans="1:32" x14ac:dyDescent="0.25">
      <c r="A680" s="2" t="s">
        <v>41</v>
      </c>
      <c r="B680" s="2">
        <v>0</v>
      </c>
      <c r="C680" s="2">
        <v>28</v>
      </c>
      <c r="D680" s="2">
        <v>2017</v>
      </c>
      <c r="E680" s="2" t="s">
        <v>66</v>
      </c>
      <c r="F680" s="2">
        <v>7</v>
      </c>
      <c r="G680" s="2">
        <v>13</v>
      </c>
      <c r="H680" s="2">
        <v>1</v>
      </c>
      <c r="I680" s="2">
        <v>2</v>
      </c>
      <c r="J680" s="2">
        <v>2</v>
      </c>
      <c r="K680" s="2">
        <v>0</v>
      </c>
      <c r="L680" s="2">
        <v>0</v>
      </c>
      <c r="M680" s="2" t="s">
        <v>34</v>
      </c>
      <c r="N680" s="2" t="s">
        <v>70</v>
      </c>
      <c r="O680" s="2" t="s">
        <v>49</v>
      </c>
      <c r="P680" s="2" t="s">
        <v>45</v>
      </c>
      <c r="Q680" s="2">
        <v>0</v>
      </c>
      <c r="R680" s="2">
        <v>0</v>
      </c>
      <c r="S680" s="2">
        <v>0</v>
      </c>
      <c r="T680" s="2" t="s">
        <v>46</v>
      </c>
      <c r="U680" s="2" t="s">
        <v>57</v>
      </c>
      <c r="V680" s="2">
        <v>0</v>
      </c>
      <c r="W680" s="2" t="s">
        <v>38</v>
      </c>
      <c r="X680" s="2">
        <v>28</v>
      </c>
      <c r="Y680" s="2"/>
      <c r="Z680" s="2">
        <v>0</v>
      </c>
      <c r="AA680" s="2" t="s">
        <v>39</v>
      </c>
      <c r="AB680" s="2">
        <v>75</v>
      </c>
      <c r="AC680" s="2">
        <v>0</v>
      </c>
      <c r="AD680" s="2">
        <v>0</v>
      </c>
      <c r="AE680" s="2" t="s">
        <v>40</v>
      </c>
      <c r="AF680" s="3">
        <v>42782</v>
      </c>
    </row>
    <row r="681" spans="1:32" x14ac:dyDescent="0.25">
      <c r="A681" s="2" t="s">
        <v>41</v>
      </c>
      <c r="B681" s="2">
        <v>0</v>
      </c>
      <c r="C681" s="2">
        <v>76</v>
      </c>
      <c r="D681" s="2">
        <v>2017</v>
      </c>
      <c r="E681" s="2" t="s">
        <v>42</v>
      </c>
      <c r="F681" s="2">
        <v>29</v>
      </c>
      <c r="G681" s="2">
        <v>16</v>
      </c>
      <c r="H681" s="2">
        <v>2</v>
      </c>
      <c r="I681" s="2">
        <v>3</v>
      </c>
      <c r="J681" s="2">
        <v>2</v>
      </c>
      <c r="K681" s="2">
        <v>0</v>
      </c>
      <c r="L681" s="2">
        <v>0</v>
      </c>
      <c r="M681" s="2" t="s">
        <v>34</v>
      </c>
      <c r="N681" s="2" t="s">
        <v>56</v>
      </c>
      <c r="O681" s="2" t="s">
        <v>36</v>
      </c>
      <c r="P681" s="2" t="s">
        <v>36</v>
      </c>
      <c r="Q681" s="2">
        <v>0</v>
      </c>
      <c r="R681" s="2">
        <v>0</v>
      </c>
      <c r="S681" s="2">
        <v>0</v>
      </c>
      <c r="T681" s="2" t="s">
        <v>46</v>
      </c>
      <c r="U681" s="2" t="s">
        <v>46</v>
      </c>
      <c r="V681" s="2">
        <v>0</v>
      </c>
      <c r="W681" s="2" t="s">
        <v>38</v>
      </c>
      <c r="X681" s="2">
        <v>14</v>
      </c>
      <c r="Y681" s="2"/>
      <c r="Z681" s="2">
        <v>0</v>
      </c>
      <c r="AA681" s="2" t="s">
        <v>39</v>
      </c>
      <c r="AB681" s="2">
        <v>108</v>
      </c>
      <c r="AC681" s="2">
        <v>0</v>
      </c>
      <c r="AD681" s="2">
        <v>0</v>
      </c>
      <c r="AE681" s="2" t="s">
        <v>40</v>
      </c>
      <c r="AF681" s="3">
        <v>42937</v>
      </c>
    </row>
    <row r="682" spans="1:32" x14ac:dyDescent="0.25">
      <c r="A682" s="2" t="s">
        <v>41</v>
      </c>
      <c r="B682" s="2">
        <v>0</v>
      </c>
      <c r="C682" s="2">
        <v>172</v>
      </c>
      <c r="D682" s="2">
        <v>2017</v>
      </c>
      <c r="E682" s="2" t="s">
        <v>54</v>
      </c>
      <c r="F682" s="2">
        <v>15</v>
      </c>
      <c r="G682" s="2">
        <v>13</v>
      </c>
      <c r="H682" s="2">
        <v>0</v>
      </c>
      <c r="I682" s="2">
        <v>3</v>
      </c>
      <c r="J682" s="2">
        <v>2</v>
      </c>
      <c r="K682" s="2">
        <v>1</v>
      </c>
      <c r="L682" s="2">
        <v>0</v>
      </c>
      <c r="M682" s="2" t="s">
        <v>34</v>
      </c>
      <c r="N682" s="2" t="s">
        <v>63</v>
      </c>
      <c r="O682" s="2" t="s">
        <v>44</v>
      </c>
      <c r="P682" s="2" t="s">
        <v>45</v>
      </c>
      <c r="Q682" s="2">
        <v>0</v>
      </c>
      <c r="R682" s="2">
        <v>0</v>
      </c>
      <c r="S682" s="2">
        <v>0</v>
      </c>
      <c r="T682" s="2" t="s">
        <v>46</v>
      </c>
      <c r="U682" s="2" t="s">
        <v>46</v>
      </c>
      <c r="V682" s="2">
        <v>0</v>
      </c>
      <c r="W682" s="2" t="s">
        <v>38</v>
      </c>
      <c r="X682" s="2">
        <v>9</v>
      </c>
      <c r="Y682" s="2"/>
      <c r="Z682" s="2">
        <v>0</v>
      </c>
      <c r="AA682" s="2" t="s">
        <v>39</v>
      </c>
      <c r="AB682" s="2">
        <v>153</v>
      </c>
      <c r="AC682" s="2">
        <v>0</v>
      </c>
      <c r="AD682" s="2">
        <v>2</v>
      </c>
      <c r="AE682" s="2" t="s">
        <v>40</v>
      </c>
      <c r="AF682" s="3">
        <v>42841</v>
      </c>
    </row>
    <row r="683" spans="1:32" x14ac:dyDescent="0.25">
      <c r="A683" s="2" t="s">
        <v>32</v>
      </c>
      <c r="B683" s="2">
        <v>0</v>
      </c>
      <c r="C683" s="2">
        <v>4</v>
      </c>
      <c r="D683" s="2">
        <v>2017</v>
      </c>
      <c r="E683" s="2" t="s">
        <v>83</v>
      </c>
      <c r="F683" s="2">
        <v>23</v>
      </c>
      <c r="G683" s="2">
        <v>6</v>
      </c>
      <c r="H683" s="2">
        <v>0</v>
      </c>
      <c r="I683" s="2">
        <v>3</v>
      </c>
      <c r="J683" s="2">
        <v>1</v>
      </c>
      <c r="K683" s="2">
        <v>0</v>
      </c>
      <c r="L683" s="2">
        <v>0</v>
      </c>
      <c r="M683" s="2" t="s">
        <v>34</v>
      </c>
      <c r="N683" s="2" t="s">
        <v>43</v>
      </c>
      <c r="O683" s="2" t="s">
        <v>49</v>
      </c>
      <c r="P683" s="2" t="s">
        <v>45</v>
      </c>
      <c r="Q683" s="2">
        <v>1</v>
      </c>
      <c r="R683" s="2">
        <v>0</v>
      </c>
      <c r="S683" s="2">
        <v>3</v>
      </c>
      <c r="T683" s="2" t="s">
        <v>46</v>
      </c>
      <c r="U683" s="2" t="s">
        <v>46</v>
      </c>
      <c r="V683" s="2">
        <v>0</v>
      </c>
      <c r="W683" s="2" t="s">
        <v>38</v>
      </c>
      <c r="X683" s="2">
        <v>146</v>
      </c>
      <c r="Y683" s="2"/>
      <c r="Z683" s="2">
        <v>0</v>
      </c>
      <c r="AA683" s="2" t="s">
        <v>39</v>
      </c>
      <c r="AB683" s="2">
        <v>108</v>
      </c>
      <c r="AC683" s="2">
        <v>0</v>
      </c>
      <c r="AD683" s="2">
        <v>2</v>
      </c>
      <c r="AE683" s="2" t="s">
        <v>40</v>
      </c>
      <c r="AF683" s="3">
        <v>42895</v>
      </c>
    </row>
    <row r="684" spans="1:32" x14ac:dyDescent="0.25">
      <c r="A684" s="2" t="s">
        <v>41</v>
      </c>
      <c r="B684" s="2">
        <v>0</v>
      </c>
      <c r="C684" s="2">
        <v>175</v>
      </c>
      <c r="D684" s="2">
        <v>2017</v>
      </c>
      <c r="E684" s="2" t="s">
        <v>67</v>
      </c>
      <c r="F684" s="2">
        <v>35</v>
      </c>
      <c r="G684" s="2">
        <v>31</v>
      </c>
      <c r="H684" s="2">
        <v>1</v>
      </c>
      <c r="I684" s="2">
        <v>3</v>
      </c>
      <c r="J684" s="2">
        <v>2</v>
      </c>
      <c r="K684" s="2">
        <v>0</v>
      </c>
      <c r="L684" s="2">
        <v>0</v>
      </c>
      <c r="M684" s="2" t="s">
        <v>34</v>
      </c>
      <c r="N684" s="2" t="s">
        <v>78</v>
      </c>
      <c r="O684" s="2" t="s">
        <v>49</v>
      </c>
      <c r="P684" s="2" t="s">
        <v>45</v>
      </c>
      <c r="Q684" s="2">
        <v>0</v>
      </c>
      <c r="R684" s="2">
        <v>0</v>
      </c>
      <c r="S684" s="2">
        <v>0</v>
      </c>
      <c r="T684" s="2" t="s">
        <v>46</v>
      </c>
      <c r="U684" s="2" t="s">
        <v>46</v>
      </c>
      <c r="V684" s="2">
        <v>1</v>
      </c>
      <c r="W684" s="2" t="s">
        <v>38</v>
      </c>
      <c r="X684" s="2">
        <v>42</v>
      </c>
      <c r="Y684" s="2"/>
      <c r="Z684" s="2">
        <v>0</v>
      </c>
      <c r="AA684" s="2" t="s">
        <v>39</v>
      </c>
      <c r="AB684" s="2">
        <v>86.85</v>
      </c>
      <c r="AC684" s="2">
        <v>0</v>
      </c>
      <c r="AD684" s="2">
        <v>2</v>
      </c>
      <c r="AE684" s="2" t="s">
        <v>40</v>
      </c>
      <c r="AF684" s="3">
        <v>42982</v>
      </c>
    </row>
    <row r="685" spans="1:32" x14ac:dyDescent="0.25">
      <c r="A685" s="2" t="s">
        <v>41</v>
      </c>
      <c r="B685" s="2">
        <v>0</v>
      </c>
      <c r="C685" s="2">
        <v>297</v>
      </c>
      <c r="D685" s="2">
        <v>2017</v>
      </c>
      <c r="E685" s="2" t="s">
        <v>42</v>
      </c>
      <c r="F685" s="2">
        <v>29</v>
      </c>
      <c r="G685" s="2">
        <v>21</v>
      </c>
      <c r="H685" s="2">
        <v>2</v>
      </c>
      <c r="I685" s="2">
        <v>2</v>
      </c>
      <c r="J685" s="2">
        <v>2</v>
      </c>
      <c r="K685" s="2">
        <v>1</v>
      </c>
      <c r="L685" s="2">
        <v>0</v>
      </c>
      <c r="M685" s="2" t="s">
        <v>34</v>
      </c>
      <c r="N685" s="2" t="s">
        <v>56</v>
      </c>
      <c r="O685" s="2" t="s">
        <v>36</v>
      </c>
      <c r="P685" s="2" t="s">
        <v>36</v>
      </c>
      <c r="Q685" s="2">
        <v>0</v>
      </c>
      <c r="R685" s="2">
        <v>0</v>
      </c>
      <c r="S685" s="2">
        <v>0</v>
      </c>
      <c r="T685" s="2" t="s">
        <v>46</v>
      </c>
      <c r="U685" s="2" t="s">
        <v>46</v>
      </c>
      <c r="V685" s="2">
        <v>1</v>
      </c>
      <c r="W685" s="2" t="s">
        <v>38</v>
      </c>
      <c r="X685" s="2">
        <v>14</v>
      </c>
      <c r="Y685" s="2"/>
      <c r="Z685" s="2">
        <v>0</v>
      </c>
      <c r="AA685" s="2" t="s">
        <v>39</v>
      </c>
      <c r="AB685" s="2">
        <v>102.1</v>
      </c>
      <c r="AC685" s="2">
        <v>0</v>
      </c>
      <c r="AD685" s="2">
        <v>0</v>
      </c>
      <c r="AE685" s="2" t="s">
        <v>40</v>
      </c>
      <c r="AF685" s="3">
        <v>42941</v>
      </c>
    </row>
    <row r="686" spans="1:32" x14ac:dyDescent="0.25">
      <c r="A686" s="2" t="s">
        <v>41</v>
      </c>
      <c r="B686" s="2">
        <v>0</v>
      </c>
      <c r="C686" s="2">
        <v>131</v>
      </c>
      <c r="D686" s="2">
        <v>2017</v>
      </c>
      <c r="E686" s="2" t="s">
        <v>83</v>
      </c>
      <c r="F686" s="2">
        <v>23</v>
      </c>
      <c r="G686" s="2">
        <v>8</v>
      </c>
      <c r="H686" s="2">
        <v>0</v>
      </c>
      <c r="I686" s="2">
        <v>3</v>
      </c>
      <c r="J686" s="2">
        <v>2</v>
      </c>
      <c r="K686" s="2">
        <v>0</v>
      </c>
      <c r="L686" s="2">
        <v>0</v>
      </c>
      <c r="M686" s="2" t="s">
        <v>34</v>
      </c>
      <c r="N686" s="2" t="s">
        <v>71</v>
      </c>
      <c r="O686" s="2" t="s">
        <v>44</v>
      </c>
      <c r="P686" s="2" t="s">
        <v>45</v>
      </c>
      <c r="Q686" s="2">
        <v>0</v>
      </c>
      <c r="R686" s="2">
        <v>0</v>
      </c>
      <c r="S686" s="2">
        <v>0</v>
      </c>
      <c r="T686" s="2" t="s">
        <v>46</v>
      </c>
      <c r="U686" s="2" t="s">
        <v>46</v>
      </c>
      <c r="V686" s="2">
        <v>0</v>
      </c>
      <c r="W686" s="2" t="s">
        <v>38</v>
      </c>
      <c r="X686" s="2">
        <v>9</v>
      </c>
      <c r="Y686" s="2"/>
      <c r="Z686" s="2">
        <v>0</v>
      </c>
      <c r="AA686" s="2" t="s">
        <v>39</v>
      </c>
      <c r="AB686" s="2">
        <v>144</v>
      </c>
      <c r="AC686" s="2">
        <v>0</v>
      </c>
      <c r="AD686" s="2">
        <v>1</v>
      </c>
      <c r="AE686" s="2" t="s">
        <v>40</v>
      </c>
      <c r="AF686" s="3">
        <v>42897</v>
      </c>
    </row>
    <row r="687" spans="1:32" x14ac:dyDescent="0.25">
      <c r="A687" s="2" t="s">
        <v>41</v>
      </c>
      <c r="B687" s="2">
        <v>1</v>
      </c>
      <c r="C687" s="2">
        <v>313</v>
      </c>
      <c r="D687" s="2">
        <v>2017</v>
      </c>
      <c r="E687" s="2" t="s">
        <v>54</v>
      </c>
      <c r="F687" s="2">
        <v>17</v>
      </c>
      <c r="G687" s="2">
        <v>29</v>
      </c>
      <c r="H687" s="2">
        <v>2</v>
      </c>
      <c r="I687" s="2">
        <v>1</v>
      </c>
      <c r="J687" s="2">
        <v>2</v>
      </c>
      <c r="K687" s="2">
        <v>0</v>
      </c>
      <c r="L687" s="2">
        <v>0</v>
      </c>
      <c r="M687" s="2" t="s">
        <v>34</v>
      </c>
      <c r="N687" s="2" t="s">
        <v>43</v>
      </c>
      <c r="O687" s="2" t="s">
        <v>49</v>
      </c>
      <c r="P687" s="2" t="s">
        <v>45</v>
      </c>
      <c r="Q687" s="2">
        <v>0</v>
      </c>
      <c r="R687" s="2">
        <v>0</v>
      </c>
      <c r="S687" s="2">
        <v>0</v>
      </c>
      <c r="T687" s="2" t="s">
        <v>46</v>
      </c>
      <c r="U687" s="2" t="s">
        <v>46</v>
      </c>
      <c r="V687" s="2">
        <v>0</v>
      </c>
      <c r="W687" s="2" t="s">
        <v>68</v>
      </c>
      <c r="X687" s="2">
        <v>6</v>
      </c>
      <c r="Y687" s="2"/>
      <c r="Z687" s="2">
        <v>0</v>
      </c>
      <c r="AA687" s="2" t="s">
        <v>39</v>
      </c>
      <c r="AB687" s="2">
        <v>90</v>
      </c>
      <c r="AC687" s="2">
        <v>0</v>
      </c>
      <c r="AD687" s="2">
        <v>0</v>
      </c>
      <c r="AE687" s="2" t="s">
        <v>47</v>
      </c>
      <c r="AF687" s="3">
        <v>42789</v>
      </c>
    </row>
    <row r="688" spans="1:32" x14ac:dyDescent="0.25">
      <c r="A688" s="2" t="s">
        <v>41</v>
      </c>
      <c r="B688" s="2">
        <v>1</v>
      </c>
      <c r="C688" s="2">
        <v>56</v>
      </c>
      <c r="D688" s="2">
        <v>2017</v>
      </c>
      <c r="E688" s="2" t="s">
        <v>52</v>
      </c>
      <c r="F688" s="2">
        <v>12</v>
      </c>
      <c r="G688" s="2">
        <v>21</v>
      </c>
      <c r="H688" s="2">
        <v>0</v>
      </c>
      <c r="I688" s="2">
        <v>3</v>
      </c>
      <c r="J688" s="2">
        <v>2</v>
      </c>
      <c r="K688" s="2">
        <v>0</v>
      </c>
      <c r="L688" s="2">
        <v>0</v>
      </c>
      <c r="M688" s="2" t="s">
        <v>34</v>
      </c>
      <c r="N688" s="2" t="s">
        <v>43</v>
      </c>
      <c r="O688" s="2" t="s">
        <v>49</v>
      </c>
      <c r="P688" s="2" t="s">
        <v>45</v>
      </c>
      <c r="Q688" s="2">
        <v>0</v>
      </c>
      <c r="R688" s="2">
        <v>0</v>
      </c>
      <c r="S688" s="2">
        <v>0</v>
      </c>
      <c r="T688" s="2" t="s">
        <v>46</v>
      </c>
      <c r="U688" s="2" t="s">
        <v>46</v>
      </c>
      <c r="V688" s="2">
        <v>0</v>
      </c>
      <c r="W688" s="2" t="s">
        <v>68</v>
      </c>
      <c r="X688" s="2">
        <v>86</v>
      </c>
      <c r="Y688" s="2"/>
      <c r="Z688" s="2">
        <v>0</v>
      </c>
      <c r="AA688" s="2" t="s">
        <v>39</v>
      </c>
      <c r="AB688" s="2">
        <v>85</v>
      </c>
      <c r="AC688" s="2">
        <v>0</v>
      </c>
      <c r="AD688" s="2">
        <v>0</v>
      </c>
      <c r="AE688" s="2" t="s">
        <v>47</v>
      </c>
      <c r="AF688" s="3">
        <v>42759</v>
      </c>
    </row>
    <row r="689" spans="1:32" x14ac:dyDescent="0.25">
      <c r="A689" s="2" t="s">
        <v>32</v>
      </c>
      <c r="B689" s="2">
        <v>0</v>
      </c>
      <c r="C689" s="2">
        <v>94</v>
      </c>
      <c r="D689" s="2">
        <v>2017</v>
      </c>
      <c r="E689" s="2" t="s">
        <v>66</v>
      </c>
      <c r="F689" s="2">
        <v>7</v>
      </c>
      <c r="G689" s="2">
        <v>13</v>
      </c>
      <c r="H689" s="2">
        <v>1</v>
      </c>
      <c r="I689" s="2">
        <v>3</v>
      </c>
      <c r="J689" s="2">
        <v>3</v>
      </c>
      <c r="K689" s="2">
        <v>0</v>
      </c>
      <c r="L689" s="2">
        <v>0</v>
      </c>
      <c r="M689" s="2" t="s">
        <v>60</v>
      </c>
      <c r="N689" s="2" t="s">
        <v>94</v>
      </c>
      <c r="O689" s="2" t="s">
        <v>64</v>
      </c>
      <c r="P689" s="2" t="s">
        <v>45</v>
      </c>
      <c r="Q689" s="2">
        <v>0</v>
      </c>
      <c r="R689" s="2">
        <v>0</v>
      </c>
      <c r="S689" s="2">
        <v>0</v>
      </c>
      <c r="T689" s="2" t="s">
        <v>46</v>
      </c>
      <c r="U689" s="2" t="s">
        <v>46</v>
      </c>
      <c r="V689" s="2">
        <v>1</v>
      </c>
      <c r="W689" s="2" t="s">
        <v>38</v>
      </c>
      <c r="X689" s="2">
        <v>152</v>
      </c>
      <c r="Y689" s="2"/>
      <c r="Z689" s="2">
        <v>0</v>
      </c>
      <c r="AA689" s="2" t="s">
        <v>51</v>
      </c>
      <c r="AB689" s="2">
        <v>88</v>
      </c>
      <c r="AC689" s="2">
        <v>0</v>
      </c>
      <c r="AD689" s="2">
        <v>0</v>
      </c>
      <c r="AE689" s="2" t="s">
        <v>40</v>
      </c>
      <c r="AF689" s="3">
        <v>42783</v>
      </c>
    </row>
    <row r="690" spans="1:32" x14ac:dyDescent="0.25">
      <c r="A690" s="2" t="s">
        <v>41</v>
      </c>
      <c r="B690" s="2">
        <v>1</v>
      </c>
      <c r="C690" s="2">
        <v>191</v>
      </c>
      <c r="D690" s="2">
        <v>2017</v>
      </c>
      <c r="E690" s="2" t="s">
        <v>54</v>
      </c>
      <c r="F690" s="2">
        <v>14</v>
      </c>
      <c r="G690" s="2">
        <v>6</v>
      </c>
      <c r="H690" s="2">
        <v>2</v>
      </c>
      <c r="I690" s="2">
        <v>3</v>
      </c>
      <c r="J690" s="2">
        <v>2</v>
      </c>
      <c r="K690" s="2">
        <v>0</v>
      </c>
      <c r="L690" s="2">
        <v>0</v>
      </c>
      <c r="M690" s="2" t="s">
        <v>34</v>
      </c>
      <c r="N690" s="2" t="s">
        <v>43</v>
      </c>
      <c r="O690" s="2" t="s">
        <v>44</v>
      </c>
      <c r="P690" s="2" t="s">
        <v>45</v>
      </c>
      <c r="Q690" s="2">
        <v>0</v>
      </c>
      <c r="R690" s="2">
        <v>0</v>
      </c>
      <c r="S690" s="2">
        <v>0</v>
      </c>
      <c r="T690" s="2" t="s">
        <v>46</v>
      </c>
      <c r="U690" s="2" t="s">
        <v>46</v>
      </c>
      <c r="V690" s="2">
        <v>0</v>
      </c>
      <c r="W690" s="2" t="s">
        <v>38</v>
      </c>
      <c r="X690" s="2">
        <v>83</v>
      </c>
      <c r="Y690" s="2"/>
      <c r="Z690" s="2">
        <v>0</v>
      </c>
      <c r="AA690" s="2" t="s">
        <v>39</v>
      </c>
      <c r="AB690" s="2">
        <v>88.4</v>
      </c>
      <c r="AC690" s="2">
        <v>0</v>
      </c>
      <c r="AD690" s="2">
        <v>0</v>
      </c>
      <c r="AE690" s="2" t="s">
        <v>47</v>
      </c>
      <c r="AF690" s="3">
        <v>42641</v>
      </c>
    </row>
    <row r="691" spans="1:32" x14ac:dyDescent="0.25">
      <c r="A691" s="2" t="s">
        <v>32</v>
      </c>
      <c r="B691" s="2">
        <v>0</v>
      </c>
      <c r="C691" s="2">
        <v>210</v>
      </c>
      <c r="D691" s="2">
        <v>2017</v>
      </c>
      <c r="E691" s="2" t="s">
        <v>67</v>
      </c>
      <c r="F691" s="2">
        <v>33</v>
      </c>
      <c r="G691" s="2">
        <v>19</v>
      </c>
      <c r="H691" s="2">
        <v>2</v>
      </c>
      <c r="I691" s="2">
        <v>5</v>
      </c>
      <c r="J691" s="2">
        <v>3</v>
      </c>
      <c r="K691" s="2">
        <v>0</v>
      </c>
      <c r="L691" s="2">
        <v>0</v>
      </c>
      <c r="M691" s="2" t="s">
        <v>60</v>
      </c>
      <c r="N691" s="2" t="s">
        <v>43</v>
      </c>
      <c r="O691" s="2" t="s">
        <v>49</v>
      </c>
      <c r="P691" s="2" t="s">
        <v>45</v>
      </c>
      <c r="Q691" s="2">
        <v>0</v>
      </c>
      <c r="R691" s="2">
        <v>0</v>
      </c>
      <c r="S691" s="2">
        <v>0</v>
      </c>
      <c r="T691" s="2" t="s">
        <v>46</v>
      </c>
      <c r="U691" s="2" t="s">
        <v>46</v>
      </c>
      <c r="V691" s="2">
        <v>0</v>
      </c>
      <c r="W691" s="2" t="s">
        <v>38</v>
      </c>
      <c r="X691" s="2">
        <v>261</v>
      </c>
      <c r="Y691" s="2"/>
      <c r="Z691" s="2">
        <v>0</v>
      </c>
      <c r="AA691" s="2" t="s">
        <v>39</v>
      </c>
      <c r="AB691" s="2">
        <v>187.24</v>
      </c>
      <c r="AC691" s="2">
        <v>0</v>
      </c>
      <c r="AD691" s="2">
        <v>0</v>
      </c>
      <c r="AE691" s="2" t="s">
        <v>40</v>
      </c>
      <c r="AF691" s="3">
        <v>42973</v>
      </c>
    </row>
    <row r="692" spans="1:32" x14ac:dyDescent="0.25">
      <c r="A692" s="2" t="s">
        <v>41</v>
      </c>
      <c r="B692" s="2">
        <v>0</v>
      </c>
      <c r="C692" s="2">
        <v>448</v>
      </c>
      <c r="D692" s="2">
        <v>2017</v>
      </c>
      <c r="E692" s="2" t="s">
        <v>83</v>
      </c>
      <c r="F692" s="2">
        <v>24</v>
      </c>
      <c r="G692" s="2">
        <v>17</v>
      </c>
      <c r="H692" s="2">
        <v>2</v>
      </c>
      <c r="I692" s="2">
        <v>1</v>
      </c>
      <c r="J692" s="2">
        <v>2</v>
      </c>
      <c r="K692" s="2">
        <v>0</v>
      </c>
      <c r="L692" s="2">
        <v>0</v>
      </c>
      <c r="M692" s="2" t="s">
        <v>34</v>
      </c>
      <c r="N692" s="2" t="s">
        <v>35</v>
      </c>
      <c r="O692" s="2" t="s">
        <v>64</v>
      </c>
      <c r="P692" s="2" t="s">
        <v>45</v>
      </c>
      <c r="Q692" s="2">
        <v>0</v>
      </c>
      <c r="R692" s="2">
        <v>0</v>
      </c>
      <c r="S692" s="2">
        <v>0</v>
      </c>
      <c r="T692" s="2" t="s">
        <v>46</v>
      </c>
      <c r="U692" s="2" t="s">
        <v>46</v>
      </c>
      <c r="V692" s="2">
        <v>0</v>
      </c>
      <c r="W692" s="2" t="s">
        <v>38</v>
      </c>
      <c r="X692" s="2">
        <v>229</v>
      </c>
      <c r="Y692" s="2"/>
      <c r="Z692" s="2">
        <v>0</v>
      </c>
      <c r="AA692" s="2" t="s">
        <v>51</v>
      </c>
      <c r="AB692" s="2">
        <v>112.67</v>
      </c>
      <c r="AC692" s="2">
        <v>0</v>
      </c>
      <c r="AD692" s="2">
        <v>1</v>
      </c>
      <c r="AE692" s="2" t="s">
        <v>40</v>
      </c>
      <c r="AF692" s="3">
        <v>42906</v>
      </c>
    </row>
    <row r="693" spans="1:32" x14ac:dyDescent="0.25">
      <c r="A693" s="2" t="s">
        <v>41</v>
      </c>
      <c r="B693" s="2">
        <v>1</v>
      </c>
      <c r="C693" s="2">
        <v>135</v>
      </c>
      <c r="D693" s="2">
        <v>2017</v>
      </c>
      <c r="E693" s="2" t="s">
        <v>54</v>
      </c>
      <c r="F693" s="2">
        <v>16</v>
      </c>
      <c r="G693" s="2">
        <v>21</v>
      </c>
      <c r="H693" s="2">
        <v>1</v>
      </c>
      <c r="I693" s="2">
        <v>2</v>
      </c>
      <c r="J693" s="2">
        <v>2</v>
      </c>
      <c r="K693" s="2">
        <v>0</v>
      </c>
      <c r="L693" s="2">
        <v>0</v>
      </c>
      <c r="M693" s="2" t="s">
        <v>34</v>
      </c>
      <c r="N693" s="2" t="s">
        <v>43</v>
      </c>
      <c r="O693" s="2" t="s">
        <v>64</v>
      </c>
      <c r="P693" s="2" t="s">
        <v>45</v>
      </c>
      <c r="Q693" s="2">
        <v>0</v>
      </c>
      <c r="R693" s="2">
        <v>0</v>
      </c>
      <c r="S693" s="2">
        <v>0</v>
      </c>
      <c r="T693" s="2" t="s">
        <v>46</v>
      </c>
      <c r="U693" s="2" t="s">
        <v>46</v>
      </c>
      <c r="V693" s="2">
        <v>0</v>
      </c>
      <c r="W693" s="2" t="s">
        <v>68</v>
      </c>
      <c r="X693" s="2">
        <v>3</v>
      </c>
      <c r="Y693" s="2"/>
      <c r="Z693" s="2">
        <v>0</v>
      </c>
      <c r="AA693" s="2" t="s">
        <v>39</v>
      </c>
      <c r="AB693" s="2">
        <v>90</v>
      </c>
      <c r="AC693" s="2">
        <v>0</v>
      </c>
      <c r="AD693" s="2">
        <v>0</v>
      </c>
      <c r="AE693" s="2" t="s">
        <v>47</v>
      </c>
      <c r="AF693" s="3">
        <v>42711</v>
      </c>
    </row>
    <row r="694" spans="1:32" x14ac:dyDescent="0.25">
      <c r="A694" s="2" t="s">
        <v>41</v>
      </c>
      <c r="B694" s="2">
        <v>0</v>
      </c>
      <c r="C694" s="2">
        <v>1</v>
      </c>
      <c r="D694" s="2">
        <v>2017</v>
      </c>
      <c r="E694" s="2" t="s">
        <v>66</v>
      </c>
      <c r="F694" s="2">
        <v>5</v>
      </c>
      <c r="G694" s="2">
        <v>3</v>
      </c>
      <c r="H694" s="2">
        <v>1</v>
      </c>
      <c r="I694" s="2">
        <v>2</v>
      </c>
      <c r="J694" s="2">
        <v>2</v>
      </c>
      <c r="K694" s="2">
        <v>0</v>
      </c>
      <c r="L694" s="2">
        <v>0</v>
      </c>
      <c r="M694" s="2" t="s">
        <v>34</v>
      </c>
      <c r="N694" s="2" t="s">
        <v>63</v>
      </c>
      <c r="O694" s="2" t="s">
        <v>44</v>
      </c>
      <c r="P694" s="2" t="s">
        <v>45</v>
      </c>
      <c r="Q694" s="2">
        <v>0</v>
      </c>
      <c r="R694" s="2">
        <v>0</v>
      </c>
      <c r="S694" s="2">
        <v>0</v>
      </c>
      <c r="T694" s="2" t="s">
        <v>46</v>
      </c>
      <c r="U694" s="2" t="s">
        <v>46</v>
      </c>
      <c r="V694" s="2">
        <v>0</v>
      </c>
      <c r="W694" s="2" t="s">
        <v>38</v>
      </c>
      <c r="X694" s="2">
        <v>9</v>
      </c>
      <c r="Y694" s="2"/>
      <c r="Z694" s="2">
        <v>0</v>
      </c>
      <c r="AA694" s="2" t="s">
        <v>39</v>
      </c>
      <c r="AB694" s="2">
        <v>117</v>
      </c>
      <c r="AC694" s="2">
        <v>0</v>
      </c>
      <c r="AD694" s="2">
        <v>1</v>
      </c>
      <c r="AE694" s="2" t="s">
        <v>40</v>
      </c>
      <c r="AF694" s="3">
        <v>42772</v>
      </c>
    </row>
    <row r="695" spans="1:32" x14ac:dyDescent="0.25">
      <c r="A695" s="2" t="s">
        <v>41</v>
      </c>
      <c r="B695" s="2">
        <v>1</v>
      </c>
      <c r="C695" s="2">
        <v>316</v>
      </c>
      <c r="D695" s="2">
        <v>2017</v>
      </c>
      <c r="E695" s="2" t="s">
        <v>69</v>
      </c>
      <c r="F695" s="2">
        <v>19</v>
      </c>
      <c r="G695" s="2">
        <v>10</v>
      </c>
      <c r="H695" s="2">
        <v>0</v>
      </c>
      <c r="I695" s="2">
        <v>2</v>
      </c>
      <c r="J695" s="2">
        <v>2</v>
      </c>
      <c r="K695" s="2">
        <v>0</v>
      </c>
      <c r="L695" s="2">
        <v>0</v>
      </c>
      <c r="M695" s="2" t="s">
        <v>34</v>
      </c>
      <c r="N695" s="2" t="s">
        <v>43</v>
      </c>
      <c r="O695" s="2" t="s">
        <v>44</v>
      </c>
      <c r="P695" s="2" t="s">
        <v>45</v>
      </c>
      <c r="Q695" s="2">
        <v>0</v>
      </c>
      <c r="R695" s="2">
        <v>0</v>
      </c>
      <c r="S695" s="2">
        <v>0</v>
      </c>
      <c r="T695" s="2" t="s">
        <v>57</v>
      </c>
      <c r="U695" s="2" t="s">
        <v>57</v>
      </c>
      <c r="V695" s="2">
        <v>0</v>
      </c>
      <c r="W695" s="2" t="s">
        <v>38</v>
      </c>
      <c r="X695" s="2">
        <v>9</v>
      </c>
      <c r="Y695" s="2"/>
      <c r="Z695" s="2">
        <v>0</v>
      </c>
      <c r="AA695" s="2" t="s">
        <v>39</v>
      </c>
      <c r="AB695" s="2">
        <v>123.3</v>
      </c>
      <c r="AC695" s="2">
        <v>0</v>
      </c>
      <c r="AD695" s="2">
        <v>1</v>
      </c>
      <c r="AE695" s="2" t="s">
        <v>47</v>
      </c>
      <c r="AF695" s="3">
        <v>42744</v>
      </c>
    </row>
    <row r="696" spans="1:32" x14ac:dyDescent="0.25">
      <c r="A696" s="2" t="s">
        <v>32</v>
      </c>
      <c r="B696" s="2">
        <v>0</v>
      </c>
      <c r="C696" s="2">
        <v>242</v>
      </c>
      <c r="D696" s="2">
        <v>2017</v>
      </c>
      <c r="E696" s="2" t="s">
        <v>69</v>
      </c>
      <c r="F696" s="2">
        <v>18</v>
      </c>
      <c r="G696" s="2">
        <v>1</v>
      </c>
      <c r="H696" s="2">
        <v>4</v>
      </c>
      <c r="I696" s="2">
        <v>10</v>
      </c>
      <c r="J696" s="2">
        <v>2</v>
      </c>
      <c r="K696" s="2">
        <v>0</v>
      </c>
      <c r="L696" s="2">
        <v>0</v>
      </c>
      <c r="M696" s="2" t="s">
        <v>60</v>
      </c>
      <c r="N696" s="2" t="s">
        <v>56</v>
      </c>
      <c r="O696" s="2" t="s">
        <v>49</v>
      </c>
      <c r="P696" s="2" t="s">
        <v>45</v>
      </c>
      <c r="Q696" s="2">
        <v>0</v>
      </c>
      <c r="R696" s="2">
        <v>0</v>
      </c>
      <c r="S696" s="2">
        <v>0</v>
      </c>
      <c r="T696" s="2" t="s">
        <v>72</v>
      </c>
      <c r="U696" s="2" t="s">
        <v>72</v>
      </c>
      <c r="V696" s="2">
        <v>0</v>
      </c>
      <c r="W696" s="2" t="s">
        <v>38</v>
      </c>
      <c r="X696" s="2">
        <v>75</v>
      </c>
      <c r="Y696" s="2"/>
      <c r="Z696" s="2">
        <v>0</v>
      </c>
      <c r="AA696" s="2" t="s">
        <v>39</v>
      </c>
      <c r="AB696" s="2">
        <v>84.15</v>
      </c>
      <c r="AC696" s="2">
        <v>0</v>
      </c>
      <c r="AD696" s="2">
        <v>1</v>
      </c>
      <c r="AE696" s="2" t="s">
        <v>40</v>
      </c>
      <c r="AF696" s="3">
        <v>42870</v>
      </c>
    </row>
    <row r="697" spans="1:32" x14ac:dyDescent="0.25">
      <c r="A697" s="2" t="s">
        <v>41</v>
      </c>
      <c r="B697" s="2">
        <v>1</v>
      </c>
      <c r="C697" s="2">
        <v>357</v>
      </c>
      <c r="D697" s="2">
        <v>2017</v>
      </c>
      <c r="E697" s="2" t="s">
        <v>69</v>
      </c>
      <c r="F697" s="2">
        <v>21</v>
      </c>
      <c r="G697" s="2">
        <v>24</v>
      </c>
      <c r="H697" s="2">
        <v>0</v>
      </c>
      <c r="I697" s="2">
        <v>2</v>
      </c>
      <c r="J697" s="2">
        <v>2</v>
      </c>
      <c r="K697" s="2">
        <v>0</v>
      </c>
      <c r="L697" s="2">
        <v>0</v>
      </c>
      <c r="M697" s="2" t="s">
        <v>34</v>
      </c>
      <c r="N697" s="2" t="s">
        <v>35</v>
      </c>
      <c r="O697" s="2" t="s">
        <v>44</v>
      </c>
      <c r="P697" s="2" t="s">
        <v>45</v>
      </c>
      <c r="Q697" s="2">
        <v>0</v>
      </c>
      <c r="R697" s="2">
        <v>0</v>
      </c>
      <c r="S697" s="2">
        <v>0</v>
      </c>
      <c r="T697" s="2" t="s">
        <v>46</v>
      </c>
      <c r="U697" s="2" t="s">
        <v>46</v>
      </c>
      <c r="V697" s="2">
        <v>0</v>
      </c>
      <c r="W697" s="2" t="s">
        <v>38</v>
      </c>
      <c r="X697" s="2">
        <v>9</v>
      </c>
      <c r="Y697" s="2"/>
      <c r="Z697" s="2">
        <v>0</v>
      </c>
      <c r="AA697" s="2" t="s">
        <v>39</v>
      </c>
      <c r="AB697" s="2">
        <v>109.8</v>
      </c>
      <c r="AC697" s="2">
        <v>0</v>
      </c>
      <c r="AD697" s="2">
        <v>1</v>
      </c>
      <c r="AE697" s="2" t="s">
        <v>47</v>
      </c>
      <c r="AF697" s="3">
        <v>42865</v>
      </c>
    </row>
    <row r="698" spans="1:32" x14ac:dyDescent="0.25">
      <c r="A698" s="2" t="s">
        <v>41</v>
      </c>
      <c r="B698" s="2">
        <v>1</v>
      </c>
      <c r="C698" s="2">
        <v>118</v>
      </c>
      <c r="D698" s="2">
        <v>2017</v>
      </c>
      <c r="E698" s="2" t="s">
        <v>83</v>
      </c>
      <c r="F698" s="2">
        <v>23</v>
      </c>
      <c r="G698" s="2">
        <v>10</v>
      </c>
      <c r="H698" s="2">
        <v>0</v>
      </c>
      <c r="I698" s="2">
        <v>1</v>
      </c>
      <c r="J698" s="2">
        <v>2</v>
      </c>
      <c r="K698" s="2">
        <v>0</v>
      </c>
      <c r="L698" s="2">
        <v>0</v>
      </c>
      <c r="M698" s="2" t="s">
        <v>34</v>
      </c>
      <c r="N698" s="2" t="s">
        <v>53</v>
      </c>
      <c r="O698" s="2" t="s">
        <v>44</v>
      </c>
      <c r="P698" s="2" t="s">
        <v>45</v>
      </c>
      <c r="Q698" s="2">
        <v>0</v>
      </c>
      <c r="R698" s="2">
        <v>0</v>
      </c>
      <c r="S698" s="2">
        <v>0</v>
      </c>
      <c r="T698" s="2" t="s">
        <v>46</v>
      </c>
      <c r="U698" s="2" t="s">
        <v>46</v>
      </c>
      <c r="V698" s="2">
        <v>0</v>
      </c>
      <c r="W698" s="2" t="s">
        <v>38</v>
      </c>
      <c r="X698" s="2">
        <v>9</v>
      </c>
      <c r="Y698" s="2"/>
      <c r="Z698" s="2">
        <v>0</v>
      </c>
      <c r="AA698" s="2" t="s">
        <v>39</v>
      </c>
      <c r="AB698" s="2">
        <v>160</v>
      </c>
      <c r="AC698" s="2">
        <v>0</v>
      </c>
      <c r="AD698" s="2">
        <v>0</v>
      </c>
      <c r="AE698" s="2" t="s">
        <v>47</v>
      </c>
      <c r="AF698" s="3">
        <v>42851</v>
      </c>
    </row>
    <row r="699" spans="1:32" x14ac:dyDescent="0.25">
      <c r="A699" s="2" t="s">
        <v>32</v>
      </c>
      <c r="B699" s="2">
        <v>0</v>
      </c>
      <c r="C699" s="2">
        <v>170</v>
      </c>
      <c r="D699" s="2">
        <v>2017</v>
      </c>
      <c r="E699" s="2" t="s">
        <v>42</v>
      </c>
      <c r="F699" s="2">
        <v>29</v>
      </c>
      <c r="G699" s="2">
        <v>16</v>
      </c>
      <c r="H699" s="2">
        <v>5</v>
      </c>
      <c r="I699" s="2">
        <v>10</v>
      </c>
      <c r="J699" s="2">
        <v>2</v>
      </c>
      <c r="K699" s="2">
        <v>0</v>
      </c>
      <c r="L699" s="2">
        <v>0</v>
      </c>
      <c r="M699" s="2" t="s">
        <v>60</v>
      </c>
      <c r="N699" s="2" t="s">
        <v>70</v>
      </c>
      <c r="O699" s="2" t="s">
        <v>49</v>
      </c>
      <c r="P699" s="2" t="s">
        <v>45</v>
      </c>
      <c r="Q699" s="2">
        <v>0</v>
      </c>
      <c r="R699" s="2">
        <v>0</v>
      </c>
      <c r="S699" s="2">
        <v>0</v>
      </c>
      <c r="T699" s="2" t="s">
        <v>72</v>
      </c>
      <c r="U699" s="2" t="s">
        <v>72</v>
      </c>
      <c r="V699" s="2">
        <v>0</v>
      </c>
      <c r="W699" s="2" t="s">
        <v>38</v>
      </c>
      <c r="X699" s="2">
        <v>6</v>
      </c>
      <c r="Y699" s="2"/>
      <c r="Z699" s="2">
        <v>0</v>
      </c>
      <c r="AA699" s="2" t="s">
        <v>39</v>
      </c>
      <c r="AB699" s="2">
        <v>163.80000000000001</v>
      </c>
      <c r="AC699" s="2">
        <v>0</v>
      </c>
      <c r="AD699" s="2">
        <v>0</v>
      </c>
      <c r="AE699" s="2" t="s">
        <v>40</v>
      </c>
      <c r="AF699" s="3">
        <v>42947</v>
      </c>
    </row>
    <row r="700" spans="1:32" x14ac:dyDescent="0.25">
      <c r="A700" s="2" t="s">
        <v>41</v>
      </c>
      <c r="B700" s="2">
        <v>1</v>
      </c>
      <c r="C700" s="2">
        <v>87</v>
      </c>
      <c r="D700" s="2">
        <v>2017</v>
      </c>
      <c r="E700" s="2" t="s">
        <v>54</v>
      </c>
      <c r="F700" s="2">
        <v>15</v>
      </c>
      <c r="G700" s="2">
        <v>15</v>
      </c>
      <c r="H700" s="2">
        <v>2</v>
      </c>
      <c r="I700" s="2">
        <v>2</v>
      </c>
      <c r="J700" s="2">
        <v>2</v>
      </c>
      <c r="K700" s="2">
        <v>0</v>
      </c>
      <c r="L700" s="2">
        <v>0</v>
      </c>
      <c r="M700" s="2" t="s">
        <v>34</v>
      </c>
      <c r="N700" s="2" t="s">
        <v>43</v>
      </c>
      <c r="O700" s="2" t="s">
        <v>64</v>
      </c>
      <c r="P700" s="2" t="s">
        <v>45</v>
      </c>
      <c r="Q700" s="2">
        <v>0</v>
      </c>
      <c r="R700" s="2">
        <v>0</v>
      </c>
      <c r="S700" s="2">
        <v>0</v>
      </c>
      <c r="T700" s="2" t="s">
        <v>46</v>
      </c>
      <c r="U700" s="2" t="s">
        <v>46</v>
      </c>
      <c r="V700" s="2">
        <v>0</v>
      </c>
      <c r="W700" s="2" t="s">
        <v>68</v>
      </c>
      <c r="X700" s="2">
        <v>1</v>
      </c>
      <c r="Y700" s="2"/>
      <c r="Z700" s="2">
        <v>0</v>
      </c>
      <c r="AA700" s="2" t="s">
        <v>39</v>
      </c>
      <c r="AB700" s="2">
        <v>95</v>
      </c>
      <c r="AC700" s="2">
        <v>0</v>
      </c>
      <c r="AD700" s="2">
        <v>0</v>
      </c>
      <c r="AE700" s="2" t="s">
        <v>47</v>
      </c>
      <c r="AF700" s="3">
        <v>42753</v>
      </c>
    </row>
    <row r="701" spans="1:32" x14ac:dyDescent="0.25">
      <c r="A701" s="2" t="s">
        <v>41</v>
      </c>
      <c r="B701" s="2">
        <v>1</v>
      </c>
      <c r="C701" s="2">
        <v>37</v>
      </c>
      <c r="D701" s="2">
        <v>2017</v>
      </c>
      <c r="E701" s="2" t="s">
        <v>52</v>
      </c>
      <c r="F701" s="2">
        <v>11</v>
      </c>
      <c r="G701" s="2">
        <v>15</v>
      </c>
      <c r="H701" s="2">
        <v>0</v>
      </c>
      <c r="I701" s="2">
        <v>2</v>
      </c>
      <c r="J701" s="2">
        <v>2</v>
      </c>
      <c r="K701" s="2">
        <v>0</v>
      </c>
      <c r="L701" s="2">
        <v>0</v>
      </c>
      <c r="M701" s="2" t="s">
        <v>34</v>
      </c>
      <c r="N701" s="2" t="s">
        <v>43</v>
      </c>
      <c r="O701" s="2" t="s">
        <v>64</v>
      </c>
      <c r="P701" s="2" t="s">
        <v>45</v>
      </c>
      <c r="Q701" s="2">
        <v>0</v>
      </c>
      <c r="R701" s="2">
        <v>0</v>
      </c>
      <c r="S701" s="2">
        <v>0</v>
      </c>
      <c r="T701" s="2" t="s">
        <v>46</v>
      </c>
      <c r="U701" s="2" t="s">
        <v>46</v>
      </c>
      <c r="V701" s="2">
        <v>0</v>
      </c>
      <c r="W701" s="2" t="s">
        <v>68</v>
      </c>
      <c r="X701" s="2">
        <v>378</v>
      </c>
      <c r="Y701" s="2"/>
      <c r="Z701" s="2">
        <v>0</v>
      </c>
      <c r="AA701" s="2" t="s">
        <v>39</v>
      </c>
      <c r="AB701" s="2">
        <v>110</v>
      </c>
      <c r="AC701" s="2">
        <v>0</v>
      </c>
      <c r="AD701" s="2">
        <v>0</v>
      </c>
      <c r="AE701" s="2" t="s">
        <v>47</v>
      </c>
      <c r="AF701" s="3">
        <v>42772</v>
      </c>
    </row>
    <row r="702" spans="1:32" x14ac:dyDescent="0.25">
      <c r="A702" s="2" t="s">
        <v>41</v>
      </c>
      <c r="B702" s="2">
        <v>0</v>
      </c>
      <c r="C702" s="2">
        <v>110</v>
      </c>
      <c r="D702" s="2">
        <v>2017</v>
      </c>
      <c r="E702" s="2" t="s">
        <v>54</v>
      </c>
      <c r="F702" s="2">
        <v>15</v>
      </c>
      <c r="G702" s="2">
        <v>10</v>
      </c>
      <c r="H702" s="2">
        <v>1</v>
      </c>
      <c r="I702" s="2">
        <v>2</v>
      </c>
      <c r="J702" s="2">
        <v>2</v>
      </c>
      <c r="K702" s="2">
        <v>0</v>
      </c>
      <c r="L702" s="2">
        <v>0</v>
      </c>
      <c r="M702" s="2" t="s">
        <v>55</v>
      </c>
      <c r="N702" s="2" t="s">
        <v>95</v>
      </c>
      <c r="O702" s="2" t="s">
        <v>44</v>
      </c>
      <c r="P702" s="2" t="s">
        <v>45</v>
      </c>
      <c r="Q702" s="2">
        <v>0</v>
      </c>
      <c r="R702" s="2">
        <v>0</v>
      </c>
      <c r="S702" s="2">
        <v>0</v>
      </c>
      <c r="T702" s="2" t="s">
        <v>46</v>
      </c>
      <c r="U702" s="2" t="s">
        <v>46</v>
      </c>
      <c r="V702" s="2">
        <v>0</v>
      </c>
      <c r="W702" s="2" t="s">
        <v>38</v>
      </c>
      <c r="X702" s="2">
        <v>9</v>
      </c>
      <c r="Y702" s="2"/>
      <c r="Z702" s="2">
        <v>0</v>
      </c>
      <c r="AA702" s="2" t="s">
        <v>39</v>
      </c>
      <c r="AB702" s="2">
        <v>99</v>
      </c>
      <c r="AC702" s="2">
        <v>0</v>
      </c>
      <c r="AD702" s="2">
        <v>1</v>
      </c>
      <c r="AE702" s="2" t="s">
        <v>40</v>
      </c>
      <c r="AF702" s="3">
        <v>42838</v>
      </c>
    </row>
    <row r="703" spans="1:32" x14ac:dyDescent="0.25">
      <c r="A703" s="2" t="s">
        <v>32</v>
      </c>
      <c r="B703" s="2">
        <v>0</v>
      </c>
      <c r="C703" s="2">
        <v>143</v>
      </c>
      <c r="D703" s="2">
        <v>2017</v>
      </c>
      <c r="E703" s="2" t="s">
        <v>52</v>
      </c>
      <c r="F703" s="2">
        <v>10</v>
      </c>
      <c r="G703" s="2">
        <v>5</v>
      </c>
      <c r="H703" s="2">
        <v>2</v>
      </c>
      <c r="I703" s="2">
        <v>5</v>
      </c>
      <c r="J703" s="2">
        <v>2</v>
      </c>
      <c r="K703" s="2">
        <v>0</v>
      </c>
      <c r="L703" s="2">
        <v>0</v>
      </c>
      <c r="M703" s="2" t="s">
        <v>60</v>
      </c>
      <c r="N703" s="2" t="s">
        <v>56</v>
      </c>
      <c r="O703" s="2" t="s">
        <v>49</v>
      </c>
      <c r="P703" s="2" t="s">
        <v>45</v>
      </c>
      <c r="Q703" s="2">
        <v>0</v>
      </c>
      <c r="R703" s="2">
        <v>0</v>
      </c>
      <c r="S703" s="2">
        <v>0</v>
      </c>
      <c r="T703" s="2" t="s">
        <v>57</v>
      </c>
      <c r="U703" s="2" t="s">
        <v>72</v>
      </c>
      <c r="V703" s="2">
        <v>0</v>
      </c>
      <c r="W703" s="2" t="s">
        <v>38</v>
      </c>
      <c r="X703" s="2">
        <v>177</v>
      </c>
      <c r="Y703" s="2"/>
      <c r="Z703" s="2">
        <v>0</v>
      </c>
      <c r="AA703" s="2" t="s">
        <v>39</v>
      </c>
      <c r="AB703" s="2">
        <v>52.4</v>
      </c>
      <c r="AC703" s="2">
        <v>0</v>
      </c>
      <c r="AD703" s="2">
        <v>0</v>
      </c>
      <c r="AE703" s="2" t="s">
        <v>40</v>
      </c>
      <c r="AF703" s="3">
        <v>42806</v>
      </c>
    </row>
    <row r="704" spans="1:32" x14ac:dyDescent="0.25">
      <c r="A704" s="2" t="s">
        <v>41</v>
      </c>
      <c r="B704" s="2">
        <v>0</v>
      </c>
      <c r="C704" s="2">
        <v>100</v>
      </c>
      <c r="D704" s="2">
        <v>2017</v>
      </c>
      <c r="E704" s="2" t="s">
        <v>67</v>
      </c>
      <c r="F704" s="2">
        <v>31</v>
      </c>
      <c r="G704" s="2">
        <v>1</v>
      </c>
      <c r="H704" s="2">
        <v>2</v>
      </c>
      <c r="I704" s="2">
        <v>5</v>
      </c>
      <c r="J704" s="2">
        <v>2</v>
      </c>
      <c r="K704" s="2">
        <v>0</v>
      </c>
      <c r="L704" s="2">
        <v>0</v>
      </c>
      <c r="M704" s="2" t="s">
        <v>55</v>
      </c>
      <c r="N704" s="2" t="s">
        <v>98</v>
      </c>
      <c r="O704" s="2" t="s">
        <v>44</v>
      </c>
      <c r="P704" s="2" t="s">
        <v>45</v>
      </c>
      <c r="Q704" s="2">
        <v>0</v>
      </c>
      <c r="R704" s="2">
        <v>0</v>
      </c>
      <c r="S704" s="2">
        <v>0</v>
      </c>
      <c r="T704" s="2" t="s">
        <v>46</v>
      </c>
      <c r="U704" s="2" t="s">
        <v>46</v>
      </c>
      <c r="V704" s="2">
        <v>0</v>
      </c>
      <c r="W704" s="2" t="s">
        <v>38</v>
      </c>
      <c r="X704" s="2">
        <v>9</v>
      </c>
      <c r="Y704" s="2"/>
      <c r="Z704" s="2">
        <v>0</v>
      </c>
      <c r="AA704" s="2" t="s">
        <v>51</v>
      </c>
      <c r="AB704" s="2">
        <v>125</v>
      </c>
      <c r="AC704" s="2">
        <v>0</v>
      </c>
      <c r="AD704" s="2">
        <v>0</v>
      </c>
      <c r="AE704" s="2" t="s">
        <v>40</v>
      </c>
      <c r="AF704" s="3">
        <v>42955</v>
      </c>
    </row>
    <row r="705" spans="1:32" x14ac:dyDescent="0.25">
      <c r="A705" s="2" t="s">
        <v>41</v>
      </c>
      <c r="B705" s="2">
        <v>1</v>
      </c>
      <c r="C705" s="2">
        <v>215</v>
      </c>
      <c r="D705" s="2">
        <v>2017</v>
      </c>
      <c r="E705" s="2" t="s">
        <v>54</v>
      </c>
      <c r="F705" s="2">
        <v>15</v>
      </c>
      <c r="G705" s="2">
        <v>14</v>
      </c>
      <c r="H705" s="2">
        <v>2</v>
      </c>
      <c r="I705" s="2">
        <v>2</v>
      </c>
      <c r="J705" s="2">
        <v>2</v>
      </c>
      <c r="K705" s="2">
        <v>0</v>
      </c>
      <c r="L705" s="2">
        <v>0</v>
      </c>
      <c r="M705" s="2" t="s">
        <v>55</v>
      </c>
      <c r="N705" s="2" t="s">
        <v>99</v>
      </c>
      <c r="O705" s="2" t="s">
        <v>44</v>
      </c>
      <c r="P705" s="2" t="s">
        <v>45</v>
      </c>
      <c r="Q705" s="2">
        <v>0</v>
      </c>
      <c r="R705" s="2">
        <v>0</v>
      </c>
      <c r="S705" s="2">
        <v>0</v>
      </c>
      <c r="T705" s="2" t="s">
        <v>46</v>
      </c>
      <c r="U705" s="2" t="s">
        <v>46</v>
      </c>
      <c r="V705" s="2">
        <v>0</v>
      </c>
      <c r="W705" s="2" t="s">
        <v>38</v>
      </c>
      <c r="X705" s="2">
        <v>9</v>
      </c>
      <c r="Y705" s="2"/>
      <c r="Z705" s="2">
        <v>0</v>
      </c>
      <c r="AA705" s="2" t="s">
        <v>39</v>
      </c>
      <c r="AB705" s="2">
        <v>110</v>
      </c>
      <c r="AC705" s="2">
        <v>0</v>
      </c>
      <c r="AD705" s="2">
        <v>1</v>
      </c>
      <c r="AE705" s="2" t="s">
        <v>47</v>
      </c>
      <c r="AF705" s="3">
        <v>42674</v>
      </c>
    </row>
    <row r="706" spans="1:32" x14ac:dyDescent="0.25">
      <c r="A706" s="2" t="s">
        <v>41</v>
      </c>
      <c r="B706" s="2">
        <v>0</v>
      </c>
      <c r="C706" s="2">
        <v>158</v>
      </c>
      <c r="D706" s="2">
        <v>2017</v>
      </c>
      <c r="E706" s="2" t="s">
        <v>52</v>
      </c>
      <c r="F706" s="2">
        <v>13</v>
      </c>
      <c r="G706" s="2">
        <v>27</v>
      </c>
      <c r="H706" s="2">
        <v>1</v>
      </c>
      <c r="I706" s="2">
        <v>1</v>
      </c>
      <c r="J706" s="2">
        <v>2</v>
      </c>
      <c r="K706" s="2">
        <v>0</v>
      </c>
      <c r="L706" s="2">
        <v>0</v>
      </c>
      <c r="M706" s="2" t="s">
        <v>34</v>
      </c>
      <c r="N706" s="2" t="s">
        <v>100</v>
      </c>
      <c r="O706" s="2" t="s">
        <v>64</v>
      </c>
      <c r="P706" s="2" t="s">
        <v>45</v>
      </c>
      <c r="Q706" s="2">
        <v>0</v>
      </c>
      <c r="R706" s="2">
        <v>0</v>
      </c>
      <c r="S706" s="2">
        <v>0</v>
      </c>
      <c r="T706" s="2" t="s">
        <v>46</v>
      </c>
      <c r="U706" s="2" t="s">
        <v>57</v>
      </c>
      <c r="V706" s="2">
        <v>0</v>
      </c>
      <c r="W706" s="2" t="s">
        <v>38</v>
      </c>
      <c r="X706" s="2">
        <v>37</v>
      </c>
      <c r="Y706" s="2"/>
      <c r="Z706" s="2">
        <v>0</v>
      </c>
      <c r="AA706" s="2" t="s">
        <v>51</v>
      </c>
      <c r="AB706" s="2">
        <v>95</v>
      </c>
      <c r="AC706" s="2">
        <v>0</v>
      </c>
      <c r="AD706" s="2">
        <v>1</v>
      </c>
      <c r="AE706" s="2" t="s">
        <v>40</v>
      </c>
      <c r="AF706" s="3">
        <v>42823</v>
      </c>
    </row>
    <row r="707" spans="1:32" x14ac:dyDescent="0.25">
      <c r="A707" s="2" t="s">
        <v>32</v>
      </c>
      <c r="B707" s="2">
        <v>0</v>
      </c>
      <c r="C707" s="2">
        <v>0</v>
      </c>
      <c r="D707" s="2">
        <v>2017</v>
      </c>
      <c r="E707" s="2" t="s">
        <v>66</v>
      </c>
      <c r="F707" s="2">
        <v>7</v>
      </c>
      <c r="G707" s="2">
        <v>17</v>
      </c>
      <c r="H707" s="2">
        <v>1</v>
      </c>
      <c r="I707" s="2">
        <v>2</v>
      </c>
      <c r="J707" s="2">
        <v>2</v>
      </c>
      <c r="K707" s="2">
        <v>0</v>
      </c>
      <c r="L707" s="2">
        <v>0</v>
      </c>
      <c r="M707" s="2" t="s">
        <v>34</v>
      </c>
      <c r="N707" s="2" t="s">
        <v>56</v>
      </c>
      <c r="O707" s="2" t="s">
        <v>36</v>
      </c>
      <c r="P707" s="2" t="s">
        <v>36</v>
      </c>
      <c r="Q707" s="2">
        <v>0</v>
      </c>
      <c r="R707" s="2">
        <v>0</v>
      </c>
      <c r="S707" s="2">
        <v>0</v>
      </c>
      <c r="T707" s="2" t="s">
        <v>72</v>
      </c>
      <c r="U707" s="2" t="s">
        <v>72</v>
      </c>
      <c r="V707" s="2">
        <v>0</v>
      </c>
      <c r="W707" s="2" t="s">
        <v>38</v>
      </c>
      <c r="X707" s="2"/>
      <c r="Y707" s="2"/>
      <c r="Z707" s="2">
        <v>0</v>
      </c>
      <c r="AA707" s="2" t="s">
        <v>39</v>
      </c>
      <c r="AB707" s="2">
        <v>76</v>
      </c>
      <c r="AC707" s="2">
        <v>0</v>
      </c>
      <c r="AD707" s="2">
        <v>0</v>
      </c>
      <c r="AE707" s="2" t="s">
        <v>40</v>
      </c>
      <c r="AF707" s="3">
        <v>42786</v>
      </c>
    </row>
    <row r="708" spans="1:32" x14ac:dyDescent="0.25">
      <c r="A708" s="2" t="s">
        <v>41</v>
      </c>
      <c r="B708" s="2">
        <v>0</v>
      </c>
      <c r="C708" s="2">
        <v>133</v>
      </c>
      <c r="D708" s="2">
        <v>2017</v>
      </c>
      <c r="E708" s="2" t="s">
        <v>42</v>
      </c>
      <c r="F708" s="2">
        <v>27</v>
      </c>
      <c r="G708" s="2">
        <v>7</v>
      </c>
      <c r="H708" s="2">
        <v>1</v>
      </c>
      <c r="I708" s="2">
        <v>2</v>
      </c>
      <c r="J708" s="2">
        <v>2</v>
      </c>
      <c r="K708" s="2">
        <v>0</v>
      </c>
      <c r="L708" s="2">
        <v>0</v>
      </c>
      <c r="M708" s="2" t="s">
        <v>34</v>
      </c>
      <c r="N708" s="2" t="s">
        <v>56</v>
      </c>
      <c r="O708" s="2" t="s">
        <v>44</v>
      </c>
      <c r="P708" s="2" t="s">
        <v>45</v>
      </c>
      <c r="Q708" s="2">
        <v>0</v>
      </c>
      <c r="R708" s="2">
        <v>0</v>
      </c>
      <c r="S708" s="2">
        <v>0</v>
      </c>
      <c r="T708" s="2" t="s">
        <v>46</v>
      </c>
      <c r="U708" s="2" t="s">
        <v>46</v>
      </c>
      <c r="V708" s="2">
        <v>0</v>
      </c>
      <c r="W708" s="2" t="s">
        <v>38</v>
      </c>
      <c r="X708" s="2">
        <v>9</v>
      </c>
      <c r="Y708" s="2"/>
      <c r="Z708" s="2">
        <v>0</v>
      </c>
      <c r="AA708" s="2" t="s">
        <v>39</v>
      </c>
      <c r="AB708" s="2">
        <v>107.1</v>
      </c>
      <c r="AC708" s="2">
        <v>0</v>
      </c>
      <c r="AD708" s="2">
        <v>2</v>
      </c>
      <c r="AE708" s="2" t="s">
        <v>40</v>
      </c>
      <c r="AF708" s="3">
        <v>42926</v>
      </c>
    </row>
    <row r="709" spans="1:32" x14ac:dyDescent="0.25">
      <c r="A709" s="2" t="s">
        <v>41</v>
      </c>
      <c r="B709" s="2">
        <v>1</v>
      </c>
      <c r="C709" s="2">
        <v>80</v>
      </c>
      <c r="D709" s="2">
        <v>2017</v>
      </c>
      <c r="E709" s="2" t="s">
        <v>74</v>
      </c>
      <c r="F709" s="2">
        <v>3</v>
      </c>
      <c r="G709" s="2">
        <v>20</v>
      </c>
      <c r="H709" s="2">
        <v>0</v>
      </c>
      <c r="I709" s="2">
        <v>2</v>
      </c>
      <c r="J709" s="2">
        <v>2</v>
      </c>
      <c r="K709" s="2">
        <v>0</v>
      </c>
      <c r="L709" s="2">
        <v>0</v>
      </c>
      <c r="M709" s="2" t="s">
        <v>34</v>
      </c>
      <c r="N709" s="2" t="s">
        <v>63</v>
      </c>
      <c r="O709" s="2" t="s">
        <v>44</v>
      </c>
      <c r="P709" s="2" t="s">
        <v>45</v>
      </c>
      <c r="Q709" s="2">
        <v>0</v>
      </c>
      <c r="R709" s="2">
        <v>0</v>
      </c>
      <c r="S709" s="2">
        <v>0</v>
      </c>
      <c r="T709" s="2" t="s">
        <v>46</v>
      </c>
      <c r="U709" s="2" t="s">
        <v>46</v>
      </c>
      <c r="V709" s="2">
        <v>0</v>
      </c>
      <c r="W709" s="2" t="s">
        <v>38</v>
      </c>
      <c r="X709" s="2">
        <v>9</v>
      </c>
      <c r="Y709" s="2"/>
      <c r="Z709" s="2">
        <v>0</v>
      </c>
      <c r="AA709" s="2" t="s">
        <v>39</v>
      </c>
      <c r="AB709" s="2">
        <v>93.6</v>
      </c>
      <c r="AC709" s="2">
        <v>0</v>
      </c>
      <c r="AD709" s="2">
        <v>0</v>
      </c>
      <c r="AE709" s="2" t="s">
        <v>47</v>
      </c>
      <c r="AF709" s="3">
        <v>42739</v>
      </c>
    </row>
    <row r="710" spans="1:32" x14ac:dyDescent="0.25">
      <c r="A710" s="2" t="s">
        <v>32</v>
      </c>
      <c r="B710" s="2">
        <v>0</v>
      </c>
      <c r="C710" s="2">
        <v>10</v>
      </c>
      <c r="D710" s="2">
        <v>2017</v>
      </c>
      <c r="E710" s="2" t="s">
        <v>66</v>
      </c>
      <c r="F710" s="2">
        <v>7</v>
      </c>
      <c r="G710" s="2">
        <v>12</v>
      </c>
      <c r="H710" s="2">
        <v>1</v>
      </c>
      <c r="I710" s="2">
        <v>0</v>
      </c>
      <c r="J710" s="2">
        <v>2</v>
      </c>
      <c r="K710" s="2">
        <v>0</v>
      </c>
      <c r="L710" s="2">
        <v>0</v>
      </c>
      <c r="M710" s="2" t="s">
        <v>34</v>
      </c>
      <c r="N710" s="2" t="s">
        <v>43</v>
      </c>
      <c r="O710" s="2" t="s">
        <v>44</v>
      </c>
      <c r="P710" s="2" t="s">
        <v>45</v>
      </c>
      <c r="Q710" s="2">
        <v>0</v>
      </c>
      <c r="R710" s="2">
        <v>0</v>
      </c>
      <c r="S710" s="2">
        <v>0</v>
      </c>
      <c r="T710" s="2" t="s">
        <v>46</v>
      </c>
      <c r="U710" s="2" t="s">
        <v>46</v>
      </c>
      <c r="V710" s="2">
        <v>0</v>
      </c>
      <c r="W710" s="2" t="s">
        <v>38</v>
      </c>
      <c r="X710" s="2">
        <v>240</v>
      </c>
      <c r="Y710" s="2"/>
      <c r="Z710" s="2">
        <v>0</v>
      </c>
      <c r="AA710" s="2" t="s">
        <v>39</v>
      </c>
      <c r="AB710" s="2">
        <v>48</v>
      </c>
      <c r="AC710" s="2">
        <v>0</v>
      </c>
      <c r="AD710" s="2">
        <v>1</v>
      </c>
      <c r="AE710" s="2" t="s">
        <v>40</v>
      </c>
      <c r="AF710" s="3">
        <v>42779</v>
      </c>
    </row>
    <row r="711" spans="1:32" x14ac:dyDescent="0.25">
      <c r="A711" s="2" t="s">
        <v>41</v>
      </c>
      <c r="B711" s="2">
        <v>1</v>
      </c>
      <c r="C711" s="2">
        <v>185</v>
      </c>
      <c r="D711" s="2">
        <v>2017</v>
      </c>
      <c r="E711" s="2" t="s">
        <v>69</v>
      </c>
      <c r="F711" s="2">
        <v>19</v>
      </c>
      <c r="G711" s="2">
        <v>12</v>
      </c>
      <c r="H711" s="2">
        <v>2</v>
      </c>
      <c r="I711" s="2">
        <v>3</v>
      </c>
      <c r="J711" s="2">
        <v>2</v>
      </c>
      <c r="K711" s="2">
        <v>0</v>
      </c>
      <c r="L711" s="2">
        <v>0</v>
      </c>
      <c r="M711" s="2" t="s">
        <v>55</v>
      </c>
      <c r="N711" s="2" t="s">
        <v>82</v>
      </c>
      <c r="O711" s="2" t="s">
        <v>44</v>
      </c>
      <c r="P711" s="2" t="s">
        <v>45</v>
      </c>
      <c r="Q711" s="2">
        <v>0</v>
      </c>
      <c r="R711" s="2">
        <v>0</v>
      </c>
      <c r="S711" s="2">
        <v>0</v>
      </c>
      <c r="T711" s="2" t="s">
        <v>46</v>
      </c>
      <c r="U711" s="2" t="s">
        <v>46</v>
      </c>
      <c r="V711" s="2">
        <v>0</v>
      </c>
      <c r="W711" s="2" t="s">
        <v>38</v>
      </c>
      <c r="X711" s="2">
        <v>9</v>
      </c>
      <c r="Y711" s="2"/>
      <c r="Z711" s="2">
        <v>0</v>
      </c>
      <c r="AA711" s="2" t="s">
        <v>39</v>
      </c>
      <c r="AB711" s="2">
        <v>114.3</v>
      </c>
      <c r="AC711" s="2">
        <v>0</v>
      </c>
      <c r="AD711" s="2">
        <v>0</v>
      </c>
      <c r="AE711" s="2" t="s">
        <v>47</v>
      </c>
      <c r="AF711" s="3">
        <v>42682</v>
      </c>
    </row>
    <row r="712" spans="1:32" x14ac:dyDescent="0.25">
      <c r="A712" s="2" t="s">
        <v>41</v>
      </c>
      <c r="B712" s="2">
        <v>1</v>
      </c>
      <c r="C712" s="2">
        <v>229</v>
      </c>
      <c r="D712" s="2">
        <v>2017</v>
      </c>
      <c r="E712" s="2" t="s">
        <v>42</v>
      </c>
      <c r="F712" s="2">
        <v>28</v>
      </c>
      <c r="G712" s="2">
        <v>12</v>
      </c>
      <c r="H712" s="2">
        <v>1</v>
      </c>
      <c r="I712" s="2">
        <v>4</v>
      </c>
      <c r="J712" s="2">
        <v>2</v>
      </c>
      <c r="K712" s="2">
        <v>0</v>
      </c>
      <c r="L712" s="2">
        <v>0</v>
      </c>
      <c r="M712" s="2" t="s">
        <v>34</v>
      </c>
      <c r="N712" s="2" t="s">
        <v>43</v>
      </c>
      <c r="O712" s="2" t="s">
        <v>64</v>
      </c>
      <c r="P712" s="2" t="s">
        <v>45</v>
      </c>
      <c r="Q712" s="2">
        <v>0</v>
      </c>
      <c r="R712" s="2">
        <v>0</v>
      </c>
      <c r="S712" s="2">
        <v>0</v>
      </c>
      <c r="T712" s="2" t="s">
        <v>46</v>
      </c>
      <c r="U712" s="2" t="s">
        <v>46</v>
      </c>
      <c r="V712" s="2">
        <v>0</v>
      </c>
      <c r="W712" s="2" t="s">
        <v>68</v>
      </c>
      <c r="X712" s="2"/>
      <c r="Y712" s="2"/>
      <c r="Z712" s="2">
        <v>0</v>
      </c>
      <c r="AA712" s="2" t="s">
        <v>39</v>
      </c>
      <c r="AB712" s="2">
        <v>110</v>
      </c>
      <c r="AC712" s="2">
        <v>0</v>
      </c>
      <c r="AD712" s="2">
        <v>0</v>
      </c>
      <c r="AE712" s="2" t="s">
        <v>47</v>
      </c>
      <c r="AF712" s="3">
        <v>42699</v>
      </c>
    </row>
    <row r="713" spans="1:32" x14ac:dyDescent="0.25">
      <c r="A713" s="2" t="s">
        <v>32</v>
      </c>
      <c r="B713" s="2">
        <v>0</v>
      </c>
      <c r="C713" s="2">
        <v>149</v>
      </c>
      <c r="D713" s="2">
        <v>2017</v>
      </c>
      <c r="E713" s="2" t="s">
        <v>42</v>
      </c>
      <c r="F713" s="2">
        <v>30</v>
      </c>
      <c r="G713" s="2">
        <v>26</v>
      </c>
      <c r="H713" s="2">
        <v>0</v>
      </c>
      <c r="I713" s="2">
        <v>4</v>
      </c>
      <c r="J713" s="2">
        <v>2</v>
      </c>
      <c r="K713" s="2">
        <v>2</v>
      </c>
      <c r="L713" s="2">
        <v>0</v>
      </c>
      <c r="M713" s="2" t="s">
        <v>34</v>
      </c>
      <c r="N713" s="2" t="s">
        <v>103</v>
      </c>
      <c r="O713" s="2" t="s">
        <v>36</v>
      </c>
      <c r="P713" s="2" t="s">
        <v>36</v>
      </c>
      <c r="Q713" s="2">
        <v>0</v>
      </c>
      <c r="R713" s="2">
        <v>0</v>
      </c>
      <c r="S713" s="2">
        <v>0</v>
      </c>
      <c r="T713" s="2" t="s">
        <v>104</v>
      </c>
      <c r="U713" s="2" t="s">
        <v>104</v>
      </c>
      <c r="V713" s="2">
        <v>0</v>
      </c>
      <c r="W713" s="2" t="s">
        <v>38</v>
      </c>
      <c r="X713" s="2">
        <v>250</v>
      </c>
      <c r="Y713" s="2"/>
      <c r="Z713" s="2">
        <v>0</v>
      </c>
      <c r="AA713" s="2" t="s">
        <v>39</v>
      </c>
      <c r="AB713" s="2">
        <v>211.25</v>
      </c>
      <c r="AC713" s="2">
        <v>0</v>
      </c>
      <c r="AD713" s="2">
        <v>0</v>
      </c>
      <c r="AE713" s="2" t="s">
        <v>40</v>
      </c>
      <c r="AF713" s="3">
        <v>42946</v>
      </c>
    </row>
    <row r="714" spans="1:32" x14ac:dyDescent="0.25">
      <c r="A714" s="2" t="s">
        <v>41</v>
      </c>
      <c r="B714" s="2">
        <v>0</v>
      </c>
      <c r="C714" s="2">
        <v>91</v>
      </c>
      <c r="D714" s="2">
        <v>2017</v>
      </c>
      <c r="E714" s="2" t="s">
        <v>54</v>
      </c>
      <c r="F714" s="2">
        <v>14</v>
      </c>
      <c r="G714" s="2">
        <v>2</v>
      </c>
      <c r="H714" s="2">
        <v>2</v>
      </c>
      <c r="I714" s="2">
        <v>2</v>
      </c>
      <c r="J714" s="2">
        <v>2</v>
      </c>
      <c r="K714" s="2">
        <v>0</v>
      </c>
      <c r="L714" s="2">
        <v>0</v>
      </c>
      <c r="M714" s="2" t="s">
        <v>34</v>
      </c>
      <c r="N714" s="2" t="s">
        <v>56</v>
      </c>
      <c r="O714" s="2" t="s">
        <v>44</v>
      </c>
      <c r="P714" s="2" t="s">
        <v>45</v>
      </c>
      <c r="Q714" s="2">
        <v>0</v>
      </c>
      <c r="R714" s="2">
        <v>0</v>
      </c>
      <c r="S714" s="2">
        <v>0</v>
      </c>
      <c r="T714" s="2" t="s">
        <v>46</v>
      </c>
      <c r="U714" s="2" t="s">
        <v>46</v>
      </c>
      <c r="V714" s="2">
        <v>2</v>
      </c>
      <c r="W714" s="2" t="s">
        <v>38</v>
      </c>
      <c r="X714" s="2">
        <v>9</v>
      </c>
      <c r="Y714" s="2"/>
      <c r="Z714" s="2">
        <v>0</v>
      </c>
      <c r="AA714" s="2" t="s">
        <v>39</v>
      </c>
      <c r="AB714" s="2">
        <v>117</v>
      </c>
      <c r="AC714" s="2">
        <v>0</v>
      </c>
      <c r="AD714" s="2">
        <v>4</v>
      </c>
      <c r="AE714" s="2" t="s">
        <v>40</v>
      </c>
      <c r="AF714" s="3">
        <v>42831</v>
      </c>
    </row>
    <row r="715" spans="1:32" x14ac:dyDescent="0.25">
      <c r="A715" s="2" t="s">
        <v>41</v>
      </c>
      <c r="B715" s="2">
        <v>0</v>
      </c>
      <c r="C715" s="2">
        <v>71</v>
      </c>
      <c r="D715" s="2">
        <v>2017</v>
      </c>
      <c r="E715" s="2" t="s">
        <v>42</v>
      </c>
      <c r="F715" s="2">
        <v>27</v>
      </c>
      <c r="G715" s="2">
        <v>7</v>
      </c>
      <c r="H715" s="2">
        <v>1</v>
      </c>
      <c r="I715" s="2">
        <v>2</v>
      </c>
      <c r="J715" s="2">
        <v>2</v>
      </c>
      <c r="K715" s="2">
        <v>0</v>
      </c>
      <c r="L715" s="2">
        <v>0</v>
      </c>
      <c r="M715" s="2" t="s">
        <v>34</v>
      </c>
      <c r="N715" s="2" t="s">
        <v>98</v>
      </c>
      <c r="O715" s="2" t="s">
        <v>44</v>
      </c>
      <c r="P715" s="2" t="s">
        <v>45</v>
      </c>
      <c r="Q715" s="2">
        <v>0</v>
      </c>
      <c r="R715" s="2">
        <v>0</v>
      </c>
      <c r="S715" s="2">
        <v>0</v>
      </c>
      <c r="T715" s="2" t="s">
        <v>57</v>
      </c>
      <c r="U715" s="2" t="s">
        <v>57</v>
      </c>
      <c r="V715" s="2">
        <v>0</v>
      </c>
      <c r="W715" s="2" t="s">
        <v>38</v>
      </c>
      <c r="X715" s="2">
        <v>9</v>
      </c>
      <c r="Y715" s="2"/>
      <c r="Z715" s="2">
        <v>0</v>
      </c>
      <c r="AA715" s="2" t="s">
        <v>39</v>
      </c>
      <c r="AB715" s="2">
        <v>150</v>
      </c>
      <c r="AC715" s="2">
        <v>0</v>
      </c>
      <c r="AD715" s="2">
        <v>1</v>
      </c>
      <c r="AE715" s="2" t="s">
        <v>40</v>
      </c>
      <c r="AF715" s="3">
        <v>42926</v>
      </c>
    </row>
    <row r="716" spans="1:32" x14ac:dyDescent="0.25">
      <c r="A716" s="2" t="s">
        <v>32</v>
      </c>
      <c r="B716" s="2">
        <v>0</v>
      </c>
      <c r="C716" s="2">
        <v>7</v>
      </c>
      <c r="D716" s="2">
        <v>2017</v>
      </c>
      <c r="E716" s="2" t="s">
        <v>52</v>
      </c>
      <c r="F716" s="2">
        <v>9</v>
      </c>
      <c r="G716" s="2">
        <v>2</v>
      </c>
      <c r="H716" s="2">
        <v>1</v>
      </c>
      <c r="I716" s="2">
        <v>3</v>
      </c>
      <c r="J716" s="2">
        <v>1</v>
      </c>
      <c r="K716" s="2">
        <v>0</v>
      </c>
      <c r="L716" s="2">
        <v>0</v>
      </c>
      <c r="M716" s="2" t="s">
        <v>34</v>
      </c>
      <c r="N716" s="2" t="s">
        <v>35</v>
      </c>
      <c r="O716" s="2" t="s">
        <v>64</v>
      </c>
      <c r="P716" s="2" t="s">
        <v>76</v>
      </c>
      <c r="Q716" s="2">
        <v>0</v>
      </c>
      <c r="R716" s="2">
        <v>0</v>
      </c>
      <c r="S716" s="2">
        <v>0</v>
      </c>
      <c r="T716" s="2" t="s">
        <v>46</v>
      </c>
      <c r="U716" s="2" t="s">
        <v>46</v>
      </c>
      <c r="V716" s="2">
        <v>1</v>
      </c>
      <c r="W716" s="2" t="s">
        <v>38</v>
      </c>
      <c r="X716" s="2"/>
      <c r="Y716" s="2">
        <v>223</v>
      </c>
      <c r="Z716" s="2">
        <v>0</v>
      </c>
      <c r="AA716" s="2" t="s">
        <v>51</v>
      </c>
      <c r="AB716" s="2">
        <v>29</v>
      </c>
      <c r="AC716" s="2">
        <v>0</v>
      </c>
      <c r="AD716" s="2">
        <v>0</v>
      </c>
      <c r="AE716" s="2" t="s">
        <v>40</v>
      </c>
      <c r="AF716" s="3">
        <v>42800</v>
      </c>
    </row>
    <row r="717" spans="1:32" x14ac:dyDescent="0.25">
      <c r="A717" s="2" t="s">
        <v>41</v>
      </c>
      <c r="B717" s="2">
        <v>1</v>
      </c>
      <c r="C717" s="2">
        <v>169</v>
      </c>
      <c r="D717" s="2">
        <v>2017</v>
      </c>
      <c r="E717" s="2" t="s">
        <v>83</v>
      </c>
      <c r="F717" s="2">
        <v>23</v>
      </c>
      <c r="G717" s="2">
        <v>8</v>
      </c>
      <c r="H717" s="2">
        <v>0</v>
      </c>
      <c r="I717" s="2">
        <v>3</v>
      </c>
      <c r="J717" s="2">
        <v>2</v>
      </c>
      <c r="K717" s="2">
        <v>0</v>
      </c>
      <c r="L717" s="2">
        <v>0</v>
      </c>
      <c r="M717" s="2" t="s">
        <v>34</v>
      </c>
      <c r="N717" s="2" t="s">
        <v>43</v>
      </c>
      <c r="O717" s="2" t="s">
        <v>49</v>
      </c>
      <c r="P717" s="2" t="s">
        <v>45</v>
      </c>
      <c r="Q717" s="2">
        <v>0</v>
      </c>
      <c r="R717" s="2">
        <v>0</v>
      </c>
      <c r="S717" s="2">
        <v>0</v>
      </c>
      <c r="T717" s="2" t="s">
        <v>46</v>
      </c>
      <c r="U717" s="2" t="s">
        <v>46</v>
      </c>
      <c r="V717" s="2">
        <v>0</v>
      </c>
      <c r="W717" s="2" t="s">
        <v>68</v>
      </c>
      <c r="X717" s="2">
        <v>19</v>
      </c>
      <c r="Y717" s="2"/>
      <c r="Z717" s="2">
        <v>0</v>
      </c>
      <c r="AA717" s="2" t="s">
        <v>39</v>
      </c>
      <c r="AB717" s="2">
        <v>170</v>
      </c>
      <c r="AC717" s="2">
        <v>0</v>
      </c>
      <c r="AD717" s="2">
        <v>0</v>
      </c>
      <c r="AE717" s="2" t="s">
        <v>47</v>
      </c>
      <c r="AF717" s="3">
        <v>42725</v>
      </c>
    </row>
    <row r="718" spans="1:32" x14ac:dyDescent="0.25">
      <c r="A718" s="2" t="s">
        <v>41</v>
      </c>
      <c r="B718" s="2">
        <v>0</v>
      </c>
      <c r="C718" s="2">
        <v>0</v>
      </c>
      <c r="D718" s="2">
        <v>2017</v>
      </c>
      <c r="E718" s="2" t="s">
        <v>42</v>
      </c>
      <c r="F718" s="2">
        <v>27</v>
      </c>
      <c r="G718" s="2">
        <v>2</v>
      </c>
      <c r="H718" s="2">
        <v>1</v>
      </c>
      <c r="I718" s="2">
        <v>0</v>
      </c>
      <c r="J718" s="2">
        <v>2</v>
      </c>
      <c r="K718" s="2">
        <v>0</v>
      </c>
      <c r="L718" s="2">
        <v>0</v>
      </c>
      <c r="M718" s="2" t="s">
        <v>55</v>
      </c>
      <c r="N718" s="2" t="s">
        <v>43</v>
      </c>
      <c r="O718" s="2" t="s">
        <v>36</v>
      </c>
      <c r="P718" s="2" t="s">
        <v>36</v>
      </c>
      <c r="Q718" s="2">
        <v>0</v>
      </c>
      <c r="R718" s="2">
        <v>0</v>
      </c>
      <c r="S718" s="2">
        <v>0</v>
      </c>
      <c r="T718" s="2" t="s">
        <v>86</v>
      </c>
      <c r="U718" s="2" t="s">
        <v>86</v>
      </c>
      <c r="V718" s="2">
        <v>1</v>
      </c>
      <c r="W718" s="2" t="s">
        <v>38</v>
      </c>
      <c r="X718" s="2"/>
      <c r="Y718" s="2"/>
      <c r="Z718" s="2">
        <v>0</v>
      </c>
      <c r="AA718" s="2" t="s">
        <v>39</v>
      </c>
      <c r="AB718" s="2">
        <v>98</v>
      </c>
      <c r="AC718" s="2">
        <v>0</v>
      </c>
      <c r="AD718" s="2">
        <v>0</v>
      </c>
      <c r="AE718" s="2" t="s">
        <v>40</v>
      </c>
      <c r="AF718" s="3">
        <v>42919</v>
      </c>
    </row>
    <row r="719" spans="1:32" x14ac:dyDescent="0.25">
      <c r="A719" s="2" t="s">
        <v>41</v>
      </c>
      <c r="B719" s="2">
        <v>0</v>
      </c>
      <c r="C719" s="2">
        <v>73</v>
      </c>
      <c r="D719" s="2">
        <v>2017</v>
      </c>
      <c r="E719" s="2" t="s">
        <v>42</v>
      </c>
      <c r="F719" s="2">
        <v>30</v>
      </c>
      <c r="G719" s="2">
        <v>24</v>
      </c>
      <c r="H719" s="2">
        <v>1</v>
      </c>
      <c r="I719" s="2">
        <v>3</v>
      </c>
      <c r="J719" s="2">
        <v>2</v>
      </c>
      <c r="K719" s="2">
        <v>0</v>
      </c>
      <c r="L719" s="2">
        <v>0</v>
      </c>
      <c r="M719" s="2" t="s">
        <v>34</v>
      </c>
      <c r="N719" s="2" t="s">
        <v>78</v>
      </c>
      <c r="O719" s="2" t="s">
        <v>44</v>
      </c>
      <c r="P719" s="2" t="s">
        <v>45</v>
      </c>
      <c r="Q719" s="2">
        <v>0</v>
      </c>
      <c r="R719" s="2">
        <v>0</v>
      </c>
      <c r="S719" s="2">
        <v>0</v>
      </c>
      <c r="T719" s="2" t="s">
        <v>46</v>
      </c>
      <c r="U719" s="2" t="s">
        <v>46</v>
      </c>
      <c r="V719" s="2">
        <v>0</v>
      </c>
      <c r="W719" s="2" t="s">
        <v>38</v>
      </c>
      <c r="X719" s="2">
        <v>159</v>
      </c>
      <c r="Y719" s="2"/>
      <c r="Z719" s="2">
        <v>0</v>
      </c>
      <c r="AA719" s="2" t="s">
        <v>39</v>
      </c>
      <c r="AB719" s="2">
        <v>147.5</v>
      </c>
      <c r="AC719" s="2">
        <v>0</v>
      </c>
      <c r="AD719" s="2">
        <v>0</v>
      </c>
      <c r="AE719" s="2" t="s">
        <v>40</v>
      </c>
      <c r="AF719" s="3">
        <v>42944</v>
      </c>
    </row>
    <row r="720" spans="1:32" x14ac:dyDescent="0.25">
      <c r="A720" s="2" t="s">
        <v>32</v>
      </c>
      <c r="B720" s="2">
        <v>0</v>
      </c>
      <c r="C720" s="2">
        <v>0</v>
      </c>
      <c r="D720" s="2">
        <v>2017</v>
      </c>
      <c r="E720" s="2" t="s">
        <v>69</v>
      </c>
      <c r="F720" s="2">
        <v>18</v>
      </c>
      <c r="G720" s="2">
        <v>5</v>
      </c>
      <c r="H720" s="2">
        <v>0</v>
      </c>
      <c r="I720" s="2">
        <v>2</v>
      </c>
      <c r="J720" s="2">
        <v>2</v>
      </c>
      <c r="K720" s="2">
        <v>0</v>
      </c>
      <c r="L720" s="2">
        <v>0</v>
      </c>
      <c r="M720" s="2" t="s">
        <v>34</v>
      </c>
      <c r="N720" s="2" t="s">
        <v>43</v>
      </c>
      <c r="O720" s="2" t="s">
        <v>44</v>
      </c>
      <c r="P720" s="2" t="s">
        <v>45</v>
      </c>
      <c r="Q720" s="2">
        <v>0</v>
      </c>
      <c r="R720" s="2">
        <v>0</v>
      </c>
      <c r="S720" s="2">
        <v>0</v>
      </c>
      <c r="T720" s="2" t="s">
        <v>46</v>
      </c>
      <c r="U720" s="2" t="s">
        <v>46</v>
      </c>
      <c r="V720" s="2">
        <v>0</v>
      </c>
      <c r="W720" s="2" t="s">
        <v>38</v>
      </c>
      <c r="X720" s="2">
        <v>240</v>
      </c>
      <c r="Y720" s="2"/>
      <c r="Z720" s="2">
        <v>0</v>
      </c>
      <c r="AA720" s="2" t="s">
        <v>39</v>
      </c>
      <c r="AB720" s="2">
        <v>80</v>
      </c>
      <c r="AC720" s="2">
        <v>0</v>
      </c>
      <c r="AD720" s="2">
        <v>0</v>
      </c>
      <c r="AE720" s="2" t="s">
        <v>40</v>
      </c>
      <c r="AF720" s="3">
        <v>42862</v>
      </c>
    </row>
    <row r="721" spans="1:32" x14ac:dyDescent="0.25">
      <c r="A721" s="2" t="s">
        <v>41</v>
      </c>
      <c r="B721" s="2">
        <v>0</v>
      </c>
      <c r="C721" s="2">
        <v>158</v>
      </c>
      <c r="D721" s="2">
        <v>2017</v>
      </c>
      <c r="E721" s="2" t="s">
        <v>52</v>
      </c>
      <c r="F721" s="2">
        <v>13</v>
      </c>
      <c r="G721" s="2">
        <v>27</v>
      </c>
      <c r="H721" s="2">
        <v>1</v>
      </c>
      <c r="I721" s="2">
        <v>1</v>
      </c>
      <c r="J721" s="2">
        <v>2</v>
      </c>
      <c r="K721" s="2">
        <v>0</v>
      </c>
      <c r="L721" s="2">
        <v>0</v>
      </c>
      <c r="M721" s="2" t="s">
        <v>34</v>
      </c>
      <c r="N721" s="2" t="s">
        <v>100</v>
      </c>
      <c r="O721" s="2" t="s">
        <v>64</v>
      </c>
      <c r="P721" s="2" t="s">
        <v>45</v>
      </c>
      <c r="Q721" s="2">
        <v>0</v>
      </c>
      <c r="R721" s="2">
        <v>0</v>
      </c>
      <c r="S721" s="2">
        <v>0</v>
      </c>
      <c r="T721" s="2" t="s">
        <v>46</v>
      </c>
      <c r="U721" s="2" t="s">
        <v>46</v>
      </c>
      <c r="V721" s="2">
        <v>0</v>
      </c>
      <c r="W721" s="2" t="s">
        <v>38</v>
      </c>
      <c r="X721" s="2">
        <v>37</v>
      </c>
      <c r="Y721" s="2"/>
      <c r="Z721" s="2">
        <v>0</v>
      </c>
      <c r="AA721" s="2" t="s">
        <v>51</v>
      </c>
      <c r="AB721" s="2">
        <v>95</v>
      </c>
      <c r="AC721" s="2">
        <v>0</v>
      </c>
      <c r="AD721" s="2">
        <v>0</v>
      </c>
      <c r="AE721" s="2" t="s">
        <v>40</v>
      </c>
      <c r="AF721" s="3">
        <v>42823</v>
      </c>
    </row>
    <row r="722" spans="1:32" x14ac:dyDescent="0.25">
      <c r="A722" s="2" t="s">
        <v>32</v>
      </c>
      <c r="B722" s="2">
        <v>1</v>
      </c>
      <c r="C722" s="2">
        <v>43</v>
      </c>
      <c r="D722" s="2">
        <v>2017</v>
      </c>
      <c r="E722" s="2" t="s">
        <v>74</v>
      </c>
      <c r="F722" s="2">
        <v>4</v>
      </c>
      <c r="G722" s="2">
        <v>27</v>
      </c>
      <c r="H722" s="2">
        <v>1</v>
      </c>
      <c r="I722" s="2">
        <v>2</v>
      </c>
      <c r="J722" s="2">
        <v>2</v>
      </c>
      <c r="K722" s="2">
        <v>0</v>
      </c>
      <c r="L722" s="2">
        <v>0</v>
      </c>
      <c r="M722" s="2" t="s">
        <v>34</v>
      </c>
      <c r="N722" s="2" t="s">
        <v>35</v>
      </c>
      <c r="O722" s="2" t="s">
        <v>44</v>
      </c>
      <c r="P722" s="2" t="s">
        <v>45</v>
      </c>
      <c r="Q722" s="2">
        <v>0</v>
      </c>
      <c r="R722" s="2">
        <v>0</v>
      </c>
      <c r="S722" s="2">
        <v>0</v>
      </c>
      <c r="T722" s="2" t="s">
        <v>46</v>
      </c>
      <c r="U722" s="2" t="s">
        <v>46</v>
      </c>
      <c r="V722" s="2">
        <v>0</v>
      </c>
      <c r="W722" s="2" t="s">
        <v>38</v>
      </c>
      <c r="X722" s="2">
        <v>240</v>
      </c>
      <c r="Y722" s="2"/>
      <c r="Z722" s="2">
        <v>0</v>
      </c>
      <c r="AA722" s="2" t="s">
        <v>51</v>
      </c>
      <c r="AB722" s="2">
        <v>48</v>
      </c>
      <c r="AC722" s="2">
        <v>0</v>
      </c>
      <c r="AD722" s="2">
        <v>0</v>
      </c>
      <c r="AE722" s="2" t="s">
        <v>47</v>
      </c>
      <c r="AF722" s="3">
        <v>42740</v>
      </c>
    </row>
    <row r="723" spans="1:32" x14ac:dyDescent="0.25">
      <c r="A723" s="2" t="s">
        <v>32</v>
      </c>
      <c r="B723" s="2">
        <v>1</v>
      </c>
      <c r="C723" s="2">
        <v>21</v>
      </c>
      <c r="D723" s="2">
        <v>2017</v>
      </c>
      <c r="E723" s="2" t="s">
        <v>42</v>
      </c>
      <c r="F723" s="2">
        <v>29</v>
      </c>
      <c r="G723" s="2">
        <v>17</v>
      </c>
      <c r="H723" s="2">
        <v>1</v>
      </c>
      <c r="I723" s="2">
        <v>3</v>
      </c>
      <c r="J723" s="2">
        <v>2</v>
      </c>
      <c r="K723" s="2">
        <v>0</v>
      </c>
      <c r="L723" s="2">
        <v>0</v>
      </c>
      <c r="M723" s="2" t="s">
        <v>34</v>
      </c>
      <c r="N723" s="2" t="s">
        <v>105</v>
      </c>
      <c r="O723" s="2" t="s">
        <v>44</v>
      </c>
      <c r="P723" s="2" t="s">
        <v>45</v>
      </c>
      <c r="Q723" s="2">
        <v>0</v>
      </c>
      <c r="R723" s="2">
        <v>0</v>
      </c>
      <c r="S723" s="2">
        <v>0</v>
      </c>
      <c r="T723" s="2" t="s">
        <v>72</v>
      </c>
      <c r="U723" s="2" t="s">
        <v>72</v>
      </c>
      <c r="V723" s="2">
        <v>0</v>
      </c>
      <c r="W723" s="2" t="s">
        <v>38</v>
      </c>
      <c r="X723" s="2">
        <v>240</v>
      </c>
      <c r="Y723" s="2"/>
      <c r="Z723" s="2">
        <v>0</v>
      </c>
      <c r="AA723" s="2" t="s">
        <v>39</v>
      </c>
      <c r="AB723" s="2">
        <v>230</v>
      </c>
      <c r="AC723" s="2">
        <v>0</v>
      </c>
      <c r="AD723" s="2">
        <v>1</v>
      </c>
      <c r="AE723" s="2" t="s">
        <v>47</v>
      </c>
      <c r="AF723" s="3">
        <v>42915</v>
      </c>
    </row>
    <row r="724" spans="1:32" x14ac:dyDescent="0.25">
      <c r="A724" s="2" t="s">
        <v>41</v>
      </c>
      <c r="B724" s="2">
        <v>0</v>
      </c>
      <c r="C724" s="2">
        <v>18</v>
      </c>
      <c r="D724" s="2">
        <v>2017</v>
      </c>
      <c r="E724" s="2" t="s">
        <v>66</v>
      </c>
      <c r="F724" s="2">
        <v>7</v>
      </c>
      <c r="G724" s="2">
        <v>17</v>
      </c>
      <c r="H724" s="2">
        <v>0</v>
      </c>
      <c r="I724" s="2">
        <v>2</v>
      </c>
      <c r="J724" s="2">
        <v>2</v>
      </c>
      <c r="K724" s="2">
        <v>0</v>
      </c>
      <c r="L724" s="2">
        <v>0</v>
      </c>
      <c r="M724" s="2" t="s">
        <v>34</v>
      </c>
      <c r="N724" s="2" t="s">
        <v>63</v>
      </c>
      <c r="O724" s="2" t="s">
        <v>36</v>
      </c>
      <c r="P724" s="2" t="s">
        <v>36</v>
      </c>
      <c r="Q724" s="2">
        <v>0</v>
      </c>
      <c r="R724" s="2">
        <v>0</v>
      </c>
      <c r="S724" s="2">
        <v>0</v>
      </c>
      <c r="T724" s="2" t="s">
        <v>57</v>
      </c>
      <c r="U724" s="2" t="s">
        <v>57</v>
      </c>
      <c r="V724" s="2">
        <v>0</v>
      </c>
      <c r="W724" s="2" t="s">
        <v>38</v>
      </c>
      <c r="X724" s="2">
        <v>14</v>
      </c>
      <c r="Y724" s="2"/>
      <c r="Z724" s="2">
        <v>0</v>
      </c>
      <c r="AA724" s="2" t="s">
        <v>39</v>
      </c>
      <c r="AB724" s="2">
        <v>98.88</v>
      </c>
      <c r="AC724" s="2">
        <v>0</v>
      </c>
      <c r="AD724" s="2">
        <v>0</v>
      </c>
      <c r="AE724" s="2" t="s">
        <v>40</v>
      </c>
      <c r="AF724" s="3">
        <v>42785</v>
      </c>
    </row>
    <row r="725" spans="1:32" x14ac:dyDescent="0.25">
      <c r="A725" s="2" t="s">
        <v>41</v>
      </c>
      <c r="B725" s="2">
        <v>0</v>
      </c>
      <c r="C725" s="2">
        <v>99</v>
      </c>
      <c r="D725" s="2">
        <v>2017</v>
      </c>
      <c r="E725" s="2" t="s">
        <v>69</v>
      </c>
      <c r="F725" s="2">
        <v>22</v>
      </c>
      <c r="G725" s="2">
        <v>30</v>
      </c>
      <c r="H725" s="2">
        <v>0</v>
      </c>
      <c r="I725" s="2">
        <v>4</v>
      </c>
      <c r="J725" s="2">
        <v>2</v>
      </c>
      <c r="K725" s="2">
        <v>0</v>
      </c>
      <c r="L725" s="2">
        <v>0</v>
      </c>
      <c r="M725" s="2" t="s">
        <v>60</v>
      </c>
      <c r="N725" s="2" t="s">
        <v>65</v>
      </c>
      <c r="O725" s="2" t="s">
        <v>44</v>
      </c>
      <c r="P725" s="2" t="s">
        <v>45</v>
      </c>
      <c r="Q725" s="2">
        <v>0</v>
      </c>
      <c r="R725" s="2">
        <v>0</v>
      </c>
      <c r="S725" s="2">
        <v>0</v>
      </c>
      <c r="T725" s="2" t="s">
        <v>46</v>
      </c>
      <c r="U725" s="2" t="s">
        <v>46</v>
      </c>
      <c r="V725" s="2">
        <v>1</v>
      </c>
      <c r="W725" s="2" t="s">
        <v>38</v>
      </c>
      <c r="X725" s="2">
        <v>9</v>
      </c>
      <c r="Y725" s="2"/>
      <c r="Z725" s="2">
        <v>0</v>
      </c>
      <c r="AA725" s="2" t="s">
        <v>39</v>
      </c>
      <c r="AB725" s="2">
        <v>169.2</v>
      </c>
      <c r="AC725" s="2">
        <v>0</v>
      </c>
      <c r="AD725" s="2">
        <v>2</v>
      </c>
      <c r="AE725" s="2" t="s">
        <v>40</v>
      </c>
      <c r="AF725" s="3">
        <v>42889</v>
      </c>
    </row>
    <row r="726" spans="1:32" x14ac:dyDescent="0.25">
      <c r="A726" s="2" t="s">
        <v>32</v>
      </c>
      <c r="B726" s="2">
        <v>1</v>
      </c>
      <c r="C726" s="2">
        <v>320</v>
      </c>
      <c r="D726" s="2">
        <v>2017</v>
      </c>
      <c r="E726" s="2" t="s">
        <v>42</v>
      </c>
      <c r="F726" s="2">
        <v>27</v>
      </c>
      <c r="G726" s="2">
        <v>4</v>
      </c>
      <c r="H726" s="2">
        <v>0</v>
      </c>
      <c r="I726" s="2">
        <v>3</v>
      </c>
      <c r="J726" s="2">
        <v>2</v>
      </c>
      <c r="K726" s="2">
        <v>0</v>
      </c>
      <c r="L726" s="2">
        <v>0</v>
      </c>
      <c r="M726" s="2" t="s">
        <v>34</v>
      </c>
      <c r="N726" s="2" t="s">
        <v>70</v>
      </c>
      <c r="O726" s="2" t="s">
        <v>44</v>
      </c>
      <c r="P726" s="2" t="s">
        <v>45</v>
      </c>
      <c r="Q726" s="2">
        <v>0</v>
      </c>
      <c r="R726" s="2">
        <v>0</v>
      </c>
      <c r="S726" s="2">
        <v>0</v>
      </c>
      <c r="T726" s="2" t="s">
        <v>46</v>
      </c>
      <c r="U726" s="2" t="s">
        <v>46</v>
      </c>
      <c r="V726" s="2">
        <v>0</v>
      </c>
      <c r="W726" s="2" t="s">
        <v>38</v>
      </c>
      <c r="X726" s="2">
        <v>240</v>
      </c>
      <c r="Y726" s="2"/>
      <c r="Z726" s="2">
        <v>0</v>
      </c>
      <c r="AA726" s="2" t="s">
        <v>39</v>
      </c>
      <c r="AB726" s="2">
        <v>93.38</v>
      </c>
      <c r="AC726" s="2">
        <v>0</v>
      </c>
      <c r="AD726" s="2">
        <v>0</v>
      </c>
      <c r="AE726" s="2" t="s">
        <v>47</v>
      </c>
      <c r="AF726" s="3">
        <v>42600</v>
      </c>
    </row>
    <row r="727" spans="1:32" x14ac:dyDescent="0.25">
      <c r="A727" s="2" t="s">
        <v>41</v>
      </c>
      <c r="B727" s="2">
        <v>1</v>
      </c>
      <c r="C727" s="2">
        <v>408</v>
      </c>
      <c r="D727" s="2">
        <v>2017</v>
      </c>
      <c r="E727" s="2" t="s">
        <v>69</v>
      </c>
      <c r="F727" s="2">
        <v>22</v>
      </c>
      <c r="G727" s="2">
        <v>30</v>
      </c>
      <c r="H727" s="2">
        <v>0</v>
      </c>
      <c r="I727" s="2">
        <v>1</v>
      </c>
      <c r="J727" s="2">
        <v>2</v>
      </c>
      <c r="K727" s="2">
        <v>0</v>
      </c>
      <c r="L727" s="2">
        <v>0</v>
      </c>
      <c r="M727" s="2" t="s">
        <v>34</v>
      </c>
      <c r="N727" s="2" t="s">
        <v>43</v>
      </c>
      <c r="O727" s="2" t="s">
        <v>64</v>
      </c>
      <c r="P727" s="2" t="s">
        <v>45</v>
      </c>
      <c r="Q727" s="2">
        <v>0</v>
      </c>
      <c r="R727" s="2">
        <v>0</v>
      </c>
      <c r="S727" s="2">
        <v>0</v>
      </c>
      <c r="T727" s="2" t="s">
        <v>46</v>
      </c>
      <c r="U727" s="2" t="s">
        <v>46</v>
      </c>
      <c r="V727" s="2">
        <v>0</v>
      </c>
      <c r="W727" s="2" t="s">
        <v>68</v>
      </c>
      <c r="X727" s="2">
        <v>229</v>
      </c>
      <c r="Y727" s="2"/>
      <c r="Z727" s="2">
        <v>0</v>
      </c>
      <c r="AA727" s="2" t="s">
        <v>39</v>
      </c>
      <c r="AB727" s="2">
        <v>90</v>
      </c>
      <c r="AC727" s="2">
        <v>0</v>
      </c>
      <c r="AD727" s="2">
        <v>0</v>
      </c>
      <c r="AE727" s="2" t="s">
        <v>47</v>
      </c>
      <c r="AF727" s="3">
        <v>42860</v>
      </c>
    </row>
    <row r="728" spans="1:32" x14ac:dyDescent="0.25">
      <c r="A728" s="2" t="s">
        <v>41</v>
      </c>
      <c r="B728" s="2">
        <v>1</v>
      </c>
      <c r="C728" s="2">
        <v>27</v>
      </c>
      <c r="D728" s="2">
        <v>2017</v>
      </c>
      <c r="E728" s="2" t="s">
        <v>66</v>
      </c>
      <c r="F728" s="2">
        <v>8</v>
      </c>
      <c r="G728" s="2">
        <v>23</v>
      </c>
      <c r="H728" s="2">
        <v>0</v>
      </c>
      <c r="I728" s="2">
        <v>3</v>
      </c>
      <c r="J728" s="2">
        <v>2</v>
      </c>
      <c r="K728" s="2">
        <v>0</v>
      </c>
      <c r="L728" s="2">
        <v>0</v>
      </c>
      <c r="M728" s="2" t="s">
        <v>34</v>
      </c>
      <c r="N728" s="2" t="s">
        <v>106</v>
      </c>
      <c r="O728" s="2" t="s">
        <v>44</v>
      </c>
      <c r="P728" s="2" t="s">
        <v>45</v>
      </c>
      <c r="Q728" s="2">
        <v>0</v>
      </c>
      <c r="R728" s="2">
        <v>0</v>
      </c>
      <c r="S728" s="2">
        <v>0</v>
      </c>
      <c r="T728" s="2" t="s">
        <v>57</v>
      </c>
      <c r="U728" s="2" t="s">
        <v>57</v>
      </c>
      <c r="V728" s="2">
        <v>0</v>
      </c>
      <c r="W728" s="2" t="s">
        <v>38</v>
      </c>
      <c r="X728" s="2">
        <v>9</v>
      </c>
      <c r="Y728" s="2"/>
      <c r="Z728" s="2">
        <v>0</v>
      </c>
      <c r="AA728" s="2" t="s">
        <v>39</v>
      </c>
      <c r="AB728" s="2">
        <v>118</v>
      </c>
      <c r="AC728" s="2">
        <v>0</v>
      </c>
      <c r="AD728" s="2">
        <v>0</v>
      </c>
      <c r="AE728" s="2" t="s">
        <v>47</v>
      </c>
      <c r="AF728" s="3">
        <v>42764</v>
      </c>
    </row>
    <row r="729" spans="1:32" x14ac:dyDescent="0.25">
      <c r="A729" s="2" t="s">
        <v>41</v>
      </c>
      <c r="B729" s="2">
        <v>1</v>
      </c>
      <c r="C729" s="2">
        <v>129</v>
      </c>
      <c r="D729" s="2">
        <v>2017</v>
      </c>
      <c r="E729" s="2" t="s">
        <v>83</v>
      </c>
      <c r="F729" s="2">
        <v>22</v>
      </c>
      <c r="G729" s="2">
        <v>2</v>
      </c>
      <c r="H729" s="2">
        <v>1</v>
      </c>
      <c r="I729" s="2">
        <v>2</v>
      </c>
      <c r="J729" s="2">
        <v>2</v>
      </c>
      <c r="K729" s="2">
        <v>0</v>
      </c>
      <c r="L729" s="2">
        <v>0</v>
      </c>
      <c r="M729" s="2" t="s">
        <v>34</v>
      </c>
      <c r="N729" s="2" t="s">
        <v>43</v>
      </c>
      <c r="O729" s="2" t="s">
        <v>64</v>
      </c>
      <c r="P729" s="2" t="s">
        <v>45</v>
      </c>
      <c r="Q729" s="2">
        <v>0</v>
      </c>
      <c r="R729" s="2">
        <v>0</v>
      </c>
      <c r="S729" s="2">
        <v>0</v>
      </c>
      <c r="T729" s="2" t="s">
        <v>46</v>
      </c>
      <c r="U729" s="2" t="s">
        <v>46</v>
      </c>
      <c r="V729" s="2">
        <v>0</v>
      </c>
      <c r="W729" s="2" t="s">
        <v>68</v>
      </c>
      <c r="X729" s="2">
        <v>154</v>
      </c>
      <c r="Y729" s="2"/>
      <c r="Z729" s="2">
        <v>0</v>
      </c>
      <c r="AA729" s="2" t="s">
        <v>39</v>
      </c>
      <c r="AB729" s="2">
        <v>130</v>
      </c>
      <c r="AC729" s="2">
        <v>0</v>
      </c>
      <c r="AD729" s="2">
        <v>0</v>
      </c>
      <c r="AE729" s="2" t="s">
        <v>47</v>
      </c>
      <c r="AF729" s="3">
        <v>42759</v>
      </c>
    </row>
    <row r="730" spans="1:32" x14ac:dyDescent="0.25">
      <c r="A730" s="2" t="s">
        <v>32</v>
      </c>
      <c r="B730" s="2">
        <v>0</v>
      </c>
      <c r="C730" s="2">
        <v>43</v>
      </c>
      <c r="D730" s="2">
        <v>2017</v>
      </c>
      <c r="E730" s="2" t="s">
        <v>83</v>
      </c>
      <c r="F730" s="2">
        <v>24</v>
      </c>
      <c r="G730" s="2">
        <v>11</v>
      </c>
      <c r="H730" s="2">
        <v>2</v>
      </c>
      <c r="I730" s="2">
        <v>5</v>
      </c>
      <c r="J730" s="2">
        <v>2</v>
      </c>
      <c r="K730" s="2">
        <v>0</v>
      </c>
      <c r="L730" s="2">
        <v>0</v>
      </c>
      <c r="M730" s="2" t="s">
        <v>34</v>
      </c>
      <c r="N730" s="2" t="s">
        <v>70</v>
      </c>
      <c r="O730" s="2" t="s">
        <v>44</v>
      </c>
      <c r="P730" s="2" t="s">
        <v>45</v>
      </c>
      <c r="Q730" s="2">
        <v>0</v>
      </c>
      <c r="R730" s="2">
        <v>0</v>
      </c>
      <c r="S730" s="2">
        <v>0</v>
      </c>
      <c r="T730" s="2" t="s">
        <v>46</v>
      </c>
      <c r="U730" s="2" t="s">
        <v>46</v>
      </c>
      <c r="V730" s="2">
        <v>0</v>
      </c>
      <c r="W730" s="2" t="s">
        <v>38</v>
      </c>
      <c r="X730" s="2">
        <v>240</v>
      </c>
      <c r="Y730" s="2"/>
      <c r="Z730" s="2">
        <v>0</v>
      </c>
      <c r="AA730" s="2" t="s">
        <v>39</v>
      </c>
      <c r="AB730" s="2">
        <v>140</v>
      </c>
      <c r="AC730" s="2">
        <v>0</v>
      </c>
      <c r="AD730" s="2">
        <v>1</v>
      </c>
      <c r="AE730" s="2" t="s">
        <v>40</v>
      </c>
      <c r="AF730" s="3">
        <v>42904</v>
      </c>
    </row>
    <row r="731" spans="1:32" x14ac:dyDescent="0.25">
      <c r="A731" s="2" t="s">
        <v>41</v>
      </c>
      <c r="B731" s="2">
        <v>0</v>
      </c>
      <c r="C731" s="2">
        <v>1</v>
      </c>
      <c r="D731" s="2">
        <v>2017</v>
      </c>
      <c r="E731" s="2" t="s">
        <v>67</v>
      </c>
      <c r="F731" s="2">
        <v>35</v>
      </c>
      <c r="G731" s="2">
        <v>27</v>
      </c>
      <c r="H731" s="2">
        <v>1</v>
      </c>
      <c r="I731" s="2">
        <v>0</v>
      </c>
      <c r="J731" s="2">
        <v>1</v>
      </c>
      <c r="K731" s="2">
        <v>0</v>
      </c>
      <c r="L731" s="2">
        <v>0</v>
      </c>
      <c r="M731" s="2" t="s">
        <v>55</v>
      </c>
      <c r="N731" s="2" t="s">
        <v>63</v>
      </c>
      <c r="O731" s="2" t="s">
        <v>44</v>
      </c>
      <c r="P731" s="2" t="s">
        <v>45</v>
      </c>
      <c r="Q731" s="2">
        <v>0</v>
      </c>
      <c r="R731" s="2">
        <v>0</v>
      </c>
      <c r="S731" s="2">
        <v>0</v>
      </c>
      <c r="T731" s="2" t="s">
        <v>46</v>
      </c>
      <c r="U731" s="2" t="s">
        <v>46</v>
      </c>
      <c r="V731" s="2">
        <v>1</v>
      </c>
      <c r="W731" s="2" t="s">
        <v>38</v>
      </c>
      <c r="X731" s="2">
        <v>9</v>
      </c>
      <c r="Y731" s="2"/>
      <c r="Z731" s="2">
        <v>0</v>
      </c>
      <c r="AA731" s="2" t="s">
        <v>39</v>
      </c>
      <c r="AB731" s="2">
        <v>80.099999999999994</v>
      </c>
      <c r="AC731" s="2">
        <v>0</v>
      </c>
      <c r="AD731" s="2">
        <v>0</v>
      </c>
      <c r="AE731" s="2" t="s">
        <v>40</v>
      </c>
      <c r="AF731" s="3">
        <v>42975</v>
      </c>
    </row>
    <row r="732" spans="1:32" x14ac:dyDescent="0.25">
      <c r="A732" s="2" t="s">
        <v>41</v>
      </c>
      <c r="B732" s="2">
        <v>1</v>
      </c>
      <c r="C732" s="2">
        <v>88</v>
      </c>
      <c r="D732" s="2">
        <v>2017</v>
      </c>
      <c r="E732" s="2" t="s">
        <v>83</v>
      </c>
      <c r="F732" s="2">
        <v>24</v>
      </c>
      <c r="G732" s="2">
        <v>17</v>
      </c>
      <c r="H732" s="2">
        <v>0</v>
      </c>
      <c r="I732" s="2">
        <v>1</v>
      </c>
      <c r="J732" s="2">
        <v>2</v>
      </c>
      <c r="K732" s="2">
        <v>1</v>
      </c>
      <c r="L732" s="2">
        <v>0</v>
      </c>
      <c r="M732" s="2" t="s">
        <v>60</v>
      </c>
      <c r="N732" s="2" t="s">
        <v>63</v>
      </c>
      <c r="O732" s="2" t="s">
        <v>44</v>
      </c>
      <c r="P732" s="2" t="s">
        <v>45</v>
      </c>
      <c r="Q732" s="2">
        <v>0</v>
      </c>
      <c r="R732" s="2">
        <v>0</v>
      </c>
      <c r="S732" s="2">
        <v>0</v>
      </c>
      <c r="T732" s="2" t="s">
        <v>46</v>
      </c>
      <c r="U732" s="2" t="s">
        <v>46</v>
      </c>
      <c r="V732" s="2">
        <v>0</v>
      </c>
      <c r="W732" s="2" t="s">
        <v>38</v>
      </c>
      <c r="X732" s="2">
        <v>9</v>
      </c>
      <c r="Y732" s="2"/>
      <c r="Z732" s="2">
        <v>0</v>
      </c>
      <c r="AA732" s="2" t="s">
        <v>39</v>
      </c>
      <c r="AB732" s="2">
        <v>204.3</v>
      </c>
      <c r="AC732" s="2">
        <v>0</v>
      </c>
      <c r="AD732" s="2">
        <v>0</v>
      </c>
      <c r="AE732" s="2" t="s">
        <v>47</v>
      </c>
      <c r="AF732" s="3">
        <v>42822</v>
      </c>
    </row>
    <row r="733" spans="1:32" x14ac:dyDescent="0.25">
      <c r="A733" s="2" t="s">
        <v>41</v>
      </c>
      <c r="B733" s="2">
        <v>0</v>
      </c>
      <c r="C733" s="2">
        <v>111</v>
      </c>
      <c r="D733" s="2">
        <v>2017</v>
      </c>
      <c r="E733" s="2" t="s">
        <v>69</v>
      </c>
      <c r="F733" s="2">
        <v>20</v>
      </c>
      <c r="G733" s="2">
        <v>14</v>
      </c>
      <c r="H733" s="2">
        <v>2</v>
      </c>
      <c r="I733" s="2">
        <v>1</v>
      </c>
      <c r="J733" s="2">
        <v>2</v>
      </c>
      <c r="K733" s="2">
        <v>0</v>
      </c>
      <c r="L733" s="2">
        <v>0</v>
      </c>
      <c r="M733" s="2" t="s">
        <v>34</v>
      </c>
      <c r="N733" s="2" t="s">
        <v>82</v>
      </c>
      <c r="O733" s="2" t="s">
        <v>44</v>
      </c>
      <c r="P733" s="2" t="s">
        <v>45</v>
      </c>
      <c r="Q733" s="2">
        <v>0</v>
      </c>
      <c r="R733" s="2">
        <v>0</v>
      </c>
      <c r="S733" s="2">
        <v>0</v>
      </c>
      <c r="T733" s="2" t="s">
        <v>57</v>
      </c>
      <c r="U733" s="2" t="s">
        <v>57</v>
      </c>
      <c r="V733" s="2">
        <v>0</v>
      </c>
      <c r="W733" s="2" t="s">
        <v>38</v>
      </c>
      <c r="X733" s="2">
        <v>83</v>
      </c>
      <c r="Y733" s="2"/>
      <c r="Z733" s="2">
        <v>0</v>
      </c>
      <c r="AA733" s="2" t="s">
        <v>39</v>
      </c>
      <c r="AB733" s="2">
        <v>117.6</v>
      </c>
      <c r="AC733" s="2">
        <v>0</v>
      </c>
      <c r="AD733" s="2">
        <v>0</v>
      </c>
      <c r="AE733" s="2" t="s">
        <v>40</v>
      </c>
      <c r="AF733" s="3">
        <v>42872</v>
      </c>
    </row>
    <row r="734" spans="1:32" x14ac:dyDescent="0.25">
      <c r="A734" s="2" t="s">
        <v>32</v>
      </c>
      <c r="B734" s="2">
        <v>1</v>
      </c>
      <c r="C734" s="2">
        <v>190</v>
      </c>
      <c r="D734" s="2">
        <v>2017</v>
      </c>
      <c r="E734" s="2" t="s">
        <v>42</v>
      </c>
      <c r="F734" s="2">
        <v>29</v>
      </c>
      <c r="G734" s="2">
        <v>17</v>
      </c>
      <c r="H734" s="2">
        <v>2</v>
      </c>
      <c r="I734" s="2">
        <v>5</v>
      </c>
      <c r="J734" s="2">
        <v>3</v>
      </c>
      <c r="K734" s="2">
        <v>0</v>
      </c>
      <c r="L734" s="2">
        <v>0</v>
      </c>
      <c r="M734" s="2" t="s">
        <v>77</v>
      </c>
      <c r="N734" s="2" t="s">
        <v>103</v>
      </c>
      <c r="O734" s="2" t="s">
        <v>36</v>
      </c>
      <c r="P734" s="2" t="s">
        <v>36</v>
      </c>
      <c r="Q734" s="2">
        <v>0</v>
      </c>
      <c r="R734" s="2">
        <v>0</v>
      </c>
      <c r="S734" s="2">
        <v>0</v>
      </c>
      <c r="T734" s="2" t="s">
        <v>57</v>
      </c>
      <c r="U734" s="2" t="s">
        <v>57</v>
      </c>
      <c r="V734" s="2">
        <v>3</v>
      </c>
      <c r="W734" s="2" t="s">
        <v>38</v>
      </c>
      <c r="X734" s="2">
        <v>250</v>
      </c>
      <c r="Y734" s="2"/>
      <c r="Z734" s="2">
        <v>0</v>
      </c>
      <c r="AA734" s="2" t="s">
        <v>39</v>
      </c>
      <c r="AB734" s="2">
        <v>274.45</v>
      </c>
      <c r="AC734" s="2">
        <v>0</v>
      </c>
      <c r="AD734" s="2">
        <v>0</v>
      </c>
      <c r="AE734" s="2" t="s">
        <v>47</v>
      </c>
      <c r="AF734" s="3">
        <v>42919</v>
      </c>
    </row>
    <row r="735" spans="1:32" x14ac:dyDescent="0.25">
      <c r="A735" s="2" t="s">
        <v>41</v>
      </c>
      <c r="B735" s="2">
        <v>1</v>
      </c>
      <c r="C735" s="2">
        <v>46</v>
      </c>
      <c r="D735" s="2">
        <v>2017</v>
      </c>
      <c r="E735" s="2" t="s">
        <v>52</v>
      </c>
      <c r="F735" s="2">
        <v>10</v>
      </c>
      <c r="G735" s="2">
        <v>6</v>
      </c>
      <c r="H735" s="2">
        <v>2</v>
      </c>
      <c r="I735" s="2">
        <v>5</v>
      </c>
      <c r="J735" s="2">
        <v>2</v>
      </c>
      <c r="K735" s="2">
        <v>0</v>
      </c>
      <c r="L735" s="2">
        <v>0</v>
      </c>
      <c r="M735" s="2" t="s">
        <v>34</v>
      </c>
      <c r="N735" s="2" t="s">
        <v>43</v>
      </c>
      <c r="O735" s="2" t="s">
        <v>44</v>
      </c>
      <c r="P735" s="2" t="s">
        <v>45</v>
      </c>
      <c r="Q735" s="2">
        <v>0</v>
      </c>
      <c r="R735" s="2">
        <v>0</v>
      </c>
      <c r="S735" s="2">
        <v>0</v>
      </c>
      <c r="T735" s="2" t="s">
        <v>57</v>
      </c>
      <c r="U735" s="2" t="s">
        <v>57</v>
      </c>
      <c r="V735" s="2">
        <v>2</v>
      </c>
      <c r="W735" s="2" t="s">
        <v>38</v>
      </c>
      <c r="X735" s="2">
        <v>8</v>
      </c>
      <c r="Y735" s="2"/>
      <c r="Z735" s="2">
        <v>0</v>
      </c>
      <c r="AA735" s="2" t="s">
        <v>39</v>
      </c>
      <c r="AB735" s="2">
        <v>100.3</v>
      </c>
      <c r="AC735" s="2">
        <v>0</v>
      </c>
      <c r="AD735" s="2">
        <v>0</v>
      </c>
      <c r="AE735" s="2" t="s">
        <v>47</v>
      </c>
      <c r="AF735" s="3">
        <v>42764</v>
      </c>
    </row>
    <row r="736" spans="1:32" x14ac:dyDescent="0.25">
      <c r="A736" s="2" t="s">
        <v>41</v>
      </c>
      <c r="B736" s="2">
        <v>0</v>
      </c>
      <c r="C736" s="2">
        <v>9</v>
      </c>
      <c r="D736" s="2">
        <v>2017</v>
      </c>
      <c r="E736" s="2" t="s">
        <v>66</v>
      </c>
      <c r="F736" s="2">
        <v>6</v>
      </c>
      <c r="G736" s="2">
        <v>8</v>
      </c>
      <c r="H736" s="2">
        <v>0</v>
      </c>
      <c r="I736" s="2">
        <v>4</v>
      </c>
      <c r="J736" s="2">
        <v>2</v>
      </c>
      <c r="K736" s="2">
        <v>0</v>
      </c>
      <c r="L736" s="2">
        <v>0</v>
      </c>
      <c r="M736" s="2" t="s">
        <v>34</v>
      </c>
      <c r="N736" s="2" t="s">
        <v>70</v>
      </c>
      <c r="O736" s="2" t="s">
        <v>36</v>
      </c>
      <c r="P736" s="2" t="s">
        <v>36</v>
      </c>
      <c r="Q736" s="2">
        <v>0</v>
      </c>
      <c r="R736" s="2">
        <v>0</v>
      </c>
      <c r="S736" s="2">
        <v>0</v>
      </c>
      <c r="T736" s="2" t="s">
        <v>86</v>
      </c>
      <c r="U736" s="2" t="s">
        <v>46</v>
      </c>
      <c r="V736" s="2">
        <v>1</v>
      </c>
      <c r="W736" s="2" t="s">
        <v>38</v>
      </c>
      <c r="X736" s="2">
        <v>14</v>
      </c>
      <c r="Y736" s="2"/>
      <c r="Z736" s="2">
        <v>0</v>
      </c>
      <c r="AA736" s="2" t="s">
        <v>39</v>
      </c>
      <c r="AB736" s="2">
        <v>91.1</v>
      </c>
      <c r="AC736" s="2">
        <v>0</v>
      </c>
      <c r="AD736" s="2">
        <v>0</v>
      </c>
      <c r="AE736" s="2" t="s">
        <v>40</v>
      </c>
      <c r="AF736" s="3">
        <v>42778</v>
      </c>
    </row>
    <row r="737" spans="1:32" x14ac:dyDescent="0.25">
      <c r="A737" s="2" t="s">
        <v>41</v>
      </c>
      <c r="B737" s="2">
        <v>1</v>
      </c>
      <c r="C737" s="2">
        <v>594</v>
      </c>
      <c r="D737" s="2">
        <v>2017</v>
      </c>
      <c r="E737" s="2" t="s">
        <v>66</v>
      </c>
      <c r="F737" s="2">
        <v>8</v>
      </c>
      <c r="G737" s="2">
        <v>23</v>
      </c>
      <c r="H737" s="2">
        <v>0</v>
      </c>
      <c r="I737" s="2">
        <v>2</v>
      </c>
      <c r="J737" s="2">
        <v>2</v>
      </c>
      <c r="K737" s="2">
        <v>0</v>
      </c>
      <c r="L737" s="2">
        <v>0</v>
      </c>
      <c r="M737" s="2" t="s">
        <v>34</v>
      </c>
      <c r="N737" s="2" t="s">
        <v>43</v>
      </c>
      <c r="O737" s="2" t="s">
        <v>64</v>
      </c>
      <c r="P737" s="2" t="s">
        <v>45</v>
      </c>
      <c r="Q737" s="2">
        <v>0</v>
      </c>
      <c r="R737" s="2">
        <v>0</v>
      </c>
      <c r="S737" s="2">
        <v>0</v>
      </c>
      <c r="T737" s="2" t="s">
        <v>46</v>
      </c>
      <c r="U737" s="2" t="s">
        <v>46</v>
      </c>
      <c r="V737" s="2">
        <v>0</v>
      </c>
      <c r="W737" s="2" t="s">
        <v>68</v>
      </c>
      <c r="X737" s="2">
        <v>1</v>
      </c>
      <c r="Y737" s="2"/>
      <c r="Z737" s="2">
        <v>0</v>
      </c>
      <c r="AA737" s="2" t="s">
        <v>39</v>
      </c>
      <c r="AB737" s="2">
        <v>62</v>
      </c>
      <c r="AC737" s="2">
        <v>0</v>
      </c>
      <c r="AD737" s="2">
        <v>0</v>
      </c>
      <c r="AE737" s="2" t="s">
        <v>47</v>
      </c>
      <c r="AF737" s="3">
        <v>42298</v>
      </c>
    </row>
    <row r="738" spans="1:32" x14ac:dyDescent="0.25">
      <c r="A738" s="2" t="s">
        <v>41</v>
      </c>
      <c r="B738" s="2">
        <v>0</v>
      </c>
      <c r="C738" s="2">
        <v>4</v>
      </c>
      <c r="D738" s="2">
        <v>2017</v>
      </c>
      <c r="E738" s="2" t="s">
        <v>54</v>
      </c>
      <c r="F738" s="2">
        <v>15</v>
      </c>
      <c r="G738" s="2">
        <v>12</v>
      </c>
      <c r="H738" s="2">
        <v>0</v>
      </c>
      <c r="I738" s="2">
        <v>3</v>
      </c>
      <c r="J738" s="2">
        <v>2</v>
      </c>
      <c r="K738" s="2">
        <v>0</v>
      </c>
      <c r="L738" s="2">
        <v>0</v>
      </c>
      <c r="M738" s="2" t="s">
        <v>55</v>
      </c>
      <c r="N738" s="2" t="s">
        <v>108</v>
      </c>
      <c r="O738" s="2" t="s">
        <v>44</v>
      </c>
      <c r="P738" s="2" t="s">
        <v>45</v>
      </c>
      <c r="Q738" s="2">
        <v>0</v>
      </c>
      <c r="R738" s="2">
        <v>0</v>
      </c>
      <c r="S738" s="2">
        <v>0</v>
      </c>
      <c r="T738" s="2" t="s">
        <v>46</v>
      </c>
      <c r="U738" s="2" t="s">
        <v>46</v>
      </c>
      <c r="V738" s="2">
        <v>0</v>
      </c>
      <c r="W738" s="2" t="s">
        <v>38</v>
      </c>
      <c r="X738" s="2">
        <v>9</v>
      </c>
      <c r="Y738" s="2"/>
      <c r="Z738" s="2">
        <v>0</v>
      </c>
      <c r="AA738" s="2" t="s">
        <v>39</v>
      </c>
      <c r="AB738" s="2">
        <v>156.66999999999999</v>
      </c>
      <c r="AC738" s="2">
        <v>0</v>
      </c>
      <c r="AD738" s="2">
        <v>2</v>
      </c>
      <c r="AE738" s="2" t="s">
        <v>40</v>
      </c>
      <c r="AF738" s="3">
        <v>42840</v>
      </c>
    </row>
    <row r="739" spans="1:32" x14ac:dyDescent="0.25">
      <c r="A739" s="2" t="s">
        <v>41</v>
      </c>
      <c r="B739" s="2">
        <v>1</v>
      </c>
      <c r="C739" s="2">
        <v>84</v>
      </c>
      <c r="D739" s="2">
        <v>2017</v>
      </c>
      <c r="E739" s="2" t="s">
        <v>69</v>
      </c>
      <c r="F739" s="2">
        <v>19</v>
      </c>
      <c r="G739" s="2">
        <v>12</v>
      </c>
      <c r="H739" s="2">
        <v>0</v>
      </c>
      <c r="I739" s="2">
        <v>2</v>
      </c>
      <c r="J739" s="2">
        <v>3</v>
      </c>
      <c r="K739" s="2">
        <v>0</v>
      </c>
      <c r="L739" s="2">
        <v>0</v>
      </c>
      <c r="M739" s="2" t="s">
        <v>34</v>
      </c>
      <c r="N739" s="2" t="s">
        <v>106</v>
      </c>
      <c r="O739" s="2" t="s">
        <v>44</v>
      </c>
      <c r="P739" s="2" t="s">
        <v>45</v>
      </c>
      <c r="Q739" s="2">
        <v>0</v>
      </c>
      <c r="R739" s="2">
        <v>0</v>
      </c>
      <c r="S739" s="2">
        <v>0</v>
      </c>
      <c r="T739" s="2" t="s">
        <v>57</v>
      </c>
      <c r="U739" s="2" t="s">
        <v>57</v>
      </c>
      <c r="V739" s="2">
        <v>0</v>
      </c>
      <c r="W739" s="2" t="s">
        <v>38</v>
      </c>
      <c r="X739" s="2">
        <v>9</v>
      </c>
      <c r="Y739" s="2"/>
      <c r="Z739" s="2">
        <v>0</v>
      </c>
      <c r="AA739" s="2" t="s">
        <v>39</v>
      </c>
      <c r="AB739" s="2">
        <v>189</v>
      </c>
      <c r="AC739" s="2">
        <v>0</v>
      </c>
      <c r="AD739" s="2">
        <v>0</v>
      </c>
      <c r="AE739" s="2" t="s">
        <v>47</v>
      </c>
      <c r="AF739" s="3">
        <v>42849</v>
      </c>
    </row>
    <row r="740" spans="1:32" x14ac:dyDescent="0.25">
      <c r="A740" s="2" t="s">
        <v>32</v>
      </c>
      <c r="B740" s="2">
        <v>0</v>
      </c>
      <c r="C740" s="2">
        <v>0</v>
      </c>
      <c r="D740" s="2">
        <v>2017</v>
      </c>
      <c r="E740" s="2" t="s">
        <v>66</v>
      </c>
      <c r="F740" s="2">
        <v>8</v>
      </c>
      <c r="G740" s="2">
        <v>22</v>
      </c>
      <c r="H740" s="2">
        <v>0</v>
      </c>
      <c r="I740" s="2">
        <v>1</v>
      </c>
      <c r="J740" s="2">
        <v>2</v>
      </c>
      <c r="K740" s="2">
        <v>0</v>
      </c>
      <c r="L740" s="2">
        <v>0</v>
      </c>
      <c r="M740" s="2" t="s">
        <v>34</v>
      </c>
      <c r="N740" s="2" t="s">
        <v>109</v>
      </c>
      <c r="O740" s="2" t="s">
        <v>36</v>
      </c>
      <c r="P740" s="2" t="s">
        <v>36</v>
      </c>
      <c r="Q740" s="2">
        <v>0</v>
      </c>
      <c r="R740" s="2">
        <v>0</v>
      </c>
      <c r="S740" s="2">
        <v>0</v>
      </c>
      <c r="T740" s="2" t="s">
        <v>72</v>
      </c>
      <c r="U740" s="2" t="s">
        <v>72</v>
      </c>
      <c r="V740" s="2">
        <v>0</v>
      </c>
      <c r="W740" s="2" t="s">
        <v>38</v>
      </c>
      <c r="X740" s="2"/>
      <c r="Y740" s="2"/>
      <c r="Z740" s="2">
        <v>0</v>
      </c>
      <c r="AA740" s="2" t="s">
        <v>39</v>
      </c>
      <c r="AB740" s="2">
        <v>80</v>
      </c>
      <c r="AC740" s="2">
        <v>0</v>
      </c>
      <c r="AD740" s="2">
        <v>0</v>
      </c>
      <c r="AE740" s="2" t="s">
        <v>40</v>
      </c>
      <c r="AF740" s="3">
        <v>42789</v>
      </c>
    </row>
    <row r="741" spans="1:32" x14ac:dyDescent="0.25">
      <c r="A741" s="2" t="s">
        <v>41</v>
      </c>
      <c r="B741" s="2">
        <v>0</v>
      </c>
      <c r="C741" s="2">
        <v>8</v>
      </c>
      <c r="D741" s="2">
        <v>2017</v>
      </c>
      <c r="E741" s="2" t="s">
        <v>54</v>
      </c>
      <c r="F741" s="2">
        <v>15</v>
      </c>
      <c r="G741" s="2">
        <v>13</v>
      </c>
      <c r="H741" s="2">
        <v>1</v>
      </c>
      <c r="I741" s="2">
        <v>3</v>
      </c>
      <c r="J741" s="2">
        <v>2</v>
      </c>
      <c r="K741" s="2">
        <v>0</v>
      </c>
      <c r="L741" s="2">
        <v>0</v>
      </c>
      <c r="M741" s="2" t="s">
        <v>55</v>
      </c>
      <c r="N741" s="2" t="s">
        <v>63</v>
      </c>
      <c r="O741" s="2" t="s">
        <v>44</v>
      </c>
      <c r="P741" s="2" t="s">
        <v>45</v>
      </c>
      <c r="Q741" s="2">
        <v>0</v>
      </c>
      <c r="R741" s="2">
        <v>0</v>
      </c>
      <c r="S741" s="2">
        <v>0</v>
      </c>
      <c r="T741" s="2" t="s">
        <v>46</v>
      </c>
      <c r="U741" s="2" t="s">
        <v>46</v>
      </c>
      <c r="V741" s="2">
        <v>0</v>
      </c>
      <c r="W741" s="2" t="s">
        <v>38</v>
      </c>
      <c r="X741" s="2">
        <v>9</v>
      </c>
      <c r="Y741" s="2"/>
      <c r="Z741" s="2">
        <v>0</v>
      </c>
      <c r="AA741" s="2" t="s">
        <v>39</v>
      </c>
      <c r="AB741" s="2">
        <v>185.25</v>
      </c>
      <c r="AC741" s="2">
        <v>0</v>
      </c>
      <c r="AD741" s="2">
        <v>1</v>
      </c>
      <c r="AE741" s="2" t="s">
        <v>40</v>
      </c>
      <c r="AF741" s="3">
        <v>42842</v>
      </c>
    </row>
    <row r="742" spans="1:32" x14ac:dyDescent="0.25">
      <c r="A742" s="2" t="s">
        <v>41</v>
      </c>
      <c r="B742" s="2">
        <v>1</v>
      </c>
      <c r="C742" s="2">
        <v>184</v>
      </c>
      <c r="D742" s="2">
        <v>2017</v>
      </c>
      <c r="E742" s="2" t="s">
        <v>69</v>
      </c>
      <c r="F742" s="2">
        <v>22</v>
      </c>
      <c r="G742" s="2">
        <v>28</v>
      </c>
      <c r="H742" s="2">
        <v>2</v>
      </c>
      <c r="I742" s="2">
        <v>3</v>
      </c>
      <c r="J742" s="2">
        <v>2</v>
      </c>
      <c r="K742" s="2">
        <v>0</v>
      </c>
      <c r="L742" s="2">
        <v>0</v>
      </c>
      <c r="M742" s="2" t="s">
        <v>34</v>
      </c>
      <c r="N742" s="2" t="s">
        <v>43</v>
      </c>
      <c r="O742" s="2" t="s">
        <v>64</v>
      </c>
      <c r="P742" s="2" t="s">
        <v>45</v>
      </c>
      <c r="Q742" s="2">
        <v>0</v>
      </c>
      <c r="R742" s="2">
        <v>0</v>
      </c>
      <c r="S742" s="2">
        <v>0</v>
      </c>
      <c r="T742" s="2" t="s">
        <v>46</v>
      </c>
      <c r="U742" s="2" t="s">
        <v>46</v>
      </c>
      <c r="V742" s="2">
        <v>0</v>
      </c>
      <c r="W742" s="2" t="s">
        <v>68</v>
      </c>
      <c r="X742" s="2">
        <v>19</v>
      </c>
      <c r="Y742" s="2"/>
      <c r="Z742" s="2">
        <v>0</v>
      </c>
      <c r="AA742" s="2" t="s">
        <v>39</v>
      </c>
      <c r="AB742" s="2">
        <v>130</v>
      </c>
      <c r="AC742" s="2">
        <v>0</v>
      </c>
      <c r="AD742" s="2">
        <v>0</v>
      </c>
      <c r="AE742" s="2" t="s">
        <v>47</v>
      </c>
      <c r="AF742" s="3">
        <v>42699</v>
      </c>
    </row>
    <row r="743" spans="1:32" x14ac:dyDescent="0.25">
      <c r="A743" s="2" t="s">
        <v>41</v>
      </c>
      <c r="B743" s="2">
        <v>0</v>
      </c>
      <c r="C743" s="2">
        <v>36</v>
      </c>
      <c r="D743" s="2">
        <v>2017</v>
      </c>
      <c r="E743" s="2" t="s">
        <v>52</v>
      </c>
      <c r="F743" s="2">
        <v>11</v>
      </c>
      <c r="G743" s="2">
        <v>14</v>
      </c>
      <c r="H743" s="2">
        <v>0</v>
      </c>
      <c r="I743" s="2">
        <v>4</v>
      </c>
      <c r="J743" s="2">
        <v>2</v>
      </c>
      <c r="K743" s="2">
        <v>0</v>
      </c>
      <c r="L743" s="2">
        <v>0</v>
      </c>
      <c r="M743" s="2" t="s">
        <v>34</v>
      </c>
      <c r="N743" s="2" t="s">
        <v>70</v>
      </c>
      <c r="O743" s="2" t="s">
        <v>44</v>
      </c>
      <c r="P743" s="2" t="s">
        <v>45</v>
      </c>
      <c r="Q743" s="2">
        <v>0</v>
      </c>
      <c r="R743" s="2">
        <v>0</v>
      </c>
      <c r="S743" s="2">
        <v>0</v>
      </c>
      <c r="T743" s="2" t="s">
        <v>57</v>
      </c>
      <c r="U743" s="2" t="s">
        <v>57</v>
      </c>
      <c r="V743" s="2">
        <v>0</v>
      </c>
      <c r="W743" s="2" t="s">
        <v>38</v>
      </c>
      <c r="X743" s="2">
        <v>9</v>
      </c>
      <c r="Y743" s="2"/>
      <c r="Z743" s="2">
        <v>0</v>
      </c>
      <c r="AA743" s="2" t="s">
        <v>39</v>
      </c>
      <c r="AB743" s="2">
        <v>106.68</v>
      </c>
      <c r="AC743" s="2">
        <v>0</v>
      </c>
      <c r="AD743" s="2">
        <v>0</v>
      </c>
      <c r="AE743" s="2" t="s">
        <v>40</v>
      </c>
      <c r="AF743" s="3">
        <v>42812</v>
      </c>
    </row>
    <row r="744" spans="1:32" x14ac:dyDescent="0.25">
      <c r="A744" s="2" t="s">
        <v>41</v>
      </c>
      <c r="B744" s="2">
        <v>1</v>
      </c>
      <c r="C744" s="2">
        <v>135</v>
      </c>
      <c r="D744" s="2">
        <v>2017</v>
      </c>
      <c r="E744" s="2" t="s">
        <v>83</v>
      </c>
      <c r="F744" s="2">
        <v>26</v>
      </c>
      <c r="G744" s="2">
        <v>30</v>
      </c>
      <c r="H744" s="2">
        <v>0</v>
      </c>
      <c r="I744" s="2">
        <v>1</v>
      </c>
      <c r="J744" s="2">
        <v>2</v>
      </c>
      <c r="K744" s="2">
        <v>0</v>
      </c>
      <c r="L744" s="2">
        <v>0</v>
      </c>
      <c r="M744" s="2" t="s">
        <v>34</v>
      </c>
      <c r="N744" s="2" t="s">
        <v>43</v>
      </c>
      <c r="O744" s="2" t="s">
        <v>64</v>
      </c>
      <c r="P744" s="2" t="s">
        <v>45</v>
      </c>
      <c r="Q744" s="2">
        <v>0</v>
      </c>
      <c r="R744" s="2">
        <v>0</v>
      </c>
      <c r="S744" s="2">
        <v>0</v>
      </c>
      <c r="T744" s="2" t="s">
        <v>46</v>
      </c>
      <c r="U744" s="2" t="s">
        <v>46</v>
      </c>
      <c r="V744" s="2">
        <v>0</v>
      </c>
      <c r="W744" s="2" t="s">
        <v>68</v>
      </c>
      <c r="X744" s="2">
        <v>30</v>
      </c>
      <c r="Y744" s="2"/>
      <c r="Z744" s="2">
        <v>0</v>
      </c>
      <c r="AA744" s="2" t="s">
        <v>39</v>
      </c>
      <c r="AB744" s="2">
        <v>130</v>
      </c>
      <c r="AC744" s="2">
        <v>0</v>
      </c>
      <c r="AD744" s="2">
        <v>0</v>
      </c>
      <c r="AE744" s="2" t="s">
        <v>47</v>
      </c>
      <c r="AF744" s="3">
        <v>42781</v>
      </c>
    </row>
    <row r="745" spans="1:32" x14ac:dyDescent="0.25">
      <c r="A745" s="2" t="s">
        <v>41</v>
      </c>
      <c r="B745" s="2">
        <v>0</v>
      </c>
      <c r="C745" s="2">
        <v>25</v>
      </c>
      <c r="D745" s="2">
        <v>2017</v>
      </c>
      <c r="E745" s="2" t="s">
        <v>74</v>
      </c>
      <c r="F745" s="2">
        <v>1</v>
      </c>
      <c r="G745" s="2">
        <v>6</v>
      </c>
      <c r="H745" s="2">
        <v>0</v>
      </c>
      <c r="I745" s="2">
        <v>2</v>
      </c>
      <c r="J745" s="2">
        <v>2</v>
      </c>
      <c r="K745" s="2">
        <v>0</v>
      </c>
      <c r="L745" s="2">
        <v>0</v>
      </c>
      <c r="M745" s="2" t="s">
        <v>34</v>
      </c>
      <c r="N745" s="2" t="s">
        <v>35</v>
      </c>
      <c r="O745" s="2" t="s">
        <v>36</v>
      </c>
      <c r="P745" s="2" t="s">
        <v>36</v>
      </c>
      <c r="Q745" s="2">
        <v>0</v>
      </c>
      <c r="R745" s="2">
        <v>0</v>
      </c>
      <c r="S745" s="2">
        <v>0</v>
      </c>
      <c r="T745" s="2" t="s">
        <v>84</v>
      </c>
      <c r="U745" s="2" t="s">
        <v>84</v>
      </c>
      <c r="V745" s="2">
        <v>0</v>
      </c>
      <c r="W745" s="2" t="s">
        <v>38</v>
      </c>
      <c r="X745" s="2">
        <v>14</v>
      </c>
      <c r="Y745" s="2"/>
      <c r="Z745" s="2">
        <v>0</v>
      </c>
      <c r="AA745" s="2" t="s">
        <v>39</v>
      </c>
      <c r="AB745" s="2">
        <v>198</v>
      </c>
      <c r="AC745" s="2">
        <v>0</v>
      </c>
      <c r="AD745" s="2">
        <v>0</v>
      </c>
      <c r="AE745" s="2" t="s">
        <v>40</v>
      </c>
      <c r="AF745" s="3">
        <v>42743</v>
      </c>
    </row>
    <row r="746" spans="1:32" x14ac:dyDescent="0.25">
      <c r="A746" s="2" t="s">
        <v>41</v>
      </c>
      <c r="B746" s="2">
        <v>0</v>
      </c>
      <c r="C746" s="2">
        <v>248</v>
      </c>
      <c r="D746" s="2">
        <v>2017</v>
      </c>
      <c r="E746" s="2" t="s">
        <v>54</v>
      </c>
      <c r="F746" s="2">
        <v>15</v>
      </c>
      <c r="G746" s="2">
        <v>9</v>
      </c>
      <c r="H746" s="2">
        <v>2</v>
      </c>
      <c r="I746" s="2">
        <v>0</v>
      </c>
      <c r="J746" s="2">
        <v>2</v>
      </c>
      <c r="K746" s="2">
        <v>0</v>
      </c>
      <c r="L746" s="2">
        <v>0</v>
      </c>
      <c r="M746" s="2" t="s">
        <v>34</v>
      </c>
      <c r="N746" s="2" t="s">
        <v>56</v>
      </c>
      <c r="O746" s="2" t="s">
        <v>64</v>
      </c>
      <c r="P746" s="2" t="s">
        <v>45</v>
      </c>
      <c r="Q746" s="2">
        <v>0</v>
      </c>
      <c r="R746" s="2">
        <v>0</v>
      </c>
      <c r="S746" s="2">
        <v>0</v>
      </c>
      <c r="T746" s="2" t="s">
        <v>46</v>
      </c>
      <c r="U746" s="2" t="s">
        <v>46</v>
      </c>
      <c r="V746" s="2">
        <v>0</v>
      </c>
      <c r="W746" s="2" t="s">
        <v>38</v>
      </c>
      <c r="X746" s="2">
        <v>58</v>
      </c>
      <c r="Y746" s="2"/>
      <c r="Z746" s="2">
        <v>0</v>
      </c>
      <c r="AA746" s="2" t="s">
        <v>51</v>
      </c>
      <c r="AB746" s="2">
        <v>80</v>
      </c>
      <c r="AC746" s="2">
        <v>0</v>
      </c>
      <c r="AD746" s="2">
        <v>1</v>
      </c>
      <c r="AE746" s="2" t="s">
        <v>40</v>
      </c>
      <c r="AF746" s="3">
        <v>42836</v>
      </c>
    </row>
    <row r="747" spans="1:32" x14ac:dyDescent="0.25">
      <c r="A747" s="2" t="s">
        <v>41</v>
      </c>
      <c r="B747" s="2">
        <v>0</v>
      </c>
      <c r="C747" s="2">
        <v>0</v>
      </c>
      <c r="D747" s="2">
        <v>2017</v>
      </c>
      <c r="E747" s="2" t="s">
        <v>52</v>
      </c>
      <c r="F747" s="2">
        <v>12</v>
      </c>
      <c r="G747" s="2">
        <v>24</v>
      </c>
      <c r="H747" s="2">
        <v>0</v>
      </c>
      <c r="I747" s="2">
        <v>0</v>
      </c>
      <c r="J747" s="2">
        <v>0</v>
      </c>
      <c r="K747" s="2">
        <v>0</v>
      </c>
      <c r="L747" s="2">
        <v>0</v>
      </c>
      <c r="M747" s="2" t="s">
        <v>34</v>
      </c>
      <c r="N747" s="2" t="s">
        <v>43</v>
      </c>
      <c r="O747" s="2" t="s">
        <v>44</v>
      </c>
      <c r="P747" s="2" t="s">
        <v>45</v>
      </c>
      <c r="Q747" s="2">
        <v>1</v>
      </c>
      <c r="R747" s="2">
        <v>0</v>
      </c>
      <c r="S747" s="2">
        <v>0</v>
      </c>
      <c r="T747" s="2" t="s">
        <v>46</v>
      </c>
      <c r="U747" s="2" t="s">
        <v>84</v>
      </c>
      <c r="V747" s="2">
        <v>0</v>
      </c>
      <c r="W747" s="2" t="s">
        <v>38</v>
      </c>
      <c r="X747" s="2">
        <v>86</v>
      </c>
      <c r="Y747" s="2"/>
      <c r="Z747" s="2">
        <v>0</v>
      </c>
      <c r="AA747" s="2" t="s">
        <v>39</v>
      </c>
      <c r="AB747" s="2">
        <v>0</v>
      </c>
      <c r="AC747" s="2">
        <v>0</v>
      </c>
      <c r="AD747" s="2">
        <v>0</v>
      </c>
      <c r="AE747" s="2" t="s">
        <v>40</v>
      </c>
      <c r="AF747" s="3">
        <v>42818</v>
      </c>
    </row>
    <row r="748" spans="1:32" x14ac:dyDescent="0.25">
      <c r="A748" s="2" t="s">
        <v>41</v>
      </c>
      <c r="B748" s="2">
        <v>0</v>
      </c>
      <c r="C748" s="2">
        <v>61</v>
      </c>
      <c r="D748" s="2">
        <v>2017</v>
      </c>
      <c r="E748" s="2" t="s">
        <v>74</v>
      </c>
      <c r="F748" s="2">
        <v>2</v>
      </c>
      <c r="G748" s="2">
        <v>8</v>
      </c>
      <c r="H748" s="2">
        <v>2</v>
      </c>
      <c r="I748" s="2">
        <v>3</v>
      </c>
      <c r="J748" s="2">
        <v>2</v>
      </c>
      <c r="K748" s="2">
        <v>0</v>
      </c>
      <c r="L748" s="2">
        <v>0</v>
      </c>
      <c r="M748" s="2" t="s">
        <v>34</v>
      </c>
      <c r="N748" s="2" t="s">
        <v>56</v>
      </c>
      <c r="O748" s="2" t="s">
        <v>49</v>
      </c>
      <c r="P748" s="2" t="s">
        <v>45</v>
      </c>
      <c r="Q748" s="2">
        <v>0</v>
      </c>
      <c r="R748" s="2">
        <v>0</v>
      </c>
      <c r="S748" s="2">
        <v>0</v>
      </c>
      <c r="T748" s="2" t="s">
        <v>46</v>
      </c>
      <c r="U748" s="2" t="s">
        <v>46</v>
      </c>
      <c r="V748" s="2">
        <v>0</v>
      </c>
      <c r="W748" s="2" t="s">
        <v>38</v>
      </c>
      <c r="X748" s="2">
        <v>27</v>
      </c>
      <c r="Y748" s="2"/>
      <c r="Z748" s="2">
        <v>0</v>
      </c>
      <c r="AA748" s="2" t="s">
        <v>39</v>
      </c>
      <c r="AB748" s="2">
        <v>72</v>
      </c>
      <c r="AC748" s="2">
        <v>0</v>
      </c>
      <c r="AD748" s="2">
        <v>0</v>
      </c>
      <c r="AE748" s="2" t="s">
        <v>40</v>
      </c>
      <c r="AF748" s="3">
        <v>42748</v>
      </c>
    </row>
    <row r="749" spans="1:32" x14ac:dyDescent="0.25">
      <c r="A749" s="2" t="s">
        <v>41</v>
      </c>
      <c r="B749" s="2">
        <v>1</v>
      </c>
      <c r="C749" s="2">
        <v>96</v>
      </c>
      <c r="D749" s="2">
        <v>2017</v>
      </c>
      <c r="E749" s="2" t="s">
        <v>54</v>
      </c>
      <c r="F749" s="2">
        <v>17</v>
      </c>
      <c r="G749" s="2">
        <v>26</v>
      </c>
      <c r="H749" s="2">
        <v>0</v>
      </c>
      <c r="I749" s="2">
        <v>2</v>
      </c>
      <c r="J749" s="2">
        <v>2</v>
      </c>
      <c r="K749" s="2">
        <v>0</v>
      </c>
      <c r="L749" s="2">
        <v>0</v>
      </c>
      <c r="M749" s="2" t="s">
        <v>34</v>
      </c>
      <c r="N749" s="2" t="s">
        <v>43</v>
      </c>
      <c r="O749" s="2" t="s">
        <v>64</v>
      </c>
      <c r="P749" s="2" t="s">
        <v>45</v>
      </c>
      <c r="Q749" s="2">
        <v>0</v>
      </c>
      <c r="R749" s="2">
        <v>0</v>
      </c>
      <c r="S749" s="2">
        <v>0</v>
      </c>
      <c r="T749" s="2" t="s">
        <v>46</v>
      </c>
      <c r="U749" s="2" t="s">
        <v>46</v>
      </c>
      <c r="V749" s="2">
        <v>0</v>
      </c>
      <c r="W749" s="2" t="s">
        <v>68</v>
      </c>
      <c r="X749" s="2">
        <v>29</v>
      </c>
      <c r="Y749" s="2"/>
      <c r="Z749" s="2">
        <v>0</v>
      </c>
      <c r="AA749" s="2" t="s">
        <v>39</v>
      </c>
      <c r="AB749" s="2">
        <v>130</v>
      </c>
      <c r="AC749" s="2">
        <v>0</v>
      </c>
      <c r="AD749" s="2">
        <v>0</v>
      </c>
      <c r="AE749" s="2" t="s">
        <v>47</v>
      </c>
      <c r="AF749" s="3">
        <v>42755</v>
      </c>
    </row>
    <row r="750" spans="1:32" x14ac:dyDescent="0.25">
      <c r="A750" s="2" t="s">
        <v>41</v>
      </c>
      <c r="B750" s="2">
        <v>0</v>
      </c>
      <c r="C750" s="2">
        <v>19</v>
      </c>
      <c r="D750" s="2">
        <v>2017</v>
      </c>
      <c r="E750" s="2" t="s">
        <v>69</v>
      </c>
      <c r="F750" s="2">
        <v>19</v>
      </c>
      <c r="G750" s="2">
        <v>12</v>
      </c>
      <c r="H750" s="2">
        <v>2</v>
      </c>
      <c r="I750" s="2">
        <v>5</v>
      </c>
      <c r="J750" s="2">
        <v>2</v>
      </c>
      <c r="K750" s="2">
        <v>0</v>
      </c>
      <c r="L750" s="2">
        <v>0</v>
      </c>
      <c r="M750" s="2" t="s">
        <v>34</v>
      </c>
      <c r="N750" s="2" t="s">
        <v>56</v>
      </c>
      <c r="O750" s="2" t="s">
        <v>44</v>
      </c>
      <c r="P750" s="2" t="s">
        <v>45</v>
      </c>
      <c r="Q750" s="2">
        <v>0</v>
      </c>
      <c r="R750" s="2">
        <v>0</v>
      </c>
      <c r="S750" s="2">
        <v>0</v>
      </c>
      <c r="T750" s="2" t="s">
        <v>57</v>
      </c>
      <c r="U750" s="2" t="s">
        <v>57</v>
      </c>
      <c r="V750" s="2">
        <v>0</v>
      </c>
      <c r="W750" s="2" t="s">
        <v>38</v>
      </c>
      <c r="X750" s="2">
        <v>9</v>
      </c>
      <c r="Y750" s="2"/>
      <c r="Z750" s="2">
        <v>0</v>
      </c>
      <c r="AA750" s="2" t="s">
        <v>39</v>
      </c>
      <c r="AB750" s="2">
        <v>184.29</v>
      </c>
      <c r="AC750" s="2">
        <v>0</v>
      </c>
      <c r="AD750" s="2">
        <v>1</v>
      </c>
      <c r="AE750" s="2" t="s">
        <v>40</v>
      </c>
      <c r="AF750" s="3">
        <v>42874</v>
      </c>
    </row>
    <row r="751" spans="1:32" x14ac:dyDescent="0.25">
      <c r="A751" s="2" t="s">
        <v>41</v>
      </c>
      <c r="B751" s="2">
        <v>0</v>
      </c>
      <c r="C751" s="2">
        <v>1</v>
      </c>
      <c r="D751" s="2">
        <v>2017</v>
      </c>
      <c r="E751" s="2" t="s">
        <v>66</v>
      </c>
      <c r="F751" s="2">
        <v>9</v>
      </c>
      <c r="G751" s="2">
        <v>26</v>
      </c>
      <c r="H751" s="2">
        <v>2</v>
      </c>
      <c r="I751" s="2">
        <v>0</v>
      </c>
      <c r="J751" s="2">
        <v>2</v>
      </c>
      <c r="K751" s="2">
        <v>1</v>
      </c>
      <c r="L751" s="2">
        <v>0</v>
      </c>
      <c r="M751" s="2" t="s">
        <v>34</v>
      </c>
      <c r="N751" s="2" t="s">
        <v>63</v>
      </c>
      <c r="O751" s="2" t="s">
        <v>36</v>
      </c>
      <c r="P751" s="2" t="s">
        <v>36</v>
      </c>
      <c r="Q751" s="2">
        <v>0</v>
      </c>
      <c r="R751" s="2">
        <v>0</v>
      </c>
      <c r="S751" s="2">
        <v>0</v>
      </c>
      <c r="T751" s="2" t="s">
        <v>46</v>
      </c>
      <c r="U751" s="2" t="s">
        <v>46</v>
      </c>
      <c r="V751" s="2">
        <v>1</v>
      </c>
      <c r="W751" s="2" t="s">
        <v>38</v>
      </c>
      <c r="X751" s="2">
        <v>14</v>
      </c>
      <c r="Y751" s="2"/>
      <c r="Z751" s="2">
        <v>0</v>
      </c>
      <c r="AA751" s="2" t="s">
        <v>39</v>
      </c>
      <c r="AB751" s="2">
        <v>123</v>
      </c>
      <c r="AC751" s="2">
        <v>0</v>
      </c>
      <c r="AD751" s="2">
        <v>1</v>
      </c>
      <c r="AE751" s="2" t="s">
        <v>40</v>
      </c>
      <c r="AF751" s="3">
        <v>42794</v>
      </c>
    </row>
    <row r="752" spans="1:32" x14ac:dyDescent="0.25">
      <c r="A752" s="2" t="s">
        <v>41</v>
      </c>
      <c r="B752" s="2">
        <v>1</v>
      </c>
      <c r="C752" s="2">
        <v>59</v>
      </c>
      <c r="D752" s="2">
        <v>2017</v>
      </c>
      <c r="E752" s="2" t="s">
        <v>74</v>
      </c>
      <c r="F752" s="2">
        <v>4</v>
      </c>
      <c r="G752" s="2">
        <v>23</v>
      </c>
      <c r="H752" s="2">
        <v>1</v>
      </c>
      <c r="I752" s="2">
        <v>1</v>
      </c>
      <c r="J752" s="2">
        <v>2</v>
      </c>
      <c r="K752" s="2">
        <v>0</v>
      </c>
      <c r="L752" s="2">
        <v>0</v>
      </c>
      <c r="M752" s="2" t="s">
        <v>34</v>
      </c>
      <c r="N752" s="2" t="s">
        <v>43</v>
      </c>
      <c r="O752" s="2" t="s">
        <v>64</v>
      </c>
      <c r="P752" s="2" t="s">
        <v>45</v>
      </c>
      <c r="Q752" s="2">
        <v>0</v>
      </c>
      <c r="R752" s="2">
        <v>0</v>
      </c>
      <c r="S752" s="2">
        <v>0</v>
      </c>
      <c r="T752" s="2" t="s">
        <v>46</v>
      </c>
      <c r="U752" s="2" t="s">
        <v>46</v>
      </c>
      <c r="V752" s="2">
        <v>0</v>
      </c>
      <c r="W752" s="2" t="s">
        <v>68</v>
      </c>
      <c r="X752" s="2">
        <v>326</v>
      </c>
      <c r="Y752" s="2"/>
      <c r="Z752" s="2">
        <v>0</v>
      </c>
      <c r="AA752" s="2" t="s">
        <v>39</v>
      </c>
      <c r="AB752" s="2">
        <v>80</v>
      </c>
      <c r="AC752" s="2">
        <v>0</v>
      </c>
      <c r="AD752" s="2">
        <v>0</v>
      </c>
      <c r="AE752" s="2" t="s">
        <v>47</v>
      </c>
      <c r="AF752" s="3">
        <v>42699</v>
      </c>
    </row>
    <row r="753" spans="1:32" x14ac:dyDescent="0.25">
      <c r="A753" s="2" t="s">
        <v>32</v>
      </c>
      <c r="B753" s="2">
        <v>0</v>
      </c>
      <c r="C753" s="2">
        <v>50</v>
      </c>
      <c r="D753" s="2">
        <v>2017</v>
      </c>
      <c r="E753" s="2" t="s">
        <v>66</v>
      </c>
      <c r="F753" s="2">
        <v>8</v>
      </c>
      <c r="G753" s="2">
        <v>25</v>
      </c>
      <c r="H753" s="2">
        <v>2</v>
      </c>
      <c r="I753" s="2">
        <v>1</v>
      </c>
      <c r="J753" s="2">
        <v>2</v>
      </c>
      <c r="K753" s="2">
        <v>0</v>
      </c>
      <c r="L753" s="2">
        <v>1</v>
      </c>
      <c r="M753" s="2" t="s">
        <v>34</v>
      </c>
      <c r="N753" s="2" t="s">
        <v>43</v>
      </c>
      <c r="O753" s="2" t="s">
        <v>36</v>
      </c>
      <c r="P753" s="2" t="s">
        <v>36</v>
      </c>
      <c r="Q753" s="2">
        <v>0</v>
      </c>
      <c r="R753" s="2">
        <v>0</v>
      </c>
      <c r="S753" s="2">
        <v>0</v>
      </c>
      <c r="T753" s="2" t="s">
        <v>46</v>
      </c>
      <c r="U753" s="2" t="s">
        <v>46</v>
      </c>
      <c r="V753" s="2">
        <v>2</v>
      </c>
      <c r="W753" s="2" t="s">
        <v>38</v>
      </c>
      <c r="X753" s="2">
        <v>250</v>
      </c>
      <c r="Y753" s="2"/>
      <c r="Z753" s="2">
        <v>0</v>
      </c>
      <c r="AA753" s="2" t="s">
        <v>39</v>
      </c>
      <c r="AB753" s="2">
        <v>39.6</v>
      </c>
      <c r="AC753" s="2">
        <v>0</v>
      </c>
      <c r="AD753" s="2">
        <v>1</v>
      </c>
      <c r="AE753" s="2" t="s">
        <v>40</v>
      </c>
      <c r="AF753" s="3">
        <v>42794</v>
      </c>
    </row>
    <row r="754" spans="1:32" x14ac:dyDescent="0.25">
      <c r="A754" s="2" t="s">
        <v>41</v>
      </c>
      <c r="B754" s="2">
        <v>0</v>
      </c>
      <c r="C754" s="2">
        <v>25</v>
      </c>
      <c r="D754" s="2">
        <v>2017</v>
      </c>
      <c r="E754" s="2" t="s">
        <v>67</v>
      </c>
      <c r="F754" s="2">
        <v>33</v>
      </c>
      <c r="G754" s="2">
        <v>14</v>
      </c>
      <c r="H754" s="2">
        <v>1</v>
      </c>
      <c r="I754" s="2">
        <v>2</v>
      </c>
      <c r="J754" s="2">
        <v>2</v>
      </c>
      <c r="K754" s="2">
        <v>0</v>
      </c>
      <c r="L754" s="2">
        <v>0</v>
      </c>
      <c r="M754" s="2" t="s">
        <v>55</v>
      </c>
      <c r="N754" s="2" t="s">
        <v>70</v>
      </c>
      <c r="O754" s="2" t="s">
        <v>44</v>
      </c>
      <c r="P754" s="2" t="s">
        <v>45</v>
      </c>
      <c r="Q754" s="2">
        <v>0</v>
      </c>
      <c r="R754" s="2">
        <v>0</v>
      </c>
      <c r="S754" s="2">
        <v>0</v>
      </c>
      <c r="T754" s="2" t="s">
        <v>46</v>
      </c>
      <c r="U754" s="2" t="s">
        <v>46</v>
      </c>
      <c r="V754" s="2">
        <v>0</v>
      </c>
      <c r="W754" s="2" t="s">
        <v>38</v>
      </c>
      <c r="X754" s="2">
        <v>9</v>
      </c>
      <c r="Y754" s="2"/>
      <c r="Z754" s="2">
        <v>0</v>
      </c>
      <c r="AA754" s="2" t="s">
        <v>39</v>
      </c>
      <c r="AB754" s="2">
        <v>169</v>
      </c>
      <c r="AC754" s="2">
        <v>0</v>
      </c>
      <c r="AD754" s="2">
        <v>1</v>
      </c>
      <c r="AE754" s="2" t="s">
        <v>40</v>
      </c>
      <c r="AF754" s="3">
        <v>42964</v>
      </c>
    </row>
    <row r="755" spans="1:32" x14ac:dyDescent="0.25">
      <c r="A755" s="2" t="s">
        <v>41</v>
      </c>
      <c r="B755" s="2">
        <v>1</v>
      </c>
      <c r="C755" s="2">
        <v>153</v>
      </c>
      <c r="D755" s="2">
        <v>2017</v>
      </c>
      <c r="E755" s="2" t="s">
        <v>42</v>
      </c>
      <c r="F755" s="2">
        <v>28</v>
      </c>
      <c r="G755" s="2">
        <v>9</v>
      </c>
      <c r="H755" s="2">
        <v>1</v>
      </c>
      <c r="I755" s="2">
        <v>0</v>
      </c>
      <c r="J755" s="2">
        <v>2</v>
      </c>
      <c r="K755" s="2">
        <v>0</v>
      </c>
      <c r="L755" s="2">
        <v>0</v>
      </c>
      <c r="M755" s="2" t="s">
        <v>55</v>
      </c>
      <c r="N755" s="2" t="s">
        <v>71</v>
      </c>
      <c r="O755" s="2" t="s">
        <v>44</v>
      </c>
      <c r="P755" s="2" t="s">
        <v>45</v>
      </c>
      <c r="Q755" s="2">
        <v>0</v>
      </c>
      <c r="R755" s="2">
        <v>0</v>
      </c>
      <c r="S755" s="2">
        <v>0</v>
      </c>
      <c r="T755" s="2" t="s">
        <v>46</v>
      </c>
      <c r="U755" s="2" t="s">
        <v>46</v>
      </c>
      <c r="V755" s="2">
        <v>0</v>
      </c>
      <c r="W755" s="2" t="s">
        <v>38</v>
      </c>
      <c r="X755" s="2">
        <v>9</v>
      </c>
      <c r="Y755" s="2"/>
      <c r="Z755" s="2">
        <v>0</v>
      </c>
      <c r="AA755" s="2" t="s">
        <v>39</v>
      </c>
      <c r="AB755" s="2">
        <v>89.1</v>
      </c>
      <c r="AC755" s="2">
        <v>0</v>
      </c>
      <c r="AD755" s="2">
        <v>0</v>
      </c>
      <c r="AE755" s="2" t="s">
        <v>47</v>
      </c>
      <c r="AF755" s="3">
        <v>42872</v>
      </c>
    </row>
    <row r="756" spans="1:32" x14ac:dyDescent="0.25">
      <c r="A756" s="2" t="s">
        <v>41</v>
      </c>
      <c r="B756" s="2">
        <v>0</v>
      </c>
      <c r="C756" s="2">
        <v>104</v>
      </c>
      <c r="D756" s="2">
        <v>2017</v>
      </c>
      <c r="E756" s="2" t="s">
        <v>52</v>
      </c>
      <c r="F756" s="2">
        <v>12</v>
      </c>
      <c r="G756" s="2">
        <v>19</v>
      </c>
      <c r="H756" s="2">
        <v>2</v>
      </c>
      <c r="I756" s="2">
        <v>5</v>
      </c>
      <c r="J756" s="2">
        <v>1</v>
      </c>
      <c r="K756" s="2">
        <v>0</v>
      </c>
      <c r="L756" s="2">
        <v>0</v>
      </c>
      <c r="M756" s="2" t="s">
        <v>34</v>
      </c>
      <c r="N756" s="2" t="s">
        <v>70</v>
      </c>
      <c r="O756" s="2" t="s">
        <v>49</v>
      </c>
      <c r="P756" s="2" t="s">
        <v>45</v>
      </c>
      <c r="Q756" s="2">
        <v>0</v>
      </c>
      <c r="R756" s="2">
        <v>0</v>
      </c>
      <c r="S756" s="2">
        <v>0</v>
      </c>
      <c r="T756" s="2" t="s">
        <v>46</v>
      </c>
      <c r="U756" s="2" t="s">
        <v>46</v>
      </c>
      <c r="V756" s="2">
        <v>1</v>
      </c>
      <c r="W756" s="2" t="s">
        <v>38</v>
      </c>
      <c r="X756" s="2">
        <v>20</v>
      </c>
      <c r="Y756" s="2"/>
      <c r="Z756" s="2">
        <v>0</v>
      </c>
      <c r="AA756" s="2" t="s">
        <v>51</v>
      </c>
      <c r="AB756" s="2">
        <v>65</v>
      </c>
      <c r="AC756" s="2">
        <v>0</v>
      </c>
      <c r="AD756" s="2">
        <v>0</v>
      </c>
      <c r="AE756" s="2" t="s">
        <v>40</v>
      </c>
      <c r="AF756" s="3">
        <v>42820</v>
      </c>
    </row>
    <row r="757" spans="1:32" x14ac:dyDescent="0.25">
      <c r="A757" s="2" t="s">
        <v>41</v>
      </c>
      <c r="B757" s="2">
        <v>0</v>
      </c>
      <c r="C757" s="2">
        <v>69</v>
      </c>
      <c r="D757" s="2">
        <v>2017</v>
      </c>
      <c r="E757" s="2" t="s">
        <v>54</v>
      </c>
      <c r="F757" s="2">
        <v>14</v>
      </c>
      <c r="G757" s="2">
        <v>7</v>
      </c>
      <c r="H757" s="2">
        <v>0</v>
      </c>
      <c r="I757" s="2">
        <v>2</v>
      </c>
      <c r="J757" s="2">
        <v>3</v>
      </c>
      <c r="K757" s="2">
        <v>0</v>
      </c>
      <c r="L757" s="2">
        <v>0</v>
      </c>
      <c r="M757" s="2" t="s">
        <v>34</v>
      </c>
      <c r="N757" s="2" t="s">
        <v>103</v>
      </c>
      <c r="O757" s="2" t="s">
        <v>44</v>
      </c>
      <c r="P757" s="2" t="s">
        <v>45</v>
      </c>
      <c r="Q757" s="2">
        <v>0</v>
      </c>
      <c r="R757" s="2">
        <v>0</v>
      </c>
      <c r="S757" s="2">
        <v>0</v>
      </c>
      <c r="T757" s="2" t="s">
        <v>57</v>
      </c>
      <c r="U757" s="2" t="s">
        <v>57</v>
      </c>
      <c r="V757" s="2">
        <v>0</v>
      </c>
      <c r="W757" s="2" t="s">
        <v>38</v>
      </c>
      <c r="X757" s="2">
        <v>9</v>
      </c>
      <c r="Y757" s="2"/>
      <c r="Z757" s="2">
        <v>0</v>
      </c>
      <c r="AA757" s="2" t="s">
        <v>39</v>
      </c>
      <c r="AB757" s="2">
        <v>162</v>
      </c>
      <c r="AC757" s="2">
        <v>0</v>
      </c>
      <c r="AD757" s="2">
        <v>1</v>
      </c>
      <c r="AE757" s="2" t="s">
        <v>40</v>
      </c>
      <c r="AF757" s="3">
        <v>42834</v>
      </c>
    </row>
    <row r="758" spans="1:32" x14ac:dyDescent="0.25">
      <c r="A758" s="2" t="s">
        <v>41</v>
      </c>
      <c r="B758" s="2">
        <v>0</v>
      </c>
      <c r="C758" s="2">
        <v>3</v>
      </c>
      <c r="D758" s="2">
        <v>2017</v>
      </c>
      <c r="E758" s="2" t="s">
        <v>74</v>
      </c>
      <c r="F758" s="2">
        <v>4</v>
      </c>
      <c r="G758" s="2">
        <v>24</v>
      </c>
      <c r="H758" s="2">
        <v>0</v>
      </c>
      <c r="I758" s="2">
        <v>1</v>
      </c>
      <c r="J758" s="2">
        <v>1</v>
      </c>
      <c r="K758" s="2">
        <v>0</v>
      </c>
      <c r="L758" s="2">
        <v>0</v>
      </c>
      <c r="M758" s="2" t="s">
        <v>55</v>
      </c>
      <c r="N758" s="2" t="s">
        <v>43</v>
      </c>
      <c r="O758" s="2" t="s">
        <v>44</v>
      </c>
      <c r="P758" s="2" t="s">
        <v>45</v>
      </c>
      <c r="Q758" s="2">
        <v>0</v>
      </c>
      <c r="R758" s="2">
        <v>0</v>
      </c>
      <c r="S758" s="2">
        <v>0</v>
      </c>
      <c r="T758" s="2" t="s">
        <v>46</v>
      </c>
      <c r="U758" s="2" t="s">
        <v>46</v>
      </c>
      <c r="V758" s="2">
        <v>0</v>
      </c>
      <c r="W758" s="2" t="s">
        <v>38</v>
      </c>
      <c r="X758" s="2">
        <v>9</v>
      </c>
      <c r="Y758" s="2"/>
      <c r="Z758" s="2">
        <v>0</v>
      </c>
      <c r="AA758" s="2" t="s">
        <v>39</v>
      </c>
      <c r="AB758" s="2">
        <v>88</v>
      </c>
      <c r="AC758" s="2">
        <v>0</v>
      </c>
      <c r="AD758" s="2">
        <v>0</v>
      </c>
      <c r="AE758" s="2" t="s">
        <v>40</v>
      </c>
      <c r="AF758" s="3">
        <v>42760</v>
      </c>
    </row>
    <row r="759" spans="1:32" x14ac:dyDescent="0.25">
      <c r="A759" s="2" t="s">
        <v>32</v>
      </c>
      <c r="B759" s="2">
        <v>1</v>
      </c>
      <c r="C759" s="2">
        <v>2</v>
      </c>
      <c r="D759" s="2">
        <v>2017</v>
      </c>
      <c r="E759" s="2" t="s">
        <v>66</v>
      </c>
      <c r="F759" s="2">
        <v>9</v>
      </c>
      <c r="G759" s="2">
        <v>27</v>
      </c>
      <c r="H759" s="2">
        <v>1</v>
      </c>
      <c r="I759" s="2">
        <v>0</v>
      </c>
      <c r="J759" s="2">
        <v>2</v>
      </c>
      <c r="K759" s="2">
        <v>0</v>
      </c>
      <c r="L759" s="2">
        <v>0</v>
      </c>
      <c r="M759" s="2" t="s">
        <v>60</v>
      </c>
      <c r="N759" s="2" t="s">
        <v>63</v>
      </c>
      <c r="O759" s="2" t="s">
        <v>44</v>
      </c>
      <c r="P759" s="2" t="s">
        <v>45</v>
      </c>
      <c r="Q759" s="2">
        <v>0</v>
      </c>
      <c r="R759" s="2">
        <v>0</v>
      </c>
      <c r="S759" s="2">
        <v>0</v>
      </c>
      <c r="T759" s="2" t="s">
        <v>46</v>
      </c>
      <c r="U759" s="2" t="s">
        <v>46</v>
      </c>
      <c r="V759" s="2">
        <v>0</v>
      </c>
      <c r="W759" s="2" t="s">
        <v>38</v>
      </c>
      <c r="X759" s="2">
        <v>240</v>
      </c>
      <c r="Y759" s="2"/>
      <c r="Z759" s="2">
        <v>0</v>
      </c>
      <c r="AA759" s="2" t="s">
        <v>39</v>
      </c>
      <c r="AB759" s="2">
        <v>92</v>
      </c>
      <c r="AC759" s="2">
        <v>0</v>
      </c>
      <c r="AD759" s="2">
        <v>1</v>
      </c>
      <c r="AE759" s="2" t="s">
        <v>47</v>
      </c>
      <c r="AF759" s="3">
        <v>42792</v>
      </c>
    </row>
    <row r="760" spans="1:32" x14ac:dyDescent="0.25">
      <c r="A760" s="2" t="s">
        <v>41</v>
      </c>
      <c r="B760" s="2">
        <v>0</v>
      </c>
      <c r="C760" s="2">
        <v>178</v>
      </c>
      <c r="D760" s="2">
        <v>2017</v>
      </c>
      <c r="E760" s="2" t="s">
        <v>42</v>
      </c>
      <c r="F760" s="2">
        <v>28</v>
      </c>
      <c r="G760" s="2">
        <v>13</v>
      </c>
      <c r="H760" s="2">
        <v>2</v>
      </c>
      <c r="I760" s="2">
        <v>5</v>
      </c>
      <c r="J760" s="2">
        <v>2</v>
      </c>
      <c r="K760" s="2">
        <v>2</v>
      </c>
      <c r="L760" s="2">
        <v>0</v>
      </c>
      <c r="M760" s="2" t="s">
        <v>60</v>
      </c>
      <c r="N760" s="2" t="s">
        <v>112</v>
      </c>
      <c r="O760" s="2" t="s">
        <v>36</v>
      </c>
      <c r="P760" s="2" t="s">
        <v>36</v>
      </c>
      <c r="Q760" s="2">
        <v>0</v>
      </c>
      <c r="R760" s="2">
        <v>0</v>
      </c>
      <c r="S760" s="2">
        <v>0</v>
      </c>
      <c r="T760" s="2" t="s">
        <v>72</v>
      </c>
      <c r="U760" s="2" t="s">
        <v>72</v>
      </c>
      <c r="V760" s="2">
        <v>1</v>
      </c>
      <c r="W760" s="2" t="s">
        <v>38</v>
      </c>
      <c r="X760" s="2">
        <v>14</v>
      </c>
      <c r="Y760" s="2"/>
      <c r="Z760" s="2">
        <v>0</v>
      </c>
      <c r="AA760" s="2" t="s">
        <v>39</v>
      </c>
      <c r="AB760" s="2">
        <v>214</v>
      </c>
      <c r="AC760" s="2">
        <v>0</v>
      </c>
      <c r="AD760" s="2">
        <v>3</v>
      </c>
      <c r="AE760" s="2" t="s">
        <v>40</v>
      </c>
      <c r="AF760" s="3">
        <v>42936</v>
      </c>
    </row>
    <row r="761" spans="1:32" x14ac:dyDescent="0.25">
      <c r="A761" s="2" t="s">
        <v>41</v>
      </c>
      <c r="B761" s="2">
        <v>1</v>
      </c>
      <c r="C761" s="2">
        <v>82</v>
      </c>
      <c r="D761" s="2">
        <v>2017</v>
      </c>
      <c r="E761" s="2" t="s">
        <v>52</v>
      </c>
      <c r="F761" s="2">
        <v>10</v>
      </c>
      <c r="G761" s="2">
        <v>5</v>
      </c>
      <c r="H761" s="2">
        <v>2</v>
      </c>
      <c r="I761" s="2">
        <v>4</v>
      </c>
      <c r="J761" s="2">
        <v>2</v>
      </c>
      <c r="K761" s="2">
        <v>0</v>
      </c>
      <c r="L761" s="2">
        <v>0</v>
      </c>
      <c r="M761" s="2" t="s">
        <v>34</v>
      </c>
      <c r="N761" s="2" t="s">
        <v>71</v>
      </c>
      <c r="O761" s="2" t="s">
        <v>44</v>
      </c>
      <c r="P761" s="2" t="s">
        <v>45</v>
      </c>
      <c r="Q761" s="2">
        <v>0</v>
      </c>
      <c r="R761" s="2">
        <v>0</v>
      </c>
      <c r="S761" s="2">
        <v>0</v>
      </c>
      <c r="T761" s="2" t="s">
        <v>46</v>
      </c>
      <c r="U761" s="2" t="s">
        <v>46</v>
      </c>
      <c r="V761" s="2">
        <v>0</v>
      </c>
      <c r="W761" s="2" t="s">
        <v>38</v>
      </c>
      <c r="X761" s="2">
        <v>9</v>
      </c>
      <c r="Y761" s="2"/>
      <c r="Z761" s="2">
        <v>0</v>
      </c>
      <c r="AA761" s="2" t="s">
        <v>39</v>
      </c>
      <c r="AB761" s="2">
        <v>91.8</v>
      </c>
      <c r="AC761" s="2">
        <v>0</v>
      </c>
      <c r="AD761" s="2">
        <v>0</v>
      </c>
      <c r="AE761" s="2" t="s">
        <v>47</v>
      </c>
      <c r="AF761" s="3">
        <v>42790</v>
      </c>
    </row>
    <row r="762" spans="1:32" x14ac:dyDescent="0.25">
      <c r="A762" s="2" t="s">
        <v>41</v>
      </c>
      <c r="B762" s="2">
        <v>1</v>
      </c>
      <c r="C762" s="2">
        <v>197</v>
      </c>
      <c r="D762" s="2">
        <v>2017</v>
      </c>
      <c r="E762" s="2" t="s">
        <v>52</v>
      </c>
      <c r="F762" s="2">
        <v>11</v>
      </c>
      <c r="G762" s="2">
        <v>16</v>
      </c>
      <c r="H762" s="2">
        <v>0</v>
      </c>
      <c r="I762" s="2">
        <v>3</v>
      </c>
      <c r="J762" s="2">
        <v>2</v>
      </c>
      <c r="K762" s="2">
        <v>0</v>
      </c>
      <c r="L762" s="2">
        <v>0</v>
      </c>
      <c r="M762" s="2" t="s">
        <v>55</v>
      </c>
      <c r="N762" s="2" t="s">
        <v>35</v>
      </c>
      <c r="O762" s="2" t="s">
        <v>44</v>
      </c>
      <c r="P762" s="2" t="s">
        <v>45</v>
      </c>
      <c r="Q762" s="2">
        <v>0</v>
      </c>
      <c r="R762" s="2">
        <v>0</v>
      </c>
      <c r="S762" s="2">
        <v>0</v>
      </c>
      <c r="T762" s="2" t="s">
        <v>46</v>
      </c>
      <c r="U762" s="2" t="s">
        <v>46</v>
      </c>
      <c r="V762" s="2">
        <v>0</v>
      </c>
      <c r="W762" s="2" t="s">
        <v>38</v>
      </c>
      <c r="X762" s="2">
        <v>9</v>
      </c>
      <c r="Y762" s="2"/>
      <c r="Z762" s="2">
        <v>0</v>
      </c>
      <c r="AA762" s="2" t="s">
        <v>39</v>
      </c>
      <c r="AB762" s="2">
        <v>79.2</v>
      </c>
      <c r="AC762" s="2">
        <v>0</v>
      </c>
      <c r="AD762" s="2">
        <v>2</v>
      </c>
      <c r="AE762" s="2" t="s">
        <v>47</v>
      </c>
      <c r="AF762" s="3">
        <v>42638</v>
      </c>
    </row>
    <row r="763" spans="1:32" x14ac:dyDescent="0.25">
      <c r="A763" s="2" t="s">
        <v>32</v>
      </c>
      <c r="B763" s="2">
        <v>1</v>
      </c>
      <c r="C763" s="2">
        <v>86</v>
      </c>
      <c r="D763" s="2">
        <v>2017</v>
      </c>
      <c r="E763" s="2" t="s">
        <v>52</v>
      </c>
      <c r="F763" s="2">
        <v>10</v>
      </c>
      <c r="G763" s="2">
        <v>9</v>
      </c>
      <c r="H763" s="2">
        <v>0</v>
      </c>
      <c r="I763" s="2">
        <v>3</v>
      </c>
      <c r="J763" s="2">
        <v>2</v>
      </c>
      <c r="K763" s="2">
        <v>0</v>
      </c>
      <c r="L763" s="2">
        <v>0</v>
      </c>
      <c r="M763" s="2" t="s">
        <v>77</v>
      </c>
      <c r="N763" s="2" t="s">
        <v>43</v>
      </c>
      <c r="O763" s="2" t="s">
        <v>64</v>
      </c>
      <c r="P763" s="2" t="s">
        <v>45</v>
      </c>
      <c r="Q763" s="2">
        <v>0</v>
      </c>
      <c r="R763" s="2">
        <v>0</v>
      </c>
      <c r="S763" s="2">
        <v>0</v>
      </c>
      <c r="T763" s="2" t="s">
        <v>46</v>
      </c>
      <c r="U763" s="2" t="s">
        <v>46</v>
      </c>
      <c r="V763" s="2">
        <v>0</v>
      </c>
      <c r="W763" s="2" t="s">
        <v>68</v>
      </c>
      <c r="X763" s="2">
        <v>67</v>
      </c>
      <c r="Y763" s="2"/>
      <c r="Z763" s="2">
        <v>0</v>
      </c>
      <c r="AA763" s="2" t="s">
        <v>39</v>
      </c>
      <c r="AB763" s="2">
        <v>46</v>
      </c>
      <c r="AC763" s="2">
        <v>0</v>
      </c>
      <c r="AD763" s="2">
        <v>0</v>
      </c>
      <c r="AE763" s="2" t="s">
        <v>47</v>
      </c>
      <c r="AF763" s="3">
        <v>42717</v>
      </c>
    </row>
    <row r="764" spans="1:32" x14ac:dyDescent="0.25">
      <c r="A764" s="2" t="s">
        <v>41</v>
      </c>
      <c r="B764" s="2">
        <v>1</v>
      </c>
      <c r="C764" s="2">
        <v>280</v>
      </c>
      <c r="D764" s="2">
        <v>2017</v>
      </c>
      <c r="E764" s="2" t="s">
        <v>67</v>
      </c>
      <c r="F764" s="2">
        <v>33</v>
      </c>
      <c r="G764" s="2">
        <v>16</v>
      </c>
      <c r="H764" s="2">
        <v>2</v>
      </c>
      <c r="I764" s="2">
        <v>4</v>
      </c>
      <c r="J764" s="2">
        <v>2</v>
      </c>
      <c r="K764" s="2">
        <v>0</v>
      </c>
      <c r="L764" s="2">
        <v>0</v>
      </c>
      <c r="M764" s="2" t="s">
        <v>34</v>
      </c>
      <c r="N764" s="2" t="s">
        <v>106</v>
      </c>
      <c r="O764" s="2" t="s">
        <v>44</v>
      </c>
      <c r="P764" s="2" t="s">
        <v>45</v>
      </c>
      <c r="Q764" s="2">
        <v>0</v>
      </c>
      <c r="R764" s="2">
        <v>0</v>
      </c>
      <c r="S764" s="2">
        <v>0</v>
      </c>
      <c r="T764" s="2" t="s">
        <v>46</v>
      </c>
      <c r="U764" s="2" t="s">
        <v>46</v>
      </c>
      <c r="V764" s="2">
        <v>0</v>
      </c>
      <c r="W764" s="2" t="s">
        <v>38</v>
      </c>
      <c r="X764" s="2">
        <v>9</v>
      </c>
      <c r="Y764" s="2"/>
      <c r="Z764" s="2">
        <v>0</v>
      </c>
      <c r="AA764" s="2" t="s">
        <v>39</v>
      </c>
      <c r="AB764" s="2">
        <v>113.1</v>
      </c>
      <c r="AC764" s="2">
        <v>0</v>
      </c>
      <c r="AD764" s="2">
        <v>0</v>
      </c>
      <c r="AE764" s="2" t="s">
        <v>47</v>
      </c>
      <c r="AF764" s="3">
        <v>42683</v>
      </c>
    </row>
    <row r="765" spans="1:32" x14ac:dyDescent="0.25">
      <c r="A765" s="2" t="s">
        <v>41</v>
      </c>
      <c r="B765" s="2">
        <v>1</v>
      </c>
      <c r="C765" s="2">
        <v>78</v>
      </c>
      <c r="D765" s="2">
        <v>2017</v>
      </c>
      <c r="E765" s="2" t="s">
        <v>54</v>
      </c>
      <c r="F765" s="2">
        <v>17</v>
      </c>
      <c r="G765" s="2">
        <v>29</v>
      </c>
      <c r="H765" s="2">
        <v>2</v>
      </c>
      <c r="I765" s="2">
        <v>1</v>
      </c>
      <c r="J765" s="2">
        <v>2</v>
      </c>
      <c r="K765" s="2">
        <v>0</v>
      </c>
      <c r="L765" s="2">
        <v>0</v>
      </c>
      <c r="M765" s="2" t="s">
        <v>34</v>
      </c>
      <c r="N765" s="2" t="s">
        <v>43</v>
      </c>
      <c r="O765" s="2" t="s">
        <v>64</v>
      </c>
      <c r="P765" s="2" t="s">
        <v>45</v>
      </c>
      <c r="Q765" s="2">
        <v>0</v>
      </c>
      <c r="R765" s="2">
        <v>0</v>
      </c>
      <c r="S765" s="2">
        <v>0</v>
      </c>
      <c r="T765" s="2" t="s">
        <v>46</v>
      </c>
      <c r="U765" s="2" t="s">
        <v>46</v>
      </c>
      <c r="V765" s="2">
        <v>0</v>
      </c>
      <c r="W765" s="2" t="s">
        <v>68</v>
      </c>
      <c r="X765" s="2">
        <v>6</v>
      </c>
      <c r="Y765" s="2"/>
      <c r="Z765" s="2">
        <v>0</v>
      </c>
      <c r="AA765" s="2" t="s">
        <v>39</v>
      </c>
      <c r="AB765" s="2">
        <v>90</v>
      </c>
      <c r="AC765" s="2">
        <v>0</v>
      </c>
      <c r="AD765" s="2">
        <v>0</v>
      </c>
      <c r="AE765" s="2" t="s">
        <v>47</v>
      </c>
      <c r="AF765" s="3">
        <v>42776</v>
      </c>
    </row>
    <row r="766" spans="1:32" x14ac:dyDescent="0.25">
      <c r="A766" s="2" t="s">
        <v>32</v>
      </c>
      <c r="B766" s="2">
        <v>0</v>
      </c>
      <c r="C766" s="2">
        <v>19</v>
      </c>
      <c r="D766" s="2">
        <v>2017</v>
      </c>
      <c r="E766" s="2" t="s">
        <v>67</v>
      </c>
      <c r="F766" s="2">
        <v>35</v>
      </c>
      <c r="G766" s="2">
        <v>31</v>
      </c>
      <c r="H766" s="2">
        <v>0</v>
      </c>
      <c r="I766" s="2">
        <v>3</v>
      </c>
      <c r="J766" s="2">
        <v>2</v>
      </c>
      <c r="K766" s="2">
        <v>0</v>
      </c>
      <c r="L766" s="2">
        <v>0</v>
      </c>
      <c r="M766" s="2" t="s">
        <v>60</v>
      </c>
      <c r="N766" s="2" t="s">
        <v>63</v>
      </c>
      <c r="O766" s="2" t="s">
        <v>44</v>
      </c>
      <c r="P766" s="2" t="s">
        <v>45</v>
      </c>
      <c r="Q766" s="2">
        <v>0</v>
      </c>
      <c r="R766" s="2">
        <v>0</v>
      </c>
      <c r="S766" s="2">
        <v>0</v>
      </c>
      <c r="T766" s="2" t="s">
        <v>46</v>
      </c>
      <c r="U766" s="2" t="s">
        <v>46</v>
      </c>
      <c r="V766" s="2">
        <v>0</v>
      </c>
      <c r="W766" s="2" t="s">
        <v>38</v>
      </c>
      <c r="X766" s="2">
        <v>15</v>
      </c>
      <c r="Y766" s="2"/>
      <c r="Z766" s="2">
        <v>0</v>
      </c>
      <c r="AA766" s="2" t="s">
        <v>39</v>
      </c>
      <c r="AB766" s="2">
        <v>165.6</v>
      </c>
      <c r="AC766" s="2">
        <v>0</v>
      </c>
      <c r="AD766" s="2">
        <v>0</v>
      </c>
      <c r="AE766" s="2" t="s">
        <v>40</v>
      </c>
      <c r="AF766" s="3">
        <v>42981</v>
      </c>
    </row>
    <row r="767" spans="1:32" x14ac:dyDescent="0.25">
      <c r="A767" s="2" t="s">
        <v>32</v>
      </c>
      <c r="B767" s="2">
        <v>1</v>
      </c>
      <c r="C767" s="2">
        <v>238</v>
      </c>
      <c r="D767" s="2">
        <v>2017</v>
      </c>
      <c r="E767" s="2" t="s">
        <v>66</v>
      </c>
      <c r="F767" s="2">
        <v>6</v>
      </c>
      <c r="G767" s="2">
        <v>10</v>
      </c>
      <c r="H767" s="2">
        <v>0</v>
      </c>
      <c r="I767" s="2">
        <v>2</v>
      </c>
      <c r="J767" s="2">
        <v>2</v>
      </c>
      <c r="K767" s="2">
        <v>0</v>
      </c>
      <c r="L767" s="2">
        <v>0</v>
      </c>
      <c r="M767" s="2" t="s">
        <v>60</v>
      </c>
      <c r="N767" s="2" t="s">
        <v>43</v>
      </c>
      <c r="O767" s="2" t="s">
        <v>64</v>
      </c>
      <c r="P767" s="2" t="s">
        <v>45</v>
      </c>
      <c r="Q767" s="2">
        <v>0</v>
      </c>
      <c r="R767" s="2">
        <v>0</v>
      </c>
      <c r="S767" s="2">
        <v>0</v>
      </c>
      <c r="T767" s="2" t="s">
        <v>46</v>
      </c>
      <c r="U767" s="2" t="s">
        <v>46</v>
      </c>
      <c r="V767" s="2">
        <v>0</v>
      </c>
      <c r="W767" s="2" t="s">
        <v>68</v>
      </c>
      <c r="X767" s="2">
        <v>155</v>
      </c>
      <c r="Y767" s="2"/>
      <c r="Z767" s="2">
        <v>0</v>
      </c>
      <c r="AA767" s="2" t="s">
        <v>39</v>
      </c>
      <c r="AB767" s="2">
        <v>54</v>
      </c>
      <c r="AC767" s="2">
        <v>0</v>
      </c>
      <c r="AD767" s="2">
        <v>0</v>
      </c>
      <c r="AE767" s="2" t="s">
        <v>47</v>
      </c>
      <c r="AF767" s="3">
        <v>42719</v>
      </c>
    </row>
    <row r="768" spans="1:32" x14ac:dyDescent="0.25">
      <c r="A768" s="2" t="s">
        <v>41</v>
      </c>
      <c r="B768" s="2">
        <v>1</v>
      </c>
      <c r="C768" s="2">
        <v>39</v>
      </c>
      <c r="D768" s="2">
        <v>2017</v>
      </c>
      <c r="E768" s="2" t="s">
        <v>42</v>
      </c>
      <c r="F768" s="2">
        <v>28</v>
      </c>
      <c r="G768" s="2">
        <v>15</v>
      </c>
      <c r="H768" s="2">
        <v>0</v>
      </c>
      <c r="I768" s="2">
        <v>1</v>
      </c>
      <c r="J768" s="2">
        <v>1</v>
      </c>
      <c r="K768" s="2">
        <v>0</v>
      </c>
      <c r="L768" s="2">
        <v>0</v>
      </c>
      <c r="M768" s="2" t="s">
        <v>55</v>
      </c>
      <c r="N768" s="2" t="s">
        <v>35</v>
      </c>
      <c r="O768" s="2" t="s">
        <v>44</v>
      </c>
      <c r="P768" s="2" t="s">
        <v>45</v>
      </c>
      <c r="Q768" s="2">
        <v>0</v>
      </c>
      <c r="R768" s="2">
        <v>0</v>
      </c>
      <c r="S768" s="2">
        <v>0</v>
      </c>
      <c r="T768" s="2" t="s">
        <v>46</v>
      </c>
      <c r="U768" s="2" t="s">
        <v>46</v>
      </c>
      <c r="V768" s="2">
        <v>0</v>
      </c>
      <c r="W768" s="2" t="s">
        <v>38</v>
      </c>
      <c r="X768" s="2">
        <v>9</v>
      </c>
      <c r="Y768" s="2"/>
      <c r="Z768" s="2">
        <v>0</v>
      </c>
      <c r="AA768" s="2" t="s">
        <v>39</v>
      </c>
      <c r="AB768" s="2">
        <v>140</v>
      </c>
      <c r="AC768" s="2">
        <v>0</v>
      </c>
      <c r="AD768" s="2">
        <v>0</v>
      </c>
      <c r="AE768" s="2" t="s">
        <v>47</v>
      </c>
      <c r="AF768" s="3">
        <v>42927</v>
      </c>
    </row>
    <row r="769" spans="1:32" x14ac:dyDescent="0.25">
      <c r="A769" s="2" t="s">
        <v>41</v>
      </c>
      <c r="B769" s="2">
        <v>0</v>
      </c>
      <c r="C769" s="2">
        <v>49</v>
      </c>
      <c r="D769" s="2">
        <v>2017</v>
      </c>
      <c r="E769" s="2" t="s">
        <v>54</v>
      </c>
      <c r="F769" s="2">
        <v>16</v>
      </c>
      <c r="G769" s="2">
        <v>16</v>
      </c>
      <c r="H769" s="2">
        <v>2</v>
      </c>
      <c r="I769" s="2">
        <v>0</v>
      </c>
      <c r="J769" s="2">
        <v>2</v>
      </c>
      <c r="K769" s="2">
        <v>0</v>
      </c>
      <c r="L769" s="2">
        <v>0</v>
      </c>
      <c r="M769" s="2" t="s">
        <v>55</v>
      </c>
      <c r="N769" s="2" t="s">
        <v>113</v>
      </c>
      <c r="O769" s="2" t="s">
        <v>44</v>
      </c>
      <c r="P769" s="2" t="s">
        <v>45</v>
      </c>
      <c r="Q769" s="2">
        <v>0</v>
      </c>
      <c r="R769" s="2">
        <v>0</v>
      </c>
      <c r="S769" s="2">
        <v>0</v>
      </c>
      <c r="T769" s="2" t="s">
        <v>46</v>
      </c>
      <c r="U769" s="2" t="s">
        <v>46</v>
      </c>
      <c r="V769" s="2">
        <v>0</v>
      </c>
      <c r="W769" s="2" t="s">
        <v>38</v>
      </c>
      <c r="X769" s="2">
        <v>9</v>
      </c>
      <c r="Y769" s="2"/>
      <c r="Z769" s="2">
        <v>0</v>
      </c>
      <c r="AA769" s="2" t="s">
        <v>39</v>
      </c>
      <c r="AB769" s="2">
        <v>108</v>
      </c>
      <c r="AC769" s="2">
        <v>0</v>
      </c>
      <c r="AD769" s="2">
        <v>0</v>
      </c>
      <c r="AE769" s="2" t="s">
        <v>40</v>
      </c>
      <c r="AF769" s="3">
        <v>42843</v>
      </c>
    </row>
    <row r="770" spans="1:32" x14ac:dyDescent="0.25">
      <c r="A770" s="2" t="s">
        <v>32</v>
      </c>
      <c r="B770" s="2">
        <v>0</v>
      </c>
      <c r="C770" s="2">
        <v>0</v>
      </c>
      <c r="D770" s="2">
        <v>2017</v>
      </c>
      <c r="E770" s="2" t="s">
        <v>54</v>
      </c>
      <c r="F770" s="2">
        <v>14</v>
      </c>
      <c r="G770" s="2">
        <v>8</v>
      </c>
      <c r="H770" s="2">
        <v>0</v>
      </c>
      <c r="I770" s="2">
        <v>1</v>
      </c>
      <c r="J770" s="2">
        <v>2</v>
      </c>
      <c r="K770" s="2">
        <v>0</v>
      </c>
      <c r="L770" s="2">
        <v>0</v>
      </c>
      <c r="M770" s="2" t="s">
        <v>34</v>
      </c>
      <c r="N770" s="2" t="s">
        <v>43</v>
      </c>
      <c r="O770" s="2" t="s">
        <v>36</v>
      </c>
      <c r="P770" s="2" t="s">
        <v>36</v>
      </c>
      <c r="Q770" s="2">
        <v>0</v>
      </c>
      <c r="R770" s="2">
        <v>0</v>
      </c>
      <c r="S770" s="2">
        <v>0</v>
      </c>
      <c r="T770" s="2" t="s">
        <v>46</v>
      </c>
      <c r="U770" s="2" t="s">
        <v>72</v>
      </c>
      <c r="V770" s="2">
        <v>0</v>
      </c>
      <c r="W770" s="2" t="s">
        <v>38</v>
      </c>
      <c r="X770" s="2"/>
      <c r="Y770" s="2"/>
      <c r="Z770" s="2">
        <v>0</v>
      </c>
      <c r="AA770" s="2" t="s">
        <v>39</v>
      </c>
      <c r="AB770" s="2">
        <v>110</v>
      </c>
      <c r="AC770" s="2">
        <v>0</v>
      </c>
      <c r="AD770" s="2">
        <v>0</v>
      </c>
      <c r="AE770" s="2" t="s">
        <v>40</v>
      </c>
      <c r="AF770" s="3">
        <v>42834</v>
      </c>
    </row>
    <row r="771" spans="1:32" x14ac:dyDescent="0.25">
      <c r="A771" s="2" t="s">
        <v>32</v>
      </c>
      <c r="B771" s="2">
        <v>0</v>
      </c>
      <c r="C771" s="2">
        <v>27</v>
      </c>
      <c r="D771" s="2">
        <v>2017</v>
      </c>
      <c r="E771" s="2" t="s">
        <v>52</v>
      </c>
      <c r="F771" s="2">
        <v>11</v>
      </c>
      <c r="G771" s="2">
        <v>16</v>
      </c>
      <c r="H771" s="2">
        <v>0</v>
      </c>
      <c r="I771" s="2">
        <v>1</v>
      </c>
      <c r="J771" s="2">
        <v>2</v>
      </c>
      <c r="K771" s="2">
        <v>0</v>
      </c>
      <c r="L771" s="2">
        <v>0</v>
      </c>
      <c r="M771" s="2" t="s">
        <v>34</v>
      </c>
      <c r="N771" s="2" t="s">
        <v>70</v>
      </c>
      <c r="O771" s="2" t="s">
        <v>44</v>
      </c>
      <c r="P771" s="2" t="s">
        <v>45</v>
      </c>
      <c r="Q771" s="2">
        <v>0</v>
      </c>
      <c r="R771" s="2">
        <v>0</v>
      </c>
      <c r="S771" s="2">
        <v>0</v>
      </c>
      <c r="T771" s="2" t="s">
        <v>57</v>
      </c>
      <c r="U771" s="2" t="s">
        <v>57</v>
      </c>
      <c r="V771" s="2">
        <v>0</v>
      </c>
      <c r="W771" s="2" t="s">
        <v>38</v>
      </c>
      <c r="X771" s="2"/>
      <c r="Y771" s="2"/>
      <c r="Z771" s="2">
        <v>0</v>
      </c>
      <c r="AA771" s="2" t="s">
        <v>39</v>
      </c>
      <c r="AB771" s="2">
        <v>68</v>
      </c>
      <c r="AC771" s="2">
        <v>0</v>
      </c>
      <c r="AD771" s="2">
        <v>1</v>
      </c>
      <c r="AE771" s="2" t="s">
        <v>40</v>
      </c>
      <c r="AF771" s="3">
        <v>42811</v>
      </c>
    </row>
    <row r="772" spans="1:32" x14ac:dyDescent="0.25">
      <c r="A772" s="2" t="s">
        <v>41</v>
      </c>
      <c r="B772" s="2">
        <v>1</v>
      </c>
      <c r="C772" s="2">
        <v>38</v>
      </c>
      <c r="D772" s="2">
        <v>2017</v>
      </c>
      <c r="E772" s="2" t="s">
        <v>74</v>
      </c>
      <c r="F772" s="2">
        <v>2</v>
      </c>
      <c r="G772" s="2">
        <v>14</v>
      </c>
      <c r="H772" s="2">
        <v>0</v>
      </c>
      <c r="I772" s="2">
        <v>1</v>
      </c>
      <c r="J772" s="2">
        <v>1</v>
      </c>
      <c r="K772" s="2">
        <v>0</v>
      </c>
      <c r="L772" s="2">
        <v>0</v>
      </c>
      <c r="M772" s="2" t="s">
        <v>34</v>
      </c>
      <c r="N772" s="2" t="s">
        <v>43</v>
      </c>
      <c r="O772" s="2" t="s">
        <v>76</v>
      </c>
      <c r="P772" s="2" t="s">
        <v>76</v>
      </c>
      <c r="Q772" s="2">
        <v>0</v>
      </c>
      <c r="R772" s="2">
        <v>0</v>
      </c>
      <c r="S772" s="2">
        <v>0</v>
      </c>
      <c r="T772" s="2" t="s">
        <v>46</v>
      </c>
      <c r="U772" s="2" t="s">
        <v>46</v>
      </c>
      <c r="V772" s="2">
        <v>0</v>
      </c>
      <c r="W772" s="2" t="s">
        <v>68</v>
      </c>
      <c r="X772" s="2"/>
      <c r="Y772" s="2">
        <v>67</v>
      </c>
      <c r="Z772" s="2">
        <v>0</v>
      </c>
      <c r="AA772" s="2" t="s">
        <v>39</v>
      </c>
      <c r="AB772" s="2">
        <v>75</v>
      </c>
      <c r="AC772" s="2">
        <v>0</v>
      </c>
      <c r="AD772" s="2">
        <v>0</v>
      </c>
      <c r="AE772" s="2" t="s">
        <v>47</v>
      </c>
      <c r="AF772" s="3">
        <v>42711</v>
      </c>
    </row>
    <row r="773" spans="1:32" x14ac:dyDescent="0.25">
      <c r="A773" s="2" t="s">
        <v>41</v>
      </c>
      <c r="B773" s="2">
        <v>1</v>
      </c>
      <c r="C773" s="2">
        <v>61</v>
      </c>
      <c r="D773" s="2">
        <v>2017</v>
      </c>
      <c r="E773" s="2" t="s">
        <v>69</v>
      </c>
      <c r="F773" s="2">
        <v>20</v>
      </c>
      <c r="G773" s="2">
        <v>17</v>
      </c>
      <c r="H773" s="2">
        <v>0</v>
      </c>
      <c r="I773" s="2">
        <v>4</v>
      </c>
      <c r="J773" s="2">
        <v>2</v>
      </c>
      <c r="K773" s="2">
        <v>0</v>
      </c>
      <c r="L773" s="2">
        <v>0</v>
      </c>
      <c r="M773" s="2" t="s">
        <v>34</v>
      </c>
      <c r="N773" s="2" t="s">
        <v>56</v>
      </c>
      <c r="O773" s="2" t="s">
        <v>44</v>
      </c>
      <c r="P773" s="2" t="s">
        <v>45</v>
      </c>
      <c r="Q773" s="2">
        <v>0</v>
      </c>
      <c r="R773" s="2">
        <v>0</v>
      </c>
      <c r="S773" s="2">
        <v>0</v>
      </c>
      <c r="T773" s="2" t="s">
        <v>46</v>
      </c>
      <c r="U773" s="2" t="s">
        <v>46</v>
      </c>
      <c r="V773" s="2">
        <v>0</v>
      </c>
      <c r="W773" s="2" t="s">
        <v>38</v>
      </c>
      <c r="X773" s="2">
        <v>9</v>
      </c>
      <c r="Y773" s="2"/>
      <c r="Z773" s="2">
        <v>0</v>
      </c>
      <c r="AA773" s="2" t="s">
        <v>39</v>
      </c>
      <c r="AB773" s="2">
        <v>162</v>
      </c>
      <c r="AC773" s="2">
        <v>0</v>
      </c>
      <c r="AD773" s="2">
        <v>1</v>
      </c>
      <c r="AE773" s="2" t="s">
        <v>47</v>
      </c>
      <c r="AF773" s="3">
        <v>42820</v>
      </c>
    </row>
    <row r="774" spans="1:32" x14ac:dyDescent="0.25">
      <c r="A774" s="2" t="s">
        <v>32</v>
      </c>
      <c r="B774" s="2">
        <v>0</v>
      </c>
      <c r="C774" s="2">
        <v>154</v>
      </c>
      <c r="D774" s="2">
        <v>2017</v>
      </c>
      <c r="E774" s="2" t="s">
        <v>67</v>
      </c>
      <c r="F774" s="2">
        <v>34</v>
      </c>
      <c r="G774" s="2">
        <v>21</v>
      </c>
      <c r="H774" s="2">
        <v>2</v>
      </c>
      <c r="I774" s="2">
        <v>5</v>
      </c>
      <c r="J774" s="2">
        <v>2</v>
      </c>
      <c r="K774" s="2">
        <v>0</v>
      </c>
      <c r="L774" s="2">
        <v>0</v>
      </c>
      <c r="M774" s="2" t="s">
        <v>60</v>
      </c>
      <c r="N774" s="2" t="s">
        <v>35</v>
      </c>
      <c r="O774" s="2" t="s">
        <v>49</v>
      </c>
      <c r="P774" s="2" t="s">
        <v>45</v>
      </c>
      <c r="Q774" s="2">
        <v>0</v>
      </c>
      <c r="R774" s="2">
        <v>0</v>
      </c>
      <c r="S774" s="2">
        <v>0</v>
      </c>
      <c r="T774" s="2" t="s">
        <v>46</v>
      </c>
      <c r="U774" s="2" t="s">
        <v>46</v>
      </c>
      <c r="V774" s="2">
        <v>1</v>
      </c>
      <c r="W774" s="2" t="s">
        <v>38</v>
      </c>
      <c r="X774" s="2">
        <v>40</v>
      </c>
      <c r="Y774" s="2"/>
      <c r="Z774" s="2">
        <v>0</v>
      </c>
      <c r="AA774" s="2" t="s">
        <v>73</v>
      </c>
      <c r="AB774" s="2">
        <v>132.86000000000001</v>
      </c>
      <c r="AC774" s="2">
        <v>0</v>
      </c>
      <c r="AD774" s="2">
        <v>1</v>
      </c>
      <c r="AE774" s="2" t="s">
        <v>40</v>
      </c>
      <c r="AF774" s="3">
        <v>42975</v>
      </c>
    </row>
    <row r="775" spans="1:32" x14ac:dyDescent="0.25">
      <c r="A775" s="2" t="s">
        <v>41</v>
      </c>
      <c r="B775" s="2">
        <v>0</v>
      </c>
      <c r="C775" s="2">
        <v>183</v>
      </c>
      <c r="D775" s="2">
        <v>2017</v>
      </c>
      <c r="E775" s="2" t="s">
        <v>74</v>
      </c>
      <c r="F775" s="2">
        <v>1</v>
      </c>
      <c r="G775" s="2">
        <v>1</v>
      </c>
      <c r="H775" s="2">
        <v>2</v>
      </c>
      <c r="I775" s="2">
        <v>4</v>
      </c>
      <c r="J775" s="2">
        <v>2</v>
      </c>
      <c r="K775" s="2">
        <v>2</v>
      </c>
      <c r="L775" s="2">
        <v>0</v>
      </c>
      <c r="M775" s="2" t="s">
        <v>34</v>
      </c>
      <c r="N775" s="2" t="s">
        <v>111</v>
      </c>
      <c r="O775" s="2" t="s">
        <v>44</v>
      </c>
      <c r="P775" s="2" t="s">
        <v>45</v>
      </c>
      <c r="Q775" s="2">
        <v>0</v>
      </c>
      <c r="R775" s="2">
        <v>0</v>
      </c>
      <c r="S775" s="2">
        <v>0</v>
      </c>
      <c r="T775" s="2" t="s">
        <v>37</v>
      </c>
      <c r="U775" s="2" t="s">
        <v>37</v>
      </c>
      <c r="V775" s="2">
        <v>0</v>
      </c>
      <c r="W775" s="2" t="s">
        <v>38</v>
      </c>
      <c r="X775" s="2">
        <v>9</v>
      </c>
      <c r="Y775" s="2"/>
      <c r="Z775" s="2">
        <v>0</v>
      </c>
      <c r="AA775" s="2" t="s">
        <v>39</v>
      </c>
      <c r="AB775" s="2">
        <v>153.5</v>
      </c>
      <c r="AC775" s="2">
        <v>1</v>
      </c>
      <c r="AD775" s="2">
        <v>1</v>
      </c>
      <c r="AE775" s="2" t="s">
        <v>40</v>
      </c>
      <c r="AF775" s="3">
        <v>42742</v>
      </c>
    </row>
    <row r="776" spans="1:32" x14ac:dyDescent="0.25">
      <c r="A776" s="2" t="s">
        <v>41</v>
      </c>
      <c r="B776" s="2">
        <v>0</v>
      </c>
      <c r="C776" s="2">
        <v>105</v>
      </c>
      <c r="D776" s="2">
        <v>2017</v>
      </c>
      <c r="E776" s="2" t="s">
        <v>67</v>
      </c>
      <c r="F776" s="2">
        <v>33</v>
      </c>
      <c r="G776" s="2">
        <v>13</v>
      </c>
      <c r="H776" s="2">
        <v>2</v>
      </c>
      <c r="I776" s="2">
        <v>3</v>
      </c>
      <c r="J776" s="2">
        <v>2</v>
      </c>
      <c r="K776" s="2">
        <v>0</v>
      </c>
      <c r="L776" s="2">
        <v>0</v>
      </c>
      <c r="M776" s="2" t="s">
        <v>55</v>
      </c>
      <c r="N776" s="2" t="s">
        <v>82</v>
      </c>
      <c r="O776" s="2" t="s">
        <v>44</v>
      </c>
      <c r="P776" s="2" t="s">
        <v>45</v>
      </c>
      <c r="Q776" s="2">
        <v>0</v>
      </c>
      <c r="R776" s="2">
        <v>0</v>
      </c>
      <c r="S776" s="2">
        <v>0</v>
      </c>
      <c r="T776" s="2" t="s">
        <v>46</v>
      </c>
      <c r="U776" s="2" t="s">
        <v>46</v>
      </c>
      <c r="V776" s="2">
        <v>0</v>
      </c>
      <c r="W776" s="2" t="s">
        <v>38</v>
      </c>
      <c r="X776" s="2">
        <v>7</v>
      </c>
      <c r="Y776" s="2"/>
      <c r="Z776" s="2">
        <v>0</v>
      </c>
      <c r="AA776" s="2" t="s">
        <v>39</v>
      </c>
      <c r="AB776" s="2">
        <v>95</v>
      </c>
      <c r="AC776" s="2">
        <v>0</v>
      </c>
      <c r="AD776" s="2">
        <v>1</v>
      </c>
      <c r="AE776" s="2" t="s">
        <v>40</v>
      </c>
      <c r="AF776" s="3">
        <v>42965</v>
      </c>
    </row>
    <row r="777" spans="1:32" x14ac:dyDescent="0.25">
      <c r="A777" s="2" t="s">
        <v>41</v>
      </c>
      <c r="B777" s="2">
        <v>1</v>
      </c>
      <c r="C777" s="2">
        <v>194</v>
      </c>
      <c r="D777" s="2">
        <v>2017</v>
      </c>
      <c r="E777" s="2" t="s">
        <v>54</v>
      </c>
      <c r="F777" s="2">
        <v>16</v>
      </c>
      <c r="G777" s="2">
        <v>21</v>
      </c>
      <c r="H777" s="2">
        <v>2</v>
      </c>
      <c r="I777" s="2">
        <v>3</v>
      </c>
      <c r="J777" s="2">
        <v>2</v>
      </c>
      <c r="K777" s="2">
        <v>0</v>
      </c>
      <c r="L777" s="2">
        <v>0</v>
      </c>
      <c r="M777" s="2" t="s">
        <v>34</v>
      </c>
      <c r="N777" s="2" t="s">
        <v>70</v>
      </c>
      <c r="O777" s="2" t="s">
        <v>44</v>
      </c>
      <c r="P777" s="2" t="s">
        <v>45</v>
      </c>
      <c r="Q777" s="2">
        <v>0</v>
      </c>
      <c r="R777" s="2">
        <v>0</v>
      </c>
      <c r="S777" s="2">
        <v>0</v>
      </c>
      <c r="T777" s="2" t="s">
        <v>46</v>
      </c>
      <c r="U777" s="2" t="s">
        <v>46</v>
      </c>
      <c r="V777" s="2">
        <v>0</v>
      </c>
      <c r="W777" s="2" t="s">
        <v>38</v>
      </c>
      <c r="X777" s="2">
        <v>9</v>
      </c>
      <c r="Y777" s="2"/>
      <c r="Z777" s="2">
        <v>0</v>
      </c>
      <c r="AA777" s="2" t="s">
        <v>39</v>
      </c>
      <c r="AB777" s="2">
        <v>117</v>
      </c>
      <c r="AC777" s="2">
        <v>0</v>
      </c>
      <c r="AD777" s="2">
        <v>2</v>
      </c>
      <c r="AE777" s="2" t="s">
        <v>47</v>
      </c>
      <c r="AF777" s="3">
        <v>42846</v>
      </c>
    </row>
    <row r="778" spans="1:32" x14ac:dyDescent="0.25">
      <c r="A778" s="2" t="s">
        <v>32</v>
      </c>
      <c r="B778" s="2">
        <v>0</v>
      </c>
      <c r="C778" s="2">
        <v>82</v>
      </c>
      <c r="D778" s="2">
        <v>2017</v>
      </c>
      <c r="E778" s="2" t="s">
        <v>42</v>
      </c>
      <c r="F778" s="2">
        <v>30</v>
      </c>
      <c r="G778" s="2">
        <v>23</v>
      </c>
      <c r="H778" s="2">
        <v>3</v>
      </c>
      <c r="I778" s="2">
        <v>5</v>
      </c>
      <c r="J778" s="2">
        <v>2</v>
      </c>
      <c r="K778" s="2">
        <v>0</v>
      </c>
      <c r="L778" s="2">
        <v>0</v>
      </c>
      <c r="M778" s="2" t="s">
        <v>60</v>
      </c>
      <c r="N778" s="2" t="s">
        <v>35</v>
      </c>
      <c r="O778" s="2" t="s">
        <v>36</v>
      </c>
      <c r="P778" s="2" t="s">
        <v>36</v>
      </c>
      <c r="Q778" s="2">
        <v>0</v>
      </c>
      <c r="R778" s="2">
        <v>0</v>
      </c>
      <c r="S778" s="2">
        <v>0</v>
      </c>
      <c r="T778" s="2" t="s">
        <v>37</v>
      </c>
      <c r="U778" s="2" t="s">
        <v>37</v>
      </c>
      <c r="V778" s="2">
        <v>1</v>
      </c>
      <c r="W778" s="2" t="s">
        <v>38</v>
      </c>
      <c r="X778" s="2">
        <v>250</v>
      </c>
      <c r="Y778" s="2"/>
      <c r="Z778" s="2">
        <v>0</v>
      </c>
      <c r="AA778" s="2" t="s">
        <v>39</v>
      </c>
      <c r="AB778" s="2">
        <v>294</v>
      </c>
      <c r="AC778" s="2">
        <v>0</v>
      </c>
      <c r="AD778" s="2">
        <v>2</v>
      </c>
      <c r="AE778" s="2" t="s">
        <v>40</v>
      </c>
      <c r="AF778" s="3">
        <v>42947</v>
      </c>
    </row>
    <row r="779" spans="1:32" x14ac:dyDescent="0.25">
      <c r="A779" s="2" t="s">
        <v>41</v>
      </c>
      <c r="B779" s="2">
        <v>0</v>
      </c>
      <c r="C779" s="2">
        <v>22</v>
      </c>
      <c r="D779" s="2">
        <v>2017</v>
      </c>
      <c r="E779" s="2" t="s">
        <v>54</v>
      </c>
      <c r="F779" s="2">
        <v>16</v>
      </c>
      <c r="G779" s="2">
        <v>21</v>
      </c>
      <c r="H779" s="2">
        <v>2</v>
      </c>
      <c r="I779" s="2">
        <v>2</v>
      </c>
      <c r="J779" s="2">
        <v>2</v>
      </c>
      <c r="K779" s="2">
        <v>0</v>
      </c>
      <c r="L779" s="2">
        <v>0</v>
      </c>
      <c r="M779" s="2" t="s">
        <v>55</v>
      </c>
      <c r="N779" s="2" t="s">
        <v>106</v>
      </c>
      <c r="O779" s="2" t="s">
        <v>44</v>
      </c>
      <c r="P779" s="2" t="s">
        <v>45</v>
      </c>
      <c r="Q779" s="2">
        <v>0</v>
      </c>
      <c r="R779" s="2">
        <v>0</v>
      </c>
      <c r="S779" s="2">
        <v>0</v>
      </c>
      <c r="T779" s="2" t="s">
        <v>46</v>
      </c>
      <c r="U779" s="2" t="s">
        <v>46</v>
      </c>
      <c r="V779" s="2">
        <v>0</v>
      </c>
      <c r="W779" s="2" t="s">
        <v>38</v>
      </c>
      <c r="X779" s="2">
        <v>9</v>
      </c>
      <c r="Y779" s="2"/>
      <c r="Z779" s="2">
        <v>0</v>
      </c>
      <c r="AA779" s="2" t="s">
        <v>39</v>
      </c>
      <c r="AB779" s="2">
        <v>115</v>
      </c>
      <c r="AC779" s="2">
        <v>0</v>
      </c>
      <c r="AD779" s="2">
        <v>1</v>
      </c>
      <c r="AE779" s="2" t="s">
        <v>40</v>
      </c>
      <c r="AF779" s="3">
        <v>42850</v>
      </c>
    </row>
    <row r="780" spans="1:32" x14ac:dyDescent="0.25">
      <c r="A780" s="2" t="s">
        <v>41</v>
      </c>
      <c r="B780" s="2">
        <v>0</v>
      </c>
      <c r="C780" s="2">
        <v>0</v>
      </c>
      <c r="D780" s="2">
        <v>2017</v>
      </c>
      <c r="E780" s="2" t="s">
        <v>69</v>
      </c>
      <c r="F780" s="2">
        <v>20</v>
      </c>
      <c r="G780" s="2">
        <v>19</v>
      </c>
      <c r="H780" s="2">
        <v>0</v>
      </c>
      <c r="I780" s="2">
        <v>1</v>
      </c>
      <c r="J780" s="2">
        <v>3</v>
      </c>
      <c r="K780" s="2">
        <v>0</v>
      </c>
      <c r="L780" s="2">
        <v>1</v>
      </c>
      <c r="M780" s="2" t="s">
        <v>34</v>
      </c>
      <c r="N780" s="2" t="s">
        <v>97</v>
      </c>
      <c r="O780" s="2" t="s">
        <v>36</v>
      </c>
      <c r="P780" s="2" t="s">
        <v>36</v>
      </c>
      <c r="Q780" s="2">
        <v>0</v>
      </c>
      <c r="R780" s="2">
        <v>0</v>
      </c>
      <c r="S780" s="2">
        <v>0</v>
      </c>
      <c r="T780" s="2" t="s">
        <v>37</v>
      </c>
      <c r="U780" s="2" t="s">
        <v>37</v>
      </c>
      <c r="V780" s="2">
        <v>1</v>
      </c>
      <c r="W780" s="2" t="s">
        <v>38</v>
      </c>
      <c r="X780" s="2"/>
      <c r="Y780" s="2"/>
      <c r="Z780" s="2">
        <v>0</v>
      </c>
      <c r="AA780" s="2" t="s">
        <v>39</v>
      </c>
      <c r="AB780" s="2">
        <v>305</v>
      </c>
      <c r="AC780" s="2">
        <v>0</v>
      </c>
      <c r="AD780" s="2">
        <v>0</v>
      </c>
      <c r="AE780" s="2" t="s">
        <v>40</v>
      </c>
      <c r="AF780" s="3">
        <v>42875</v>
      </c>
    </row>
    <row r="781" spans="1:32" x14ac:dyDescent="0.25">
      <c r="A781" s="2" t="s">
        <v>32</v>
      </c>
      <c r="B781" s="2">
        <v>1</v>
      </c>
      <c r="C781" s="2">
        <v>237</v>
      </c>
      <c r="D781" s="2">
        <v>2017</v>
      </c>
      <c r="E781" s="2" t="s">
        <v>69</v>
      </c>
      <c r="F781" s="2">
        <v>18</v>
      </c>
      <c r="G781" s="2">
        <v>3</v>
      </c>
      <c r="H781" s="2">
        <v>0</v>
      </c>
      <c r="I781" s="2">
        <v>1</v>
      </c>
      <c r="J781" s="2">
        <v>2</v>
      </c>
      <c r="K781" s="2">
        <v>0</v>
      </c>
      <c r="L781" s="2">
        <v>0</v>
      </c>
      <c r="M781" s="2" t="s">
        <v>60</v>
      </c>
      <c r="N781" s="2" t="s">
        <v>111</v>
      </c>
      <c r="O781" s="2" t="s">
        <v>44</v>
      </c>
      <c r="P781" s="2" t="s">
        <v>45</v>
      </c>
      <c r="Q781" s="2">
        <v>0</v>
      </c>
      <c r="R781" s="2">
        <v>0</v>
      </c>
      <c r="S781" s="2">
        <v>0</v>
      </c>
      <c r="T781" s="2" t="s">
        <v>72</v>
      </c>
      <c r="U781" s="2" t="s">
        <v>72</v>
      </c>
      <c r="V781" s="2">
        <v>2</v>
      </c>
      <c r="W781" s="2" t="s">
        <v>38</v>
      </c>
      <c r="X781" s="2">
        <v>240</v>
      </c>
      <c r="Y781" s="2"/>
      <c r="Z781" s="2">
        <v>0</v>
      </c>
      <c r="AA781" s="2" t="s">
        <v>51</v>
      </c>
      <c r="AB781" s="2">
        <v>109.8</v>
      </c>
      <c r="AC781" s="2">
        <v>0</v>
      </c>
      <c r="AD781" s="2">
        <v>0</v>
      </c>
      <c r="AE781" s="2" t="s">
        <v>47</v>
      </c>
      <c r="AF781" s="3">
        <v>42733</v>
      </c>
    </row>
    <row r="782" spans="1:32" x14ac:dyDescent="0.25">
      <c r="A782" s="2" t="s">
        <v>41</v>
      </c>
      <c r="B782" s="2">
        <v>1</v>
      </c>
      <c r="C782" s="2">
        <v>52</v>
      </c>
      <c r="D782" s="2">
        <v>2017</v>
      </c>
      <c r="E782" s="2" t="s">
        <v>74</v>
      </c>
      <c r="F782" s="2">
        <v>1</v>
      </c>
      <c r="G782" s="2">
        <v>6</v>
      </c>
      <c r="H782" s="2">
        <v>2</v>
      </c>
      <c r="I782" s="2">
        <v>2</v>
      </c>
      <c r="J782" s="2">
        <v>2</v>
      </c>
      <c r="K782" s="2">
        <v>0</v>
      </c>
      <c r="L782" s="2">
        <v>0</v>
      </c>
      <c r="M782" s="2" t="s">
        <v>34</v>
      </c>
      <c r="N782" s="2" t="s">
        <v>106</v>
      </c>
      <c r="O782" s="2" t="s">
        <v>44</v>
      </c>
      <c r="P782" s="2" t="s">
        <v>45</v>
      </c>
      <c r="Q782" s="2">
        <v>1</v>
      </c>
      <c r="R782" s="2">
        <v>1</v>
      </c>
      <c r="S782" s="2">
        <v>1</v>
      </c>
      <c r="T782" s="2" t="s">
        <v>46</v>
      </c>
      <c r="U782" s="2" t="s">
        <v>46</v>
      </c>
      <c r="V782" s="2">
        <v>0</v>
      </c>
      <c r="W782" s="2" t="s">
        <v>38</v>
      </c>
      <c r="X782" s="2">
        <v>9</v>
      </c>
      <c r="Y782" s="2"/>
      <c r="Z782" s="2">
        <v>0</v>
      </c>
      <c r="AA782" s="2" t="s">
        <v>39</v>
      </c>
      <c r="AB782" s="2">
        <v>88.4</v>
      </c>
      <c r="AC782" s="2">
        <v>0</v>
      </c>
      <c r="AD782" s="2">
        <v>2</v>
      </c>
      <c r="AE782" s="2" t="s">
        <v>47</v>
      </c>
      <c r="AF782" s="3">
        <v>42726</v>
      </c>
    </row>
    <row r="783" spans="1:32" x14ac:dyDescent="0.25">
      <c r="A783" s="2" t="s">
        <v>41</v>
      </c>
      <c r="B783" s="2">
        <v>1</v>
      </c>
      <c r="C783" s="2">
        <v>47</v>
      </c>
      <c r="D783" s="2">
        <v>2017</v>
      </c>
      <c r="E783" s="2" t="s">
        <v>42</v>
      </c>
      <c r="F783" s="2">
        <v>27</v>
      </c>
      <c r="G783" s="2">
        <v>3</v>
      </c>
      <c r="H783" s="2">
        <v>1</v>
      </c>
      <c r="I783" s="2">
        <v>3</v>
      </c>
      <c r="J783" s="2">
        <v>3</v>
      </c>
      <c r="K783" s="2">
        <v>0</v>
      </c>
      <c r="L783" s="2">
        <v>0</v>
      </c>
      <c r="M783" s="2" t="s">
        <v>34</v>
      </c>
      <c r="N783" s="2" t="s">
        <v>95</v>
      </c>
      <c r="O783" s="2" t="s">
        <v>44</v>
      </c>
      <c r="P783" s="2" t="s">
        <v>45</v>
      </c>
      <c r="Q783" s="2">
        <v>0</v>
      </c>
      <c r="R783" s="2">
        <v>0</v>
      </c>
      <c r="S783" s="2">
        <v>0</v>
      </c>
      <c r="T783" s="2" t="s">
        <v>72</v>
      </c>
      <c r="U783" s="2" t="s">
        <v>72</v>
      </c>
      <c r="V783" s="2">
        <v>0</v>
      </c>
      <c r="W783" s="2" t="s">
        <v>38</v>
      </c>
      <c r="X783" s="2">
        <v>9</v>
      </c>
      <c r="Y783" s="2"/>
      <c r="Z783" s="2">
        <v>0</v>
      </c>
      <c r="AA783" s="2" t="s">
        <v>39</v>
      </c>
      <c r="AB783" s="2">
        <v>234.5</v>
      </c>
      <c r="AC783" s="2">
        <v>0</v>
      </c>
      <c r="AD783" s="2">
        <v>1</v>
      </c>
      <c r="AE783" s="2" t="s">
        <v>47</v>
      </c>
      <c r="AF783" s="3">
        <v>42872</v>
      </c>
    </row>
    <row r="784" spans="1:32" x14ac:dyDescent="0.25">
      <c r="A784" s="2" t="s">
        <v>32</v>
      </c>
      <c r="B784" s="2">
        <v>0</v>
      </c>
      <c r="C784" s="2">
        <v>2</v>
      </c>
      <c r="D784" s="2">
        <v>2017</v>
      </c>
      <c r="E784" s="2" t="s">
        <v>66</v>
      </c>
      <c r="F784" s="2">
        <v>8</v>
      </c>
      <c r="G784" s="2">
        <v>23</v>
      </c>
      <c r="H784" s="2">
        <v>0</v>
      </c>
      <c r="I784" s="2">
        <v>2</v>
      </c>
      <c r="J784" s="2">
        <v>1</v>
      </c>
      <c r="K784" s="2">
        <v>0</v>
      </c>
      <c r="L784" s="2">
        <v>0</v>
      </c>
      <c r="M784" s="2" t="s">
        <v>77</v>
      </c>
      <c r="N784" s="2" t="s">
        <v>63</v>
      </c>
      <c r="O784" s="2" t="s">
        <v>64</v>
      </c>
      <c r="P784" s="2" t="s">
        <v>45</v>
      </c>
      <c r="Q784" s="2">
        <v>0</v>
      </c>
      <c r="R784" s="2">
        <v>0</v>
      </c>
      <c r="S784" s="2">
        <v>0</v>
      </c>
      <c r="T784" s="2" t="s">
        <v>46</v>
      </c>
      <c r="U784" s="2" t="s">
        <v>46</v>
      </c>
      <c r="V784" s="2">
        <v>1</v>
      </c>
      <c r="W784" s="2" t="s">
        <v>38</v>
      </c>
      <c r="X784" s="2">
        <v>68</v>
      </c>
      <c r="Y784" s="2"/>
      <c r="Z784" s="2">
        <v>0</v>
      </c>
      <c r="AA784" s="2" t="s">
        <v>51</v>
      </c>
      <c r="AB784" s="2">
        <v>0</v>
      </c>
      <c r="AC784" s="2">
        <v>0</v>
      </c>
      <c r="AD784" s="2">
        <v>0</v>
      </c>
      <c r="AE784" s="2" t="s">
        <v>40</v>
      </c>
      <c r="AF784" s="3">
        <v>42791</v>
      </c>
    </row>
    <row r="785" spans="1:32" x14ac:dyDescent="0.25">
      <c r="A785" s="2" t="s">
        <v>41</v>
      </c>
      <c r="B785" s="2">
        <v>0</v>
      </c>
      <c r="C785" s="2">
        <v>99</v>
      </c>
      <c r="D785" s="2">
        <v>2017</v>
      </c>
      <c r="E785" s="2" t="s">
        <v>83</v>
      </c>
      <c r="F785" s="2">
        <v>23</v>
      </c>
      <c r="G785" s="2">
        <v>9</v>
      </c>
      <c r="H785" s="2">
        <v>0</v>
      </c>
      <c r="I785" s="2">
        <v>1</v>
      </c>
      <c r="J785" s="2">
        <v>1</v>
      </c>
      <c r="K785" s="2">
        <v>0</v>
      </c>
      <c r="L785" s="2">
        <v>0</v>
      </c>
      <c r="M785" s="2" t="s">
        <v>60</v>
      </c>
      <c r="N785" s="2" t="s">
        <v>48</v>
      </c>
      <c r="O785" s="2" t="s">
        <v>44</v>
      </c>
      <c r="P785" s="2" t="s">
        <v>45</v>
      </c>
      <c r="Q785" s="2">
        <v>0</v>
      </c>
      <c r="R785" s="2">
        <v>0</v>
      </c>
      <c r="S785" s="2">
        <v>0</v>
      </c>
      <c r="T785" s="2" t="s">
        <v>57</v>
      </c>
      <c r="U785" s="2" t="s">
        <v>57</v>
      </c>
      <c r="V785" s="2">
        <v>0</v>
      </c>
      <c r="W785" s="2" t="s">
        <v>38</v>
      </c>
      <c r="X785" s="2">
        <v>7</v>
      </c>
      <c r="Y785" s="2"/>
      <c r="Z785" s="2">
        <v>0</v>
      </c>
      <c r="AA785" s="2" t="s">
        <v>39</v>
      </c>
      <c r="AB785" s="2">
        <v>146.16</v>
      </c>
      <c r="AC785" s="2">
        <v>0</v>
      </c>
      <c r="AD785" s="2">
        <v>0</v>
      </c>
      <c r="AE785" s="2" t="s">
        <v>40</v>
      </c>
      <c r="AF785" s="3">
        <v>42896</v>
      </c>
    </row>
    <row r="786" spans="1:32" x14ac:dyDescent="0.25">
      <c r="A786" s="2" t="s">
        <v>41</v>
      </c>
      <c r="B786" s="2">
        <v>0</v>
      </c>
      <c r="C786" s="2">
        <v>246</v>
      </c>
      <c r="D786" s="2">
        <v>2017</v>
      </c>
      <c r="E786" s="2" t="s">
        <v>42</v>
      </c>
      <c r="F786" s="2">
        <v>28</v>
      </c>
      <c r="G786" s="2">
        <v>10</v>
      </c>
      <c r="H786" s="2">
        <v>1</v>
      </c>
      <c r="I786" s="2">
        <v>0</v>
      </c>
      <c r="J786" s="2">
        <v>2</v>
      </c>
      <c r="K786" s="2">
        <v>0</v>
      </c>
      <c r="L786" s="2">
        <v>0</v>
      </c>
      <c r="M786" s="2" t="s">
        <v>34</v>
      </c>
      <c r="N786" s="2" t="s">
        <v>56</v>
      </c>
      <c r="O786" s="2" t="s">
        <v>44</v>
      </c>
      <c r="P786" s="2" t="s">
        <v>45</v>
      </c>
      <c r="Q786" s="2">
        <v>0</v>
      </c>
      <c r="R786" s="2">
        <v>0</v>
      </c>
      <c r="S786" s="2">
        <v>0</v>
      </c>
      <c r="T786" s="2" t="s">
        <v>46</v>
      </c>
      <c r="U786" s="2" t="s">
        <v>46</v>
      </c>
      <c r="V786" s="2">
        <v>0</v>
      </c>
      <c r="W786" s="2" t="s">
        <v>38</v>
      </c>
      <c r="X786" s="2">
        <v>9</v>
      </c>
      <c r="Y786" s="2"/>
      <c r="Z786" s="2">
        <v>0</v>
      </c>
      <c r="AA786" s="2" t="s">
        <v>39</v>
      </c>
      <c r="AB786" s="2">
        <v>107.1</v>
      </c>
      <c r="AC786" s="2">
        <v>0</v>
      </c>
      <c r="AD786" s="2">
        <v>1</v>
      </c>
      <c r="AE786" s="2" t="s">
        <v>40</v>
      </c>
      <c r="AF786" s="3">
        <v>42927</v>
      </c>
    </row>
    <row r="787" spans="1:32" x14ac:dyDescent="0.25">
      <c r="A787" s="2" t="s">
        <v>41</v>
      </c>
      <c r="B787" s="2">
        <v>1</v>
      </c>
      <c r="C787" s="2">
        <v>97</v>
      </c>
      <c r="D787" s="2">
        <v>2017</v>
      </c>
      <c r="E787" s="2" t="s">
        <v>42</v>
      </c>
      <c r="F787" s="2">
        <v>28</v>
      </c>
      <c r="G787" s="2">
        <v>11</v>
      </c>
      <c r="H787" s="2">
        <v>0</v>
      </c>
      <c r="I787" s="2">
        <v>3</v>
      </c>
      <c r="J787" s="2">
        <v>2</v>
      </c>
      <c r="K787" s="2">
        <v>0</v>
      </c>
      <c r="L787" s="2">
        <v>0</v>
      </c>
      <c r="M787" s="2" t="s">
        <v>34</v>
      </c>
      <c r="N787" s="2" t="s">
        <v>91</v>
      </c>
      <c r="O787" s="2" t="s">
        <v>44</v>
      </c>
      <c r="P787" s="2" t="s">
        <v>45</v>
      </c>
      <c r="Q787" s="2">
        <v>0</v>
      </c>
      <c r="R787" s="2">
        <v>0</v>
      </c>
      <c r="S787" s="2">
        <v>0</v>
      </c>
      <c r="T787" s="2" t="s">
        <v>57</v>
      </c>
      <c r="U787" s="2" t="s">
        <v>57</v>
      </c>
      <c r="V787" s="2">
        <v>0</v>
      </c>
      <c r="W787" s="2" t="s">
        <v>38</v>
      </c>
      <c r="X787" s="2">
        <v>9</v>
      </c>
      <c r="Y787" s="2"/>
      <c r="Z787" s="2">
        <v>0</v>
      </c>
      <c r="AA787" s="2" t="s">
        <v>39</v>
      </c>
      <c r="AB787" s="2">
        <v>150</v>
      </c>
      <c r="AC787" s="2">
        <v>0</v>
      </c>
      <c r="AD787" s="2">
        <v>2</v>
      </c>
      <c r="AE787" s="2" t="s">
        <v>47</v>
      </c>
      <c r="AF787" s="3">
        <v>42831</v>
      </c>
    </row>
    <row r="788" spans="1:32" x14ac:dyDescent="0.25">
      <c r="A788" s="2" t="s">
        <v>32</v>
      </c>
      <c r="B788" s="2">
        <v>1</v>
      </c>
      <c r="C788" s="2">
        <v>250</v>
      </c>
      <c r="D788" s="2">
        <v>2017</v>
      </c>
      <c r="E788" s="2" t="s">
        <v>83</v>
      </c>
      <c r="F788" s="2">
        <v>26</v>
      </c>
      <c r="G788" s="2">
        <v>26</v>
      </c>
      <c r="H788" s="2">
        <v>1</v>
      </c>
      <c r="I788" s="2">
        <v>4</v>
      </c>
      <c r="J788" s="2">
        <v>2</v>
      </c>
      <c r="K788" s="2">
        <v>1</v>
      </c>
      <c r="L788" s="2">
        <v>0</v>
      </c>
      <c r="M788" s="2" t="s">
        <v>34</v>
      </c>
      <c r="N788" s="2" t="s">
        <v>63</v>
      </c>
      <c r="O788" s="2" t="s">
        <v>36</v>
      </c>
      <c r="P788" s="2" t="s">
        <v>36</v>
      </c>
      <c r="Q788" s="2">
        <v>0</v>
      </c>
      <c r="R788" s="2">
        <v>0</v>
      </c>
      <c r="S788" s="2">
        <v>0</v>
      </c>
      <c r="T788" s="2" t="s">
        <v>46</v>
      </c>
      <c r="U788" s="2" t="s">
        <v>46</v>
      </c>
      <c r="V788" s="2">
        <v>2</v>
      </c>
      <c r="W788" s="2" t="s">
        <v>38</v>
      </c>
      <c r="X788" s="2">
        <v>250</v>
      </c>
      <c r="Y788" s="2"/>
      <c r="Z788" s="2">
        <v>0</v>
      </c>
      <c r="AA788" s="2" t="s">
        <v>39</v>
      </c>
      <c r="AB788" s="2">
        <v>132.6</v>
      </c>
      <c r="AC788" s="2">
        <v>0</v>
      </c>
      <c r="AD788" s="2">
        <v>0</v>
      </c>
      <c r="AE788" s="2" t="s">
        <v>47</v>
      </c>
      <c r="AF788" s="3">
        <v>42884</v>
      </c>
    </row>
    <row r="789" spans="1:32" x14ac:dyDescent="0.25">
      <c r="A789" s="2" t="s">
        <v>41</v>
      </c>
      <c r="B789" s="2">
        <v>0</v>
      </c>
      <c r="C789" s="2">
        <v>127</v>
      </c>
      <c r="D789" s="2">
        <v>2017</v>
      </c>
      <c r="E789" s="2" t="s">
        <v>67</v>
      </c>
      <c r="F789" s="2">
        <v>33</v>
      </c>
      <c r="G789" s="2">
        <v>16</v>
      </c>
      <c r="H789" s="2">
        <v>2</v>
      </c>
      <c r="I789" s="2">
        <v>5</v>
      </c>
      <c r="J789" s="2">
        <v>2</v>
      </c>
      <c r="K789" s="2">
        <v>0</v>
      </c>
      <c r="L789" s="2">
        <v>0</v>
      </c>
      <c r="M789" s="2" t="s">
        <v>34</v>
      </c>
      <c r="N789" s="2" t="s">
        <v>99</v>
      </c>
      <c r="O789" s="2" t="s">
        <v>49</v>
      </c>
      <c r="P789" s="2" t="s">
        <v>45</v>
      </c>
      <c r="Q789" s="2">
        <v>0</v>
      </c>
      <c r="R789" s="2">
        <v>0</v>
      </c>
      <c r="S789" s="2">
        <v>0</v>
      </c>
      <c r="T789" s="2" t="s">
        <v>46</v>
      </c>
      <c r="U789" s="2" t="s">
        <v>46</v>
      </c>
      <c r="V789" s="2">
        <v>0</v>
      </c>
      <c r="W789" s="2" t="s">
        <v>38</v>
      </c>
      <c r="X789" s="2">
        <v>262</v>
      </c>
      <c r="Y789" s="2"/>
      <c r="Z789" s="2">
        <v>0</v>
      </c>
      <c r="AA789" s="2" t="s">
        <v>39</v>
      </c>
      <c r="AB789" s="2">
        <v>80.099999999999994</v>
      </c>
      <c r="AC789" s="2">
        <v>0</v>
      </c>
      <c r="AD789" s="2">
        <v>1</v>
      </c>
      <c r="AE789" s="2" t="s">
        <v>40</v>
      </c>
      <c r="AF789" s="3">
        <v>42970</v>
      </c>
    </row>
    <row r="790" spans="1:32" x14ac:dyDescent="0.25">
      <c r="A790" s="2" t="s">
        <v>32</v>
      </c>
      <c r="B790" s="2">
        <v>0</v>
      </c>
      <c r="C790" s="2">
        <v>74</v>
      </c>
      <c r="D790" s="2">
        <v>2017</v>
      </c>
      <c r="E790" s="2" t="s">
        <v>52</v>
      </c>
      <c r="F790" s="2">
        <v>13</v>
      </c>
      <c r="G790" s="2">
        <v>30</v>
      </c>
      <c r="H790" s="2">
        <v>2</v>
      </c>
      <c r="I790" s="2">
        <v>5</v>
      </c>
      <c r="J790" s="2">
        <v>2</v>
      </c>
      <c r="K790" s="2">
        <v>2</v>
      </c>
      <c r="L790" s="2">
        <v>0</v>
      </c>
      <c r="M790" s="2" t="s">
        <v>34</v>
      </c>
      <c r="N790" s="2" t="s">
        <v>43</v>
      </c>
      <c r="O790" s="2" t="s">
        <v>44</v>
      </c>
      <c r="P790" s="2" t="s">
        <v>45</v>
      </c>
      <c r="Q790" s="2">
        <v>0</v>
      </c>
      <c r="R790" s="2">
        <v>0</v>
      </c>
      <c r="S790" s="2">
        <v>0</v>
      </c>
      <c r="T790" s="2" t="s">
        <v>84</v>
      </c>
      <c r="U790" s="2" t="s">
        <v>84</v>
      </c>
      <c r="V790" s="2">
        <v>0</v>
      </c>
      <c r="W790" s="2" t="s">
        <v>38</v>
      </c>
      <c r="X790" s="2">
        <v>240</v>
      </c>
      <c r="Y790" s="2"/>
      <c r="Z790" s="2">
        <v>0</v>
      </c>
      <c r="AA790" s="2" t="s">
        <v>39</v>
      </c>
      <c r="AB790" s="2">
        <v>113.29</v>
      </c>
      <c r="AC790" s="2">
        <v>0</v>
      </c>
      <c r="AD790" s="2">
        <v>1</v>
      </c>
      <c r="AE790" s="2" t="s">
        <v>40</v>
      </c>
      <c r="AF790" s="3">
        <v>42831</v>
      </c>
    </row>
    <row r="791" spans="1:32" x14ac:dyDescent="0.25">
      <c r="A791" s="2" t="s">
        <v>32</v>
      </c>
      <c r="B791" s="2">
        <v>0</v>
      </c>
      <c r="C791" s="2">
        <v>21</v>
      </c>
      <c r="D791" s="2">
        <v>2017</v>
      </c>
      <c r="E791" s="2" t="s">
        <v>69</v>
      </c>
      <c r="F791" s="2">
        <v>22</v>
      </c>
      <c r="G791" s="2">
        <v>28</v>
      </c>
      <c r="H791" s="2">
        <v>2</v>
      </c>
      <c r="I791" s="2">
        <v>1</v>
      </c>
      <c r="J791" s="2">
        <v>2</v>
      </c>
      <c r="K791" s="2">
        <v>0</v>
      </c>
      <c r="L791" s="2">
        <v>0</v>
      </c>
      <c r="M791" s="2" t="s">
        <v>34</v>
      </c>
      <c r="N791" s="2" t="s">
        <v>43</v>
      </c>
      <c r="O791" s="2" t="s">
        <v>44</v>
      </c>
      <c r="P791" s="2" t="s">
        <v>45</v>
      </c>
      <c r="Q791" s="2">
        <v>0</v>
      </c>
      <c r="R791" s="2">
        <v>0</v>
      </c>
      <c r="S791" s="2">
        <v>0</v>
      </c>
      <c r="T791" s="2" t="s">
        <v>57</v>
      </c>
      <c r="U791" s="2" t="s">
        <v>57</v>
      </c>
      <c r="V791" s="2">
        <v>0</v>
      </c>
      <c r="W791" s="2" t="s">
        <v>38</v>
      </c>
      <c r="X791" s="2">
        <v>240</v>
      </c>
      <c r="Y791" s="2"/>
      <c r="Z791" s="2">
        <v>0</v>
      </c>
      <c r="AA791" s="2" t="s">
        <v>39</v>
      </c>
      <c r="AB791" s="2">
        <v>142</v>
      </c>
      <c r="AC791" s="2">
        <v>0</v>
      </c>
      <c r="AD791" s="2">
        <v>3</v>
      </c>
      <c r="AE791" s="2" t="s">
        <v>40</v>
      </c>
      <c r="AF791" s="3">
        <v>42886</v>
      </c>
    </row>
    <row r="792" spans="1:32" x14ac:dyDescent="0.25">
      <c r="A792" s="2" t="s">
        <v>32</v>
      </c>
      <c r="B792" s="2">
        <v>0</v>
      </c>
      <c r="C792" s="2">
        <v>0</v>
      </c>
      <c r="D792" s="2">
        <v>2017</v>
      </c>
      <c r="E792" s="2" t="s">
        <v>74</v>
      </c>
      <c r="F792" s="2">
        <v>2</v>
      </c>
      <c r="G792" s="2">
        <v>9</v>
      </c>
      <c r="H792" s="2">
        <v>1</v>
      </c>
      <c r="I792" s="2">
        <v>0</v>
      </c>
      <c r="J792" s="2">
        <v>2</v>
      </c>
      <c r="K792" s="2">
        <v>0</v>
      </c>
      <c r="L792" s="2">
        <v>0</v>
      </c>
      <c r="M792" s="2" t="s">
        <v>34</v>
      </c>
      <c r="N792" s="2" t="s">
        <v>71</v>
      </c>
      <c r="O792" s="2" t="s">
        <v>44</v>
      </c>
      <c r="P792" s="2" t="s">
        <v>45</v>
      </c>
      <c r="Q792" s="2">
        <v>1</v>
      </c>
      <c r="R792" s="2">
        <v>0</v>
      </c>
      <c r="S792" s="2">
        <v>0</v>
      </c>
      <c r="T792" s="2" t="s">
        <v>46</v>
      </c>
      <c r="U792" s="2" t="s">
        <v>46</v>
      </c>
      <c r="V792" s="2">
        <v>0</v>
      </c>
      <c r="W792" s="2" t="s">
        <v>38</v>
      </c>
      <c r="X792" s="2">
        <v>306</v>
      </c>
      <c r="Y792" s="2"/>
      <c r="Z792" s="2">
        <v>0</v>
      </c>
      <c r="AA792" s="2" t="s">
        <v>39</v>
      </c>
      <c r="AB792" s="2">
        <v>30.99</v>
      </c>
      <c r="AC792" s="2">
        <v>0</v>
      </c>
      <c r="AD792" s="2">
        <v>0</v>
      </c>
      <c r="AE792" s="2" t="s">
        <v>40</v>
      </c>
      <c r="AF792" s="3">
        <v>42745</v>
      </c>
    </row>
    <row r="793" spans="1:32" x14ac:dyDescent="0.25">
      <c r="A793" s="2" t="s">
        <v>32</v>
      </c>
      <c r="B793" s="2">
        <v>1</v>
      </c>
      <c r="C793" s="2">
        <v>57</v>
      </c>
      <c r="D793" s="2">
        <v>2017</v>
      </c>
      <c r="E793" s="2" t="s">
        <v>52</v>
      </c>
      <c r="F793" s="2">
        <v>10</v>
      </c>
      <c r="G793" s="2">
        <v>11</v>
      </c>
      <c r="H793" s="2">
        <v>2</v>
      </c>
      <c r="I793" s="2">
        <v>5</v>
      </c>
      <c r="J793" s="2">
        <v>1</v>
      </c>
      <c r="K793" s="2">
        <v>0</v>
      </c>
      <c r="L793" s="2">
        <v>0</v>
      </c>
      <c r="M793" s="2" t="s">
        <v>60</v>
      </c>
      <c r="N793" s="2" t="s">
        <v>43</v>
      </c>
      <c r="O793" s="2" t="s">
        <v>64</v>
      </c>
      <c r="P793" s="2" t="s">
        <v>45</v>
      </c>
      <c r="Q793" s="2">
        <v>0</v>
      </c>
      <c r="R793" s="2">
        <v>0</v>
      </c>
      <c r="S793" s="2">
        <v>0</v>
      </c>
      <c r="T793" s="2" t="s">
        <v>57</v>
      </c>
      <c r="U793" s="2" t="s">
        <v>57</v>
      </c>
      <c r="V793" s="2">
        <v>0</v>
      </c>
      <c r="W793" s="2" t="s">
        <v>38</v>
      </c>
      <c r="X793" s="2">
        <v>298</v>
      </c>
      <c r="Y793" s="2"/>
      <c r="Z793" s="2">
        <v>0</v>
      </c>
      <c r="AA793" s="2" t="s">
        <v>51</v>
      </c>
      <c r="AB793" s="2">
        <v>51</v>
      </c>
      <c r="AC793" s="2">
        <v>0</v>
      </c>
      <c r="AD793" s="2">
        <v>0</v>
      </c>
      <c r="AE793" s="2" t="s">
        <v>47</v>
      </c>
      <c r="AF793" s="3">
        <v>42761</v>
      </c>
    </row>
    <row r="794" spans="1:32" x14ac:dyDescent="0.25">
      <c r="A794" s="2" t="s">
        <v>41</v>
      </c>
      <c r="B794" s="2">
        <v>0</v>
      </c>
      <c r="C794" s="2">
        <v>95</v>
      </c>
      <c r="D794" s="2">
        <v>2017</v>
      </c>
      <c r="E794" s="2" t="s">
        <v>52</v>
      </c>
      <c r="F794" s="2">
        <v>12</v>
      </c>
      <c r="G794" s="2">
        <v>25</v>
      </c>
      <c r="H794" s="2">
        <v>2</v>
      </c>
      <c r="I794" s="2">
        <v>3</v>
      </c>
      <c r="J794" s="2">
        <v>2</v>
      </c>
      <c r="K794" s="2">
        <v>0</v>
      </c>
      <c r="L794" s="2">
        <v>0</v>
      </c>
      <c r="M794" s="2" t="s">
        <v>34</v>
      </c>
      <c r="N794" s="2" t="s">
        <v>56</v>
      </c>
      <c r="O794" s="2" t="s">
        <v>49</v>
      </c>
      <c r="P794" s="2" t="s">
        <v>45</v>
      </c>
      <c r="Q794" s="2">
        <v>0</v>
      </c>
      <c r="R794" s="2">
        <v>0</v>
      </c>
      <c r="S794" s="2">
        <v>0</v>
      </c>
      <c r="T794" s="2" t="s">
        <v>46</v>
      </c>
      <c r="U794" s="2" t="s">
        <v>46</v>
      </c>
      <c r="V794" s="2">
        <v>0</v>
      </c>
      <c r="W794" s="2" t="s">
        <v>38</v>
      </c>
      <c r="X794" s="2">
        <v>27</v>
      </c>
      <c r="Y794" s="2"/>
      <c r="Z794" s="2">
        <v>0</v>
      </c>
      <c r="AA794" s="2" t="s">
        <v>39</v>
      </c>
      <c r="AB794" s="2">
        <v>72</v>
      </c>
      <c r="AC794" s="2">
        <v>0</v>
      </c>
      <c r="AD794" s="2">
        <v>0</v>
      </c>
      <c r="AE794" s="2" t="s">
        <v>40</v>
      </c>
      <c r="AF794" s="3">
        <v>42824</v>
      </c>
    </row>
    <row r="795" spans="1:32" x14ac:dyDescent="0.25">
      <c r="A795" s="2" t="s">
        <v>32</v>
      </c>
      <c r="B795" s="2">
        <v>1</v>
      </c>
      <c r="C795" s="2">
        <v>2</v>
      </c>
      <c r="D795" s="2">
        <v>2017</v>
      </c>
      <c r="E795" s="2" t="s">
        <v>66</v>
      </c>
      <c r="F795" s="2">
        <v>8</v>
      </c>
      <c r="G795" s="2">
        <v>22</v>
      </c>
      <c r="H795" s="2">
        <v>0</v>
      </c>
      <c r="I795" s="2">
        <v>4</v>
      </c>
      <c r="J795" s="2">
        <v>1</v>
      </c>
      <c r="K795" s="2">
        <v>0</v>
      </c>
      <c r="L795" s="2">
        <v>0</v>
      </c>
      <c r="M795" s="2" t="s">
        <v>34</v>
      </c>
      <c r="N795" s="2" t="s">
        <v>43</v>
      </c>
      <c r="O795" s="2" t="s">
        <v>64</v>
      </c>
      <c r="P795" s="2" t="s">
        <v>36</v>
      </c>
      <c r="Q795" s="2">
        <v>0</v>
      </c>
      <c r="R795" s="2">
        <v>0</v>
      </c>
      <c r="S795" s="2">
        <v>0</v>
      </c>
      <c r="T795" s="2" t="s">
        <v>46</v>
      </c>
      <c r="U795" s="2" t="s">
        <v>46</v>
      </c>
      <c r="V795" s="2">
        <v>0</v>
      </c>
      <c r="W795" s="2" t="s">
        <v>38</v>
      </c>
      <c r="X795" s="2"/>
      <c r="Y795" s="2"/>
      <c r="Z795" s="2">
        <v>0</v>
      </c>
      <c r="AA795" s="2" t="s">
        <v>51</v>
      </c>
      <c r="AB795" s="2">
        <v>36</v>
      </c>
      <c r="AC795" s="2">
        <v>0</v>
      </c>
      <c r="AD795" s="2">
        <v>0</v>
      </c>
      <c r="AE795" s="2" t="s">
        <v>47</v>
      </c>
      <c r="AF795" s="3">
        <v>42786</v>
      </c>
    </row>
    <row r="796" spans="1:32" x14ac:dyDescent="0.25">
      <c r="A796" s="2" t="s">
        <v>41</v>
      </c>
      <c r="B796" s="2">
        <v>0</v>
      </c>
      <c r="C796" s="2">
        <v>23</v>
      </c>
      <c r="D796" s="2">
        <v>2017</v>
      </c>
      <c r="E796" s="2" t="s">
        <v>67</v>
      </c>
      <c r="F796" s="2">
        <v>31</v>
      </c>
      <c r="G796" s="2">
        <v>3</v>
      </c>
      <c r="H796" s="2">
        <v>1</v>
      </c>
      <c r="I796" s="2">
        <v>3</v>
      </c>
      <c r="J796" s="2">
        <v>2</v>
      </c>
      <c r="K796" s="2">
        <v>0</v>
      </c>
      <c r="L796" s="2">
        <v>0</v>
      </c>
      <c r="M796" s="2" t="s">
        <v>55</v>
      </c>
      <c r="N796" s="2" t="s">
        <v>111</v>
      </c>
      <c r="O796" s="2" t="s">
        <v>44</v>
      </c>
      <c r="P796" s="2" t="s">
        <v>45</v>
      </c>
      <c r="Q796" s="2">
        <v>0</v>
      </c>
      <c r="R796" s="2">
        <v>0</v>
      </c>
      <c r="S796" s="2">
        <v>0</v>
      </c>
      <c r="T796" s="2" t="s">
        <v>46</v>
      </c>
      <c r="U796" s="2" t="s">
        <v>46</v>
      </c>
      <c r="V796" s="2">
        <v>1</v>
      </c>
      <c r="W796" s="2" t="s">
        <v>38</v>
      </c>
      <c r="X796" s="2">
        <v>9</v>
      </c>
      <c r="Y796" s="2"/>
      <c r="Z796" s="2">
        <v>0</v>
      </c>
      <c r="AA796" s="2" t="s">
        <v>39</v>
      </c>
      <c r="AB796" s="2">
        <v>147</v>
      </c>
      <c r="AC796" s="2">
        <v>0</v>
      </c>
      <c r="AD796" s="2">
        <v>1</v>
      </c>
      <c r="AE796" s="2" t="s">
        <v>40</v>
      </c>
      <c r="AF796" s="3">
        <v>42954</v>
      </c>
    </row>
    <row r="797" spans="1:32" x14ac:dyDescent="0.25">
      <c r="A797" s="2" t="s">
        <v>32</v>
      </c>
      <c r="B797" s="2">
        <v>0</v>
      </c>
      <c r="C797" s="2">
        <v>23</v>
      </c>
      <c r="D797" s="2">
        <v>2017</v>
      </c>
      <c r="E797" s="2" t="s">
        <v>54</v>
      </c>
      <c r="F797" s="2">
        <v>16</v>
      </c>
      <c r="G797" s="2">
        <v>20</v>
      </c>
      <c r="H797" s="2">
        <v>0</v>
      </c>
      <c r="I797" s="2">
        <v>3</v>
      </c>
      <c r="J797" s="2">
        <v>2</v>
      </c>
      <c r="K797" s="2">
        <v>0</v>
      </c>
      <c r="L797" s="2">
        <v>0</v>
      </c>
      <c r="M797" s="2" t="s">
        <v>34</v>
      </c>
      <c r="N797" s="2" t="s">
        <v>35</v>
      </c>
      <c r="O797" s="2" t="s">
        <v>64</v>
      </c>
      <c r="P797" s="2" t="s">
        <v>36</v>
      </c>
      <c r="Q797" s="2">
        <v>0</v>
      </c>
      <c r="R797" s="2">
        <v>0</v>
      </c>
      <c r="S797" s="2">
        <v>0</v>
      </c>
      <c r="T797" s="2" t="s">
        <v>46</v>
      </c>
      <c r="U797" s="2" t="s">
        <v>57</v>
      </c>
      <c r="V797" s="2">
        <v>0</v>
      </c>
      <c r="W797" s="2" t="s">
        <v>38</v>
      </c>
      <c r="X797" s="2"/>
      <c r="Y797" s="2"/>
      <c r="Z797" s="2">
        <v>0</v>
      </c>
      <c r="AA797" s="2" t="s">
        <v>51</v>
      </c>
      <c r="AB797" s="2">
        <v>99</v>
      </c>
      <c r="AC797" s="2">
        <v>0</v>
      </c>
      <c r="AD797" s="2">
        <v>0</v>
      </c>
      <c r="AE797" s="2" t="s">
        <v>40</v>
      </c>
      <c r="AF797" s="3">
        <v>42848</v>
      </c>
    </row>
    <row r="798" spans="1:32" x14ac:dyDescent="0.25">
      <c r="A798" s="2" t="s">
        <v>41</v>
      </c>
      <c r="B798" s="2">
        <v>0</v>
      </c>
      <c r="C798" s="2">
        <v>168</v>
      </c>
      <c r="D798" s="2">
        <v>2017</v>
      </c>
      <c r="E798" s="2" t="s">
        <v>69</v>
      </c>
      <c r="F798" s="2">
        <v>20</v>
      </c>
      <c r="G798" s="2">
        <v>14</v>
      </c>
      <c r="H798" s="2">
        <v>2</v>
      </c>
      <c r="I798" s="2">
        <v>1</v>
      </c>
      <c r="J798" s="2">
        <v>2</v>
      </c>
      <c r="K798" s="2">
        <v>0</v>
      </c>
      <c r="L798" s="2">
        <v>0</v>
      </c>
      <c r="M798" s="2" t="s">
        <v>55</v>
      </c>
      <c r="N798" s="2" t="s">
        <v>35</v>
      </c>
      <c r="O798" s="2" t="s">
        <v>44</v>
      </c>
      <c r="P798" s="2" t="s">
        <v>45</v>
      </c>
      <c r="Q798" s="2">
        <v>0</v>
      </c>
      <c r="R798" s="2">
        <v>0</v>
      </c>
      <c r="S798" s="2">
        <v>0</v>
      </c>
      <c r="T798" s="2" t="s">
        <v>46</v>
      </c>
      <c r="U798" s="2" t="s">
        <v>46</v>
      </c>
      <c r="V798" s="2">
        <v>0</v>
      </c>
      <c r="W798" s="2" t="s">
        <v>38</v>
      </c>
      <c r="X798" s="2">
        <v>9</v>
      </c>
      <c r="Y798" s="2"/>
      <c r="Z798" s="2">
        <v>0</v>
      </c>
      <c r="AA798" s="2" t="s">
        <v>39</v>
      </c>
      <c r="AB798" s="2">
        <v>108</v>
      </c>
      <c r="AC798" s="2">
        <v>0</v>
      </c>
      <c r="AD798" s="2">
        <v>0</v>
      </c>
      <c r="AE798" s="2" t="s">
        <v>40</v>
      </c>
      <c r="AF798" s="3">
        <v>42872</v>
      </c>
    </row>
    <row r="799" spans="1:32" x14ac:dyDescent="0.25">
      <c r="A799" s="2" t="s">
        <v>32</v>
      </c>
      <c r="B799" s="2">
        <v>0</v>
      </c>
      <c r="C799" s="2">
        <v>0</v>
      </c>
      <c r="D799" s="2">
        <v>2017</v>
      </c>
      <c r="E799" s="2" t="s">
        <v>42</v>
      </c>
      <c r="F799" s="2">
        <v>28</v>
      </c>
      <c r="G799" s="2">
        <v>15</v>
      </c>
      <c r="H799" s="2">
        <v>0</v>
      </c>
      <c r="I799" s="2">
        <v>1</v>
      </c>
      <c r="J799" s="2">
        <v>2</v>
      </c>
      <c r="K799" s="2">
        <v>0</v>
      </c>
      <c r="L799" s="2">
        <v>0</v>
      </c>
      <c r="M799" s="2" t="s">
        <v>34</v>
      </c>
      <c r="N799" s="2" t="s">
        <v>35</v>
      </c>
      <c r="O799" s="2" t="s">
        <v>36</v>
      </c>
      <c r="P799" s="2" t="s">
        <v>36</v>
      </c>
      <c r="Q799" s="2">
        <v>0</v>
      </c>
      <c r="R799" s="2">
        <v>0</v>
      </c>
      <c r="S799" s="2">
        <v>0</v>
      </c>
      <c r="T799" s="2" t="s">
        <v>46</v>
      </c>
      <c r="U799" s="2" t="s">
        <v>72</v>
      </c>
      <c r="V799" s="2">
        <v>1</v>
      </c>
      <c r="W799" s="2" t="s">
        <v>38</v>
      </c>
      <c r="X799" s="2"/>
      <c r="Y799" s="2"/>
      <c r="Z799" s="2">
        <v>0</v>
      </c>
      <c r="AA799" s="2" t="s">
        <v>51</v>
      </c>
      <c r="AB799" s="2">
        <v>195</v>
      </c>
      <c r="AC799" s="2">
        <v>0</v>
      </c>
      <c r="AD799" s="2">
        <v>0</v>
      </c>
      <c r="AE799" s="2" t="s">
        <v>40</v>
      </c>
      <c r="AF799" s="3">
        <v>42932</v>
      </c>
    </row>
    <row r="800" spans="1:32" x14ac:dyDescent="0.25">
      <c r="A800" s="2" t="s">
        <v>41</v>
      </c>
      <c r="B800" s="2">
        <v>0</v>
      </c>
      <c r="C800" s="2">
        <v>6</v>
      </c>
      <c r="D800" s="2">
        <v>2017</v>
      </c>
      <c r="E800" s="2" t="s">
        <v>42</v>
      </c>
      <c r="F800" s="2">
        <v>28</v>
      </c>
      <c r="G800" s="2">
        <v>14</v>
      </c>
      <c r="H800" s="2">
        <v>0</v>
      </c>
      <c r="I800" s="2">
        <v>2</v>
      </c>
      <c r="J800" s="2">
        <v>2</v>
      </c>
      <c r="K800" s="2">
        <v>0</v>
      </c>
      <c r="L800" s="2">
        <v>0</v>
      </c>
      <c r="M800" s="2" t="s">
        <v>34</v>
      </c>
      <c r="N800" s="2" t="s">
        <v>88</v>
      </c>
      <c r="O800" s="2" t="s">
        <v>44</v>
      </c>
      <c r="P800" s="2" t="s">
        <v>45</v>
      </c>
      <c r="Q800" s="2">
        <v>0</v>
      </c>
      <c r="R800" s="2">
        <v>0</v>
      </c>
      <c r="S800" s="2">
        <v>0</v>
      </c>
      <c r="T800" s="2" t="s">
        <v>72</v>
      </c>
      <c r="U800" s="2" t="s">
        <v>72</v>
      </c>
      <c r="V800" s="2">
        <v>0</v>
      </c>
      <c r="W800" s="2" t="s">
        <v>38</v>
      </c>
      <c r="X800" s="2">
        <v>9</v>
      </c>
      <c r="Y800" s="2"/>
      <c r="Z800" s="2">
        <v>0</v>
      </c>
      <c r="AA800" s="2" t="s">
        <v>39</v>
      </c>
      <c r="AB800" s="2">
        <v>172.5</v>
      </c>
      <c r="AC800" s="2">
        <v>0</v>
      </c>
      <c r="AD800" s="2">
        <v>2</v>
      </c>
      <c r="AE800" s="2" t="s">
        <v>40</v>
      </c>
      <c r="AF800" s="3">
        <v>42932</v>
      </c>
    </row>
    <row r="801" spans="1:32" x14ac:dyDescent="0.25">
      <c r="A801" s="2" t="s">
        <v>32</v>
      </c>
      <c r="B801" s="2">
        <v>0</v>
      </c>
      <c r="C801" s="2">
        <v>5</v>
      </c>
      <c r="D801" s="2">
        <v>2017</v>
      </c>
      <c r="E801" s="2" t="s">
        <v>69</v>
      </c>
      <c r="F801" s="2">
        <v>20</v>
      </c>
      <c r="G801" s="2">
        <v>15</v>
      </c>
      <c r="H801" s="2">
        <v>1</v>
      </c>
      <c r="I801" s="2">
        <v>0</v>
      </c>
      <c r="J801" s="2">
        <v>1</v>
      </c>
      <c r="K801" s="2">
        <v>0</v>
      </c>
      <c r="L801" s="2">
        <v>0</v>
      </c>
      <c r="M801" s="2" t="s">
        <v>34</v>
      </c>
      <c r="N801" s="2" t="s">
        <v>35</v>
      </c>
      <c r="O801" s="2" t="s">
        <v>116</v>
      </c>
      <c r="P801" s="2" t="s">
        <v>45</v>
      </c>
      <c r="Q801" s="2">
        <v>1</v>
      </c>
      <c r="R801" s="2">
        <v>0</v>
      </c>
      <c r="S801" s="2">
        <v>3</v>
      </c>
      <c r="T801" s="2" t="s">
        <v>72</v>
      </c>
      <c r="U801" s="2" t="s">
        <v>72</v>
      </c>
      <c r="V801" s="2">
        <v>0</v>
      </c>
      <c r="W801" s="2" t="s">
        <v>38</v>
      </c>
      <c r="X801" s="2">
        <v>40</v>
      </c>
      <c r="Y801" s="2"/>
      <c r="Z801" s="2">
        <v>0</v>
      </c>
      <c r="AA801" s="2" t="s">
        <v>39</v>
      </c>
      <c r="AB801" s="2">
        <v>0</v>
      </c>
      <c r="AC801" s="2">
        <v>1</v>
      </c>
      <c r="AD801" s="2">
        <v>2</v>
      </c>
      <c r="AE801" s="2" t="s">
        <v>40</v>
      </c>
      <c r="AF801" s="3">
        <v>42871</v>
      </c>
    </row>
    <row r="802" spans="1:32" x14ac:dyDescent="0.25">
      <c r="A802" s="2" t="s">
        <v>32</v>
      </c>
      <c r="B802" s="2">
        <v>0</v>
      </c>
      <c r="C802" s="2">
        <v>156</v>
      </c>
      <c r="D802" s="2">
        <v>2017</v>
      </c>
      <c r="E802" s="2" t="s">
        <v>69</v>
      </c>
      <c r="F802" s="2">
        <v>19</v>
      </c>
      <c r="G802" s="2">
        <v>8</v>
      </c>
      <c r="H802" s="2">
        <v>2</v>
      </c>
      <c r="I802" s="2">
        <v>5</v>
      </c>
      <c r="J802" s="2">
        <v>2</v>
      </c>
      <c r="K802" s="2">
        <v>0</v>
      </c>
      <c r="L802" s="2">
        <v>0</v>
      </c>
      <c r="M802" s="2" t="s">
        <v>60</v>
      </c>
      <c r="N802" s="2" t="s">
        <v>95</v>
      </c>
      <c r="O802" s="2" t="s">
        <v>64</v>
      </c>
      <c r="P802" s="2" t="s">
        <v>45</v>
      </c>
      <c r="Q802" s="2">
        <v>0</v>
      </c>
      <c r="R802" s="2">
        <v>0</v>
      </c>
      <c r="S802" s="2">
        <v>0</v>
      </c>
      <c r="T802" s="2" t="s">
        <v>46</v>
      </c>
      <c r="U802" s="2" t="s">
        <v>46</v>
      </c>
      <c r="V802" s="2">
        <v>2</v>
      </c>
      <c r="W802" s="2" t="s">
        <v>38</v>
      </c>
      <c r="X802" s="2">
        <v>434</v>
      </c>
      <c r="Y802" s="2"/>
      <c r="Z802" s="2">
        <v>0</v>
      </c>
      <c r="AA802" s="2" t="s">
        <v>51</v>
      </c>
      <c r="AB802" s="2">
        <v>80</v>
      </c>
      <c r="AC802" s="2">
        <v>0</v>
      </c>
      <c r="AD802" s="2">
        <v>1</v>
      </c>
      <c r="AE802" s="2" t="s">
        <v>40</v>
      </c>
      <c r="AF802" s="3">
        <v>42870</v>
      </c>
    </row>
    <row r="803" spans="1:32" x14ac:dyDescent="0.25">
      <c r="A803" s="2" t="s">
        <v>32</v>
      </c>
      <c r="B803" s="2">
        <v>0</v>
      </c>
      <c r="C803" s="2">
        <v>229</v>
      </c>
      <c r="D803" s="2">
        <v>2017</v>
      </c>
      <c r="E803" s="2" t="s">
        <v>52</v>
      </c>
      <c r="F803" s="2">
        <v>13</v>
      </c>
      <c r="G803" s="2">
        <v>27</v>
      </c>
      <c r="H803" s="2">
        <v>2</v>
      </c>
      <c r="I803" s="2">
        <v>5</v>
      </c>
      <c r="J803" s="2">
        <v>2</v>
      </c>
      <c r="K803" s="2">
        <v>0</v>
      </c>
      <c r="L803" s="2">
        <v>0</v>
      </c>
      <c r="M803" s="2" t="s">
        <v>34</v>
      </c>
      <c r="N803" s="2" t="s">
        <v>95</v>
      </c>
      <c r="O803" s="2" t="s">
        <v>44</v>
      </c>
      <c r="P803" s="2" t="s">
        <v>45</v>
      </c>
      <c r="Q803" s="2">
        <v>0</v>
      </c>
      <c r="R803" s="2">
        <v>0</v>
      </c>
      <c r="S803" s="2">
        <v>0</v>
      </c>
      <c r="T803" s="2" t="s">
        <v>46</v>
      </c>
      <c r="U803" s="2" t="s">
        <v>57</v>
      </c>
      <c r="V803" s="2">
        <v>1</v>
      </c>
      <c r="W803" s="2" t="s">
        <v>38</v>
      </c>
      <c r="X803" s="2">
        <v>240</v>
      </c>
      <c r="Y803" s="2"/>
      <c r="Z803" s="2">
        <v>0</v>
      </c>
      <c r="AA803" s="2" t="s">
        <v>39</v>
      </c>
      <c r="AB803" s="2">
        <v>52.43</v>
      </c>
      <c r="AC803" s="2">
        <v>0</v>
      </c>
      <c r="AD803" s="2">
        <v>2</v>
      </c>
      <c r="AE803" s="2" t="s">
        <v>40</v>
      </c>
      <c r="AF803" s="3">
        <v>42828</v>
      </c>
    </row>
    <row r="804" spans="1:32" x14ac:dyDescent="0.25">
      <c r="A804" s="2" t="s">
        <v>32</v>
      </c>
      <c r="B804" s="2">
        <v>1</v>
      </c>
      <c r="C804" s="2">
        <v>134</v>
      </c>
      <c r="D804" s="2">
        <v>2017</v>
      </c>
      <c r="E804" s="2" t="s">
        <v>54</v>
      </c>
      <c r="F804" s="2">
        <v>15</v>
      </c>
      <c r="G804" s="2">
        <v>13</v>
      </c>
      <c r="H804" s="2">
        <v>0</v>
      </c>
      <c r="I804" s="2">
        <v>3</v>
      </c>
      <c r="J804" s="2">
        <v>2</v>
      </c>
      <c r="K804" s="2">
        <v>0</v>
      </c>
      <c r="L804" s="2">
        <v>0</v>
      </c>
      <c r="M804" s="2" t="s">
        <v>60</v>
      </c>
      <c r="N804" s="2" t="s">
        <v>43</v>
      </c>
      <c r="O804" s="2" t="s">
        <v>49</v>
      </c>
      <c r="P804" s="2" t="s">
        <v>45</v>
      </c>
      <c r="Q804" s="2">
        <v>0</v>
      </c>
      <c r="R804" s="2">
        <v>0</v>
      </c>
      <c r="S804" s="2">
        <v>0</v>
      </c>
      <c r="T804" s="2" t="s">
        <v>57</v>
      </c>
      <c r="U804" s="2" t="s">
        <v>57</v>
      </c>
      <c r="V804" s="2">
        <v>1</v>
      </c>
      <c r="W804" s="2" t="s">
        <v>38</v>
      </c>
      <c r="X804" s="2">
        <v>3</v>
      </c>
      <c r="Y804" s="2"/>
      <c r="Z804" s="2">
        <v>0</v>
      </c>
      <c r="AA804" s="2" t="s">
        <v>51</v>
      </c>
      <c r="AB804" s="2">
        <v>95.4</v>
      </c>
      <c r="AC804" s="2">
        <v>0</v>
      </c>
      <c r="AD804" s="2">
        <v>1</v>
      </c>
      <c r="AE804" s="2" t="s">
        <v>47</v>
      </c>
      <c r="AF804" s="3">
        <v>42804</v>
      </c>
    </row>
    <row r="805" spans="1:32" x14ac:dyDescent="0.25">
      <c r="A805" s="2" t="s">
        <v>32</v>
      </c>
      <c r="B805" s="2">
        <v>0</v>
      </c>
      <c r="C805" s="2">
        <v>33</v>
      </c>
      <c r="D805" s="2">
        <v>2017</v>
      </c>
      <c r="E805" s="2" t="s">
        <v>83</v>
      </c>
      <c r="F805" s="2">
        <v>23</v>
      </c>
      <c r="G805" s="2">
        <v>10</v>
      </c>
      <c r="H805" s="2">
        <v>0</v>
      </c>
      <c r="I805" s="2">
        <v>1</v>
      </c>
      <c r="J805" s="2">
        <v>2</v>
      </c>
      <c r="K805" s="2">
        <v>0</v>
      </c>
      <c r="L805" s="2">
        <v>0</v>
      </c>
      <c r="M805" s="2" t="s">
        <v>34</v>
      </c>
      <c r="N805" s="2" t="s">
        <v>43</v>
      </c>
      <c r="O805" s="2" t="s">
        <v>36</v>
      </c>
      <c r="P805" s="2" t="s">
        <v>36</v>
      </c>
      <c r="Q805" s="2">
        <v>0</v>
      </c>
      <c r="R805" s="2">
        <v>0</v>
      </c>
      <c r="S805" s="2">
        <v>0</v>
      </c>
      <c r="T805" s="2" t="s">
        <v>46</v>
      </c>
      <c r="U805" s="2" t="s">
        <v>46</v>
      </c>
      <c r="V805" s="2">
        <v>0</v>
      </c>
      <c r="W805" s="2" t="s">
        <v>38</v>
      </c>
      <c r="X805" s="2"/>
      <c r="Y805" s="2"/>
      <c r="Z805" s="2">
        <v>0</v>
      </c>
      <c r="AA805" s="2" t="s">
        <v>39</v>
      </c>
      <c r="AB805" s="2">
        <v>118</v>
      </c>
      <c r="AC805" s="2">
        <v>1</v>
      </c>
      <c r="AD805" s="2">
        <v>2</v>
      </c>
      <c r="AE805" s="2" t="s">
        <v>40</v>
      </c>
      <c r="AF805" s="3">
        <v>42897</v>
      </c>
    </row>
    <row r="806" spans="1:32" x14ac:dyDescent="0.25">
      <c r="A806" s="2" t="s">
        <v>41</v>
      </c>
      <c r="B806" s="2">
        <v>1</v>
      </c>
      <c r="C806" s="2">
        <v>115</v>
      </c>
      <c r="D806" s="2">
        <v>2017</v>
      </c>
      <c r="E806" s="2" t="s">
        <v>69</v>
      </c>
      <c r="F806" s="2">
        <v>20</v>
      </c>
      <c r="G806" s="2">
        <v>18</v>
      </c>
      <c r="H806" s="2">
        <v>0</v>
      </c>
      <c r="I806" s="2">
        <v>3</v>
      </c>
      <c r="J806" s="2">
        <v>2</v>
      </c>
      <c r="K806" s="2">
        <v>0</v>
      </c>
      <c r="L806" s="2">
        <v>0</v>
      </c>
      <c r="M806" s="2" t="s">
        <v>34</v>
      </c>
      <c r="N806" s="2" t="s">
        <v>43</v>
      </c>
      <c r="O806" s="2" t="s">
        <v>49</v>
      </c>
      <c r="P806" s="2" t="s">
        <v>45</v>
      </c>
      <c r="Q806" s="2">
        <v>0</v>
      </c>
      <c r="R806" s="2">
        <v>0</v>
      </c>
      <c r="S806" s="2">
        <v>0</v>
      </c>
      <c r="T806" s="2" t="s">
        <v>46</v>
      </c>
      <c r="U806" s="2" t="s">
        <v>46</v>
      </c>
      <c r="V806" s="2">
        <v>0</v>
      </c>
      <c r="W806" s="2" t="s">
        <v>68</v>
      </c>
      <c r="X806" s="2">
        <v>170</v>
      </c>
      <c r="Y806" s="2"/>
      <c r="Z806" s="2">
        <v>0</v>
      </c>
      <c r="AA806" s="2" t="s">
        <v>39</v>
      </c>
      <c r="AB806" s="2">
        <v>190</v>
      </c>
      <c r="AC806" s="2">
        <v>0</v>
      </c>
      <c r="AD806" s="2">
        <v>0</v>
      </c>
      <c r="AE806" s="2" t="s">
        <v>47</v>
      </c>
      <c r="AF806" s="3">
        <v>42758</v>
      </c>
    </row>
    <row r="807" spans="1:32" x14ac:dyDescent="0.25">
      <c r="A807" s="2" t="s">
        <v>32</v>
      </c>
      <c r="B807" s="2">
        <v>0</v>
      </c>
      <c r="C807" s="2">
        <v>22</v>
      </c>
      <c r="D807" s="2">
        <v>2017</v>
      </c>
      <c r="E807" s="2" t="s">
        <v>67</v>
      </c>
      <c r="F807" s="2">
        <v>34</v>
      </c>
      <c r="G807" s="2">
        <v>25</v>
      </c>
      <c r="H807" s="2">
        <v>1</v>
      </c>
      <c r="I807" s="2">
        <v>2</v>
      </c>
      <c r="J807" s="2">
        <v>2</v>
      </c>
      <c r="K807" s="2">
        <v>2</v>
      </c>
      <c r="L807" s="2">
        <v>0</v>
      </c>
      <c r="M807" s="2" t="s">
        <v>60</v>
      </c>
      <c r="N807" s="2" t="s">
        <v>63</v>
      </c>
      <c r="O807" s="2" t="s">
        <v>44</v>
      </c>
      <c r="P807" s="2" t="s">
        <v>45</v>
      </c>
      <c r="Q807" s="2">
        <v>0</v>
      </c>
      <c r="R807" s="2">
        <v>0</v>
      </c>
      <c r="S807" s="2">
        <v>0</v>
      </c>
      <c r="T807" s="2" t="s">
        <v>104</v>
      </c>
      <c r="U807" s="2" t="s">
        <v>104</v>
      </c>
      <c r="V807" s="2">
        <v>1</v>
      </c>
      <c r="W807" s="2" t="s">
        <v>38</v>
      </c>
      <c r="X807" s="2">
        <v>240</v>
      </c>
      <c r="Y807" s="2"/>
      <c r="Z807" s="2">
        <v>0</v>
      </c>
      <c r="AA807" s="2" t="s">
        <v>51</v>
      </c>
      <c r="AB807" s="2">
        <v>314.67</v>
      </c>
      <c r="AC807" s="2">
        <v>0</v>
      </c>
      <c r="AD807" s="2">
        <v>2</v>
      </c>
      <c r="AE807" s="2" t="s">
        <v>40</v>
      </c>
      <c r="AF807" s="3">
        <v>42975</v>
      </c>
    </row>
    <row r="808" spans="1:32" x14ac:dyDescent="0.25">
      <c r="A808" s="2" t="s">
        <v>41</v>
      </c>
      <c r="B808" s="2">
        <v>1</v>
      </c>
      <c r="C808" s="2">
        <v>462</v>
      </c>
      <c r="D808" s="2">
        <v>2017</v>
      </c>
      <c r="E808" s="2" t="s">
        <v>42</v>
      </c>
      <c r="F808" s="2">
        <v>26</v>
      </c>
      <c r="G808" s="2">
        <v>1</v>
      </c>
      <c r="H808" s="2">
        <v>2</v>
      </c>
      <c r="I808" s="2">
        <v>1</v>
      </c>
      <c r="J808" s="2">
        <v>2</v>
      </c>
      <c r="K808" s="2">
        <v>0</v>
      </c>
      <c r="L808" s="2">
        <v>0</v>
      </c>
      <c r="M808" s="2" t="s">
        <v>34</v>
      </c>
      <c r="N808" s="2" t="s">
        <v>43</v>
      </c>
      <c r="O808" s="2" t="s">
        <v>64</v>
      </c>
      <c r="P808" s="2" t="s">
        <v>45</v>
      </c>
      <c r="Q808" s="2">
        <v>0</v>
      </c>
      <c r="R808" s="2">
        <v>0</v>
      </c>
      <c r="S808" s="2">
        <v>0</v>
      </c>
      <c r="T808" s="2" t="s">
        <v>46</v>
      </c>
      <c r="U808" s="2" t="s">
        <v>46</v>
      </c>
      <c r="V808" s="2">
        <v>0</v>
      </c>
      <c r="W808" s="2" t="s">
        <v>38</v>
      </c>
      <c r="X808" s="2">
        <v>229</v>
      </c>
      <c r="Y808" s="2"/>
      <c r="Z808" s="2">
        <v>0</v>
      </c>
      <c r="AA808" s="2" t="s">
        <v>51</v>
      </c>
      <c r="AB808" s="2">
        <v>112.67</v>
      </c>
      <c r="AC808" s="2">
        <v>0</v>
      </c>
      <c r="AD808" s="2">
        <v>1</v>
      </c>
      <c r="AE808" s="2" t="s">
        <v>47</v>
      </c>
      <c r="AF808" s="3">
        <v>42907</v>
      </c>
    </row>
    <row r="809" spans="1:32" x14ac:dyDescent="0.25">
      <c r="A809" s="2" t="s">
        <v>41</v>
      </c>
      <c r="B809" s="2">
        <v>0</v>
      </c>
      <c r="C809" s="2">
        <v>79</v>
      </c>
      <c r="D809" s="2">
        <v>2017</v>
      </c>
      <c r="E809" s="2" t="s">
        <v>54</v>
      </c>
      <c r="F809" s="2">
        <v>17</v>
      </c>
      <c r="G809" s="2">
        <v>24</v>
      </c>
      <c r="H809" s="2">
        <v>1</v>
      </c>
      <c r="I809" s="2">
        <v>3</v>
      </c>
      <c r="J809" s="2">
        <v>2</v>
      </c>
      <c r="K809" s="2">
        <v>0</v>
      </c>
      <c r="L809" s="2">
        <v>0</v>
      </c>
      <c r="M809" s="2" t="s">
        <v>34</v>
      </c>
      <c r="N809" s="2" t="s">
        <v>70</v>
      </c>
      <c r="O809" s="2" t="s">
        <v>44</v>
      </c>
      <c r="P809" s="2" t="s">
        <v>45</v>
      </c>
      <c r="Q809" s="2">
        <v>0</v>
      </c>
      <c r="R809" s="2">
        <v>0</v>
      </c>
      <c r="S809" s="2">
        <v>0</v>
      </c>
      <c r="T809" s="2" t="s">
        <v>57</v>
      </c>
      <c r="U809" s="2" t="s">
        <v>57</v>
      </c>
      <c r="V809" s="2">
        <v>0</v>
      </c>
      <c r="W809" s="2" t="s">
        <v>38</v>
      </c>
      <c r="X809" s="2">
        <v>9</v>
      </c>
      <c r="Y809" s="2"/>
      <c r="Z809" s="2">
        <v>0</v>
      </c>
      <c r="AA809" s="2" t="s">
        <v>39</v>
      </c>
      <c r="AB809" s="2">
        <v>132.75</v>
      </c>
      <c r="AC809" s="2">
        <v>0</v>
      </c>
      <c r="AD809" s="2">
        <v>1</v>
      </c>
      <c r="AE809" s="2" t="s">
        <v>40</v>
      </c>
      <c r="AF809" s="3">
        <v>42853</v>
      </c>
    </row>
    <row r="810" spans="1:32" x14ac:dyDescent="0.25">
      <c r="A810" s="2" t="s">
        <v>41</v>
      </c>
      <c r="B810" s="2">
        <v>1</v>
      </c>
      <c r="C810" s="2">
        <v>177</v>
      </c>
      <c r="D810" s="2">
        <v>2017</v>
      </c>
      <c r="E810" s="2" t="s">
        <v>42</v>
      </c>
      <c r="F810" s="2">
        <v>27</v>
      </c>
      <c r="G810" s="2">
        <v>3</v>
      </c>
      <c r="H810" s="2">
        <v>1</v>
      </c>
      <c r="I810" s="2">
        <v>1</v>
      </c>
      <c r="J810" s="2">
        <v>2</v>
      </c>
      <c r="K810" s="2">
        <v>0</v>
      </c>
      <c r="L810" s="2">
        <v>0</v>
      </c>
      <c r="M810" s="2" t="s">
        <v>55</v>
      </c>
      <c r="N810" s="2" t="s">
        <v>95</v>
      </c>
      <c r="O810" s="2" t="s">
        <v>44</v>
      </c>
      <c r="P810" s="2" t="s">
        <v>45</v>
      </c>
      <c r="Q810" s="2">
        <v>0</v>
      </c>
      <c r="R810" s="2">
        <v>0</v>
      </c>
      <c r="S810" s="2">
        <v>0</v>
      </c>
      <c r="T810" s="2" t="s">
        <v>46</v>
      </c>
      <c r="U810" s="2" t="s">
        <v>46</v>
      </c>
      <c r="V810" s="2">
        <v>0</v>
      </c>
      <c r="W810" s="2" t="s">
        <v>38</v>
      </c>
      <c r="X810" s="2">
        <v>9</v>
      </c>
      <c r="Y810" s="2"/>
      <c r="Z810" s="2">
        <v>0</v>
      </c>
      <c r="AA810" s="2" t="s">
        <v>39</v>
      </c>
      <c r="AB810" s="2">
        <v>89.1</v>
      </c>
      <c r="AC810" s="2">
        <v>0</v>
      </c>
      <c r="AD810" s="2">
        <v>0</v>
      </c>
      <c r="AE810" s="2" t="s">
        <v>47</v>
      </c>
      <c r="AF810" s="3">
        <v>42816</v>
      </c>
    </row>
    <row r="811" spans="1:32" x14ac:dyDescent="0.25">
      <c r="A811" s="2" t="s">
        <v>41</v>
      </c>
      <c r="B811" s="2">
        <v>0</v>
      </c>
      <c r="C811" s="2">
        <v>20</v>
      </c>
      <c r="D811" s="2">
        <v>2017</v>
      </c>
      <c r="E811" s="2" t="s">
        <v>69</v>
      </c>
      <c r="F811" s="2">
        <v>21</v>
      </c>
      <c r="G811" s="2">
        <v>24</v>
      </c>
      <c r="H811" s="2">
        <v>0</v>
      </c>
      <c r="I811" s="2">
        <v>1</v>
      </c>
      <c r="J811" s="2">
        <v>2</v>
      </c>
      <c r="K811" s="2">
        <v>0</v>
      </c>
      <c r="L811" s="2">
        <v>0</v>
      </c>
      <c r="M811" s="2" t="s">
        <v>34</v>
      </c>
      <c r="N811" s="2" t="s">
        <v>63</v>
      </c>
      <c r="O811" s="2" t="s">
        <v>64</v>
      </c>
      <c r="P811" s="2" t="s">
        <v>45</v>
      </c>
      <c r="Q811" s="2">
        <v>0</v>
      </c>
      <c r="R811" s="2">
        <v>0</v>
      </c>
      <c r="S811" s="2">
        <v>0</v>
      </c>
      <c r="T811" s="2" t="s">
        <v>46</v>
      </c>
      <c r="U811" s="2" t="s">
        <v>46</v>
      </c>
      <c r="V811" s="2">
        <v>0</v>
      </c>
      <c r="W811" s="2" t="s">
        <v>38</v>
      </c>
      <c r="X811" s="2">
        <v>87</v>
      </c>
      <c r="Y811" s="2"/>
      <c r="Z811" s="2">
        <v>0</v>
      </c>
      <c r="AA811" s="2" t="s">
        <v>51</v>
      </c>
      <c r="AB811" s="2">
        <v>120</v>
      </c>
      <c r="AC811" s="2">
        <v>0</v>
      </c>
      <c r="AD811" s="2">
        <v>0</v>
      </c>
      <c r="AE811" s="2" t="s">
        <v>40</v>
      </c>
      <c r="AF811" s="3">
        <v>42880</v>
      </c>
    </row>
    <row r="812" spans="1:32" x14ac:dyDescent="0.25">
      <c r="A812" s="2" t="s">
        <v>32</v>
      </c>
      <c r="B812" s="2">
        <v>1</v>
      </c>
      <c r="C812" s="2">
        <v>19</v>
      </c>
      <c r="D812" s="2">
        <v>2017</v>
      </c>
      <c r="E812" s="2" t="s">
        <v>74</v>
      </c>
      <c r="F812" s="2">
        <v>3</v>
      </c>
      <c r="G812" s="2">
        <v>15</v>
      </c>
      <c r="H812" s="2">
        <v>2</v>
      </c>
      <c r="I812" s="2">
        <v>2</v>
      </c>
      <c r="J812" s="2">
        <v>3</v>
      </c>
      <c r="K812" s="2">
        <v>1</v>
      </c>
      <c r="L812" s="2">
        <v>0</v>
      </c>
      <c r="M812" s="2" t="s">
        <v>34</v>
      </c>
      <c r="N812" s="2" t="s">
        <v>95</v>
      </c>
      <c r="O812" s="2" t="s">
        <v>44</v>
      </c>
      <c r="P812" s="2" t="s">
        <v>45</v>
      </c>
      <c r="Q812" s="2">
        <v>0</v>
      </c>
      <c r="R812" s="2">
        <v>0</v>
      </c>
      <c r="S812" s="2">
        <v>0</v>
      </c>
      <c r="T812" s="2" t="s">
        <v>92</v>
      </c>
      <c r="U812" s="2" t="s">
        <v>92</v>
      </c>
      <c r="V812" s="2">
        <v>0</v>
      </c>
      <c r="W812" s="2" t="s">
        <v>38</v>
      </c>
      <c r="X812" s="2">
        <v>240</v>
      </c>
      <c r="Y812" s="2"/>
      <c r="Z812" s="2">
        <v>0</v>
      </c>
      <c r="AA812" s="2" t="s">
        <v>39</v>
      </c>
      <c r="AB812" s="2">
        <v>93</v>
      </c>
      <c r="AC812" s="2">
        <v>0</v>
      </c>
      <c r="AD812" s="2">
        <v>1</v>
      </c>
      <c r="AE812" s="2" t="s">
        <v>47</v>
      </c>
      <c r="AF812" s="3">
        <v>42731</v>
      </c>
    </row>
    <row r="813" spans="1:32" x14ac:dyDescent="0.25">
      <c r="A813" s="2" t="s">
        <v>32</v>
      </c>
      <c r="B813" s="2">
        <v>0</v>
      </c>
      <c r="C813" s="2">
        <v>2</v>
      </c>
      <c r="D813" s="2">
        <v>2017</v>
      </c>
      <c r="E813" s="2" t="s">
        <v>66</v>
      </c>
      <c r="F813" s="2">
        <v>6</v>
      </c>
      <c r="G813" s="2">
        <v>10</v>
      </c>
      <c r="H813" s="2">
        <v>0</v>
      </c>
      <c r="I813" s="2">
        <v>2</v>
      </c>
      <c r="J813" s="2">
        <v>2</v>
      </c>
      <c r="K813" s="2">
        <v>0</v>
      </c>
      <c r="L813" s="2">
        <v>0</v>
      </c>
      <c r="M813" s="2" t="s">
        <v>34</v>
      </c>
      <c r="N813" s="2" t="s">
        <v>63</v>
      </c>
      <c r="O813" s="2" t="s">
        <v>44</v>
      </c>
      <c r="P813" s="2" t="s">
        <v>45</v>
      </c>
      <c r="Q813" s="2">
        <v>0</v>
      </c>
      <c r="R813" s="2">
        <v>0</v>
      </c>
      <c r="S813" s="2">
        <v>0</v>
      </c>
      <c r="T813" s="2" t="s">
        <v>46</v>
      </c>
      <c r="U813" s="2" t="s">
        <v>46</v>
      </c>
      <c r="V813" s="2">
        <v>0</v>
      </c>
      <c r="W813" s="2" t="s">
        <v>38</v>
      </c>
      <c r="X813" s="2">
        <v>240</v>
      </c>
      <c r="Y813" s="2"/>
      <c r="Z813" s="2">
        <v>0</v>
      </c>
      <c r="AA813" s="2" t="s">
        <v>39</v>
      </c>
      <c r="AB813" s="2">
        <v>48</v>
      </c>
      <c r="AC813" s="2">
        <v>0</v>
      </c>
      <c r="AD813" s="2">
        <v>2</v>
      </c>
      <c r="AE813" s="2" t="s">
        <v>40</v>
      </c>
      <c r="AF813" s="3">
        <v>42778</v>
      </c>
    </row>
    <row r="814" spans="1:32" x14ac:dyDescent="0.25">
      <c r="A814" s="2" t="s">
        <v>32</v>
      </c>
      <c r="B814" s="2">
        <v>0</v>
      </c>
      <c r="C814" s="2">
        <v>40</v>
      </c>
      <c r="D814" s="2">
        <v>2017</v>
      </c>
      <c r="E814" s="2" t="s">
        <v>74</v>
      </c>
      <c r="F814" s="2">
        <v>3</v>
      </c>
      <c r="G814" s="2">
        <v>16</v>
      </c>
      <c r="H814" s="2">
        <v>1</v>
      </c>
      <c r="I814" s="2">
        <v>2</v>
      </c>
      <c r="J814" s="2">
        <v>1</v>
      </c>
      <c r="K814" s="2">
        <v>0</v>
      </c>
      <c r="L814" s="2">
        <v>0</v>
      </c>
      <c r="M814" s="2" t="s">
        <v>77</v>
      </c>
      <c r="N814" s="2" t="s">
        <v>43</v>
      </c>
      <c r="O814" s="2" t="s">
        <v>64</v>
      </c>
      <c r="P814" s="2" t="s">
        <v>36</v>
      </c>
      <c r="Q814" s="2">
        <v>0</v>
      </c>
      <c r="R814" s="2">
        <v>0</v>
      </c>
      <c r="S814" s="2">
        <v>0</v>
      </c>
      <c r="T814" s="2" t="s">
        <v>46</v>
      </c>
      <c r="U814" s="2" t="s">
        <v>46</v>
      </c>
      <c r="V814" s="2">
        <v>0</v>
      </c>
      <c r="W814" s="2" t="s">
        <v>38</v>
      </c>
      <c r="X814" s="2"/>
      <c r="Y814" s="2"/>
      <c r="Z814" s="2">
        <v>0</v>
      </c>
      <c r="AA814" s="2" t="s">
        <v>51</v>
      </c>
      <c r="AB814" s="2">
        <v>55</v>
      </c>
      <c r="AC814" s="2">
        <v>0</v>
      </c>
      <c r="AD814" s="2">
        <v>0</v>
      </c>
      <c r="AE814" s="2" t="s">
        <v>40</v>
      </c>
      <c r="AF814" s="3">
        <v>42754</v>
      </c>
    </row>
    <row r="815" spans="1:32" x14ac:dyDescent="0.25">
      <c r="A815" s="2" t="s">
        <v>41</v>
      </c>
      <c r="B815" s="2">
        <v>1</v>
      </c>
      <c r="C815" s="2">
        <v>37</v>
      </c>
      <c r="D815" s="2">
        <v>2017</v>
      </c>
      <c r="E815" s="2" t="s">
        <v>52</v>
      </c>
      <c r="F815" s="2">
        <v>11</v>
      </c>
      <c r="G815" s="2">
        <v>15</v>
      </c>
      <c r="H815" s="2">
        <v>0</v>
      </c>
      <c r="I815" s="2">
        <v>2</v>
      </c>
      <c r="J815" s="2">
        <v>2</v>
      </c>
      <c r="K815" s="2">
        <v>0</v>
      </c>
      <c r="L815" s="2">
        <v>0</v>
      </c>
      <c r="M815" s="2" t="s">
        <v>34</v>
      </c>
      <c r="N815" s="2" t="s">
        <v>43</v>
      </c>
      <c r="O815" s="2" t="s">
        <v>64</v>
      </c>
      <c r="P815" s="2" t="s">
        <v>45</v>
      </c>
      <c r="Q815" s="2">
        <v>0</v>
      </c>
      <c r="R815" s="2">
        <v>0</v>
      </c>
      <c r="S815" s="2">
        <v>0</v>
      </c>
      <c r="T815" s="2" t="s">
        <v>46</v>
      </c>
      <c r="U815" s="2" t="s">
        <v>46</v>
      </c>
      <c r="V815" s="2">
        <v>0</v>
      </c>
      <c r="W815" s="2" t="s">
        <v>68</v>
      </c>
      <c r="X815" s="2">
        <v>378</v>
      </c>
      <c r="Y815" s="2"/>
      <c r="Z815" s="2">
        <v>0</v>
      </c>
      <c r="AA815" s="2" t="s">
        <v>39</v>
      </c>
      <c r="AB815" s="2">
        <v>110</v>
      </c>
      <c r="AC815" s="2">
        <v>0</v>
      </c>
      <c r="AD815" s="2">
        <v>0</v>
      </c>
      <c r="AE815" s="2" t="s">
        <v>47</v>
      </c>
      <c r="AF815" s="3">
        <v>42772</v>
      </c>
    </row>
    <row r="816" spans="1:32" x14ac:dyDescent="0.25">
      <c r="A816" s="2" t="s">
        <v>41</v>
      </c>
      <c r="B816" s="2">
        <v>1</v>
      </c>
      <c r="C816" s="2">
        <v>262</v>
      </c>
      <c r="D816" s="2">
        <v>2017</v>
      </c>
      <c r="E816" s="2" t="s">
        <v>69</v>
      </c>
      <c r="F816" s="2">
        <v>21</v>
      </c>
      <c r="G816" s="2">
        <v>24</v>
      </c>
      <c r="H816" s="2">
        <v>0</v>
      </c>
      <c r="I816" s="2">
        <v>4</v>
      </c>
      <c r="J816" s="2">
        <v>3</v>
      </c>
      <c r="K816" s="2">
        <v>0</v>
      </c>
      <c r="L816" s="2">
        <v>0</v>
      </c>
      <c r="M816" s="2" t="s">
        <v>34</v>
      </c>
      <c r="N816" s="2" t="s">
        <v>103</v>
      </c>
      <c r="O816" s="2" t="s">
        <v>44</v>
      </c>
      <c r="P816" s="2" t="s">
        <v>45</v>
      </c>
      <c r="Q816" s="2">
        <v>0</v>
      </c>
      <c r="R816" s="2">
        <v>0</v>
      </c>
      <c r="S816" s="2">
        <v>0</v>
      </c>
      <c r="T816" s="2" t="s">
        <v>57</v>
      </c>
      <c r="U816" s="2" t="s">
        <v>57</v>
      </c>
      <c r="V816" s="2">
        <v>0</v>
      </c>
      <c r="W816" s="2" t="s">
        <v>38</v>
      </c>
      <c r="X816" s="2">
        <v>9</v>
      </c>
      <c r="Y816" s="2"/>
      <c r="Z816" s="2">
        <v>0</v>
      </c>
      <c r="AA816" s="2" t="s">
        <v>39</v>
      </c>
      <c r="AB816" s="2">
        <v>157.5</v>
      </c>
      <c r="AC816" s="2">
        <v>0</v>
      </c>
      <c r="AD816" s="2">
        <v>2</v>
      </c>
      <c r="AE816" s="2" t="s">
        <v>47</v>
      </c>
      <c r="AF816" s="3">
        <v>42635</v>
      </c>
    </row>
    <row r="817" spans="1:32" x14ac:dyDescent="0.25">
      <c r="A817" s="2" t="s">
        <v>41</v>
      </c>
      <c r="B817" s="2">
        <v>0</v>
      </c>
      <c r="C817" s="2">
        <v>68</v>
      </c>
      <c r="D817" s="2">
        <v>2017</v>
      </c>
      <c r="E817" s="2" t="s">
        <v>42</v>
      </c>
      <c r="F817" s="2">
        <v>28</v>
      </c>
      <c r="G817" s="2">
        <v>10</v>
      </c>
      <c r="H817" s="2">
        <v>1</v>
      </c>
      <c r="I817" s="2">
        <v>0</v>
      </c>
      <c r="J817" s="2">
        <v>2</v>
      </c>
      <c r="K817" s="2">
        <v>0</v>
      </c>
      <c r="L817" s="2">
        <v>0</v>
      </c>
      <c r="M817" s="2" t="s">
        <v>55</v>
      </c>
      <c r="N817" s="2" t="s">
        <v>35</v>
      </c>
      <c r="O817" s="2" t="s">
        <v>44</v>
      </c>
      <c r="P817" s="2" t="s">
        <v>45</v>
      </c>
      <c r="Q817" s="2">
        <v>0</v>
      </c>
      <c r="R817" s="2">
        <v>0</v>
      </c>
      <c r="S817" s="2">
        <v>0</v>
      </c>
      <c r="T817" s="2" t="s">
        <v>46</v>
      </c>
      <c r="U817" s="2" t="s">
        <v>57</v>
      </c>
      <c r="V817" s="2">
        <v>0</v>
      </c>
      <c r="W817" s="2" t="s">
        <v>38</v>
      </c>
      <c r="X817" s="2">
        <v>9</v>
      </c>
      <c r="Y817" s="2"/>
      <c r="Z817" s="2">
        <v>0</v>
      </c>
      <c r="AA817" s="2" t="s">
        <v>39</v>
      </c>
      <c r="AB817" s="2">
        <v>100</v>
      </c>
      <c r="AC817" s="2">
        <v>0</v>
      </c>
      <c r="AD817" s="2">
        <v>1</v>
      </c>
      <c r="AE817" s="2" t="s">
        <v>40</v>
      </c>
      <c r="AF817" s="3">
        <v>42927</v>
      </c>
    </row>
    <row r="818" spans="1:32" x14ac:dyDescent="0.25">
      <c r="A818" s="2" t="s">
        <v>41</v>
      </c>
      <c r="B818" s="2">
        <v>0</v>
      </c>
      <c r="C818" s="2">
        <v>50</v>
      </c>
      <c r="D818" s="2">
        <v>2017</v>
      </c>
      <c r="E818" s="2" t="s">
        <v>52</v>
      </c>
      <c r="F818" s="2">
        <v>12</v>
      </c>
      <c r="G818" s="2">
        <v>21</v>
      </c>
      <c r="H818" s="2">
        <v>0</v>
      </c>
      <c r="I818" s="2">
        <v>4</v>
      </c>
      <c r="J818" s="2">
        <v>2</v>
      </c>
      <c r="K818" s="2">
        <v>0</v>
      </c>
      <c r="L818" s="2">
        <v>0</v>
      </c>
      <c r="M818" s="2" t="s">
        <v>55</v>
      </c>
      <c r="N818" s="2" t="s">
        <v>70</v>
      </c>
      <c r="O818" s="2" t="s">
        <v>44</v>
      </c>
      <c r="P818" s="2" t="s">
        <v>45</v>
      </c>
      <c r="Q818" s="2">
        <v>0</v>
      </c>
      <c r="R818" s="2">
        <v>0</v>
      </c>
      <c r="S818" s="2">
        <v>0</v>
      </c>
      <c r="T818" s="2" t="s">
        <v>46</v>
      </c>
      <c r="U818" s="2" t="s">
        <v>46</v>
      </c>
      <c r="V818" s="2">
        <v>0</v>
      </c>
      <c r="W818" s="2" t="s">
        <v>38</v>
      </c>
      <c r="X818" s="2">
        <v>7</v>
      </c>
      <c r="Y818" s="2"/>
      <c r="Z818" s="2">
        <v>0</v>
      </c>
      <c r="AA818" s="2" t="s">
        <v>39</v>
      </c>
      <c r="AB818" s="2">
        <v>57.6</v>
      </c>
      <c r="AC818" s="2">
        <v>0</v>
      </c>
      <c r="AD818" s="2">
        <v>0</v>
      </c>
      <c r="AE818" s="2" t="s">
        <v>40</v>
      </c>
      <c r="AF818" s="3">
        <v>42819</v>
      </c>
    </row>
    <row r="819" spans="1:32" x14ac:dyDescent="0.25">
      <c r="A819" s="2" t="s">
        <v>32</v>
      </c>
      <c r="B819" s="2">
        <v>1</v>
      </c>
      <c r="C819" s="2">
        <v>22</v>
      </c>
      <c r="D819" s="2">
        <v>2017</v>
      </c>
      <c r="E819" s="2" t="s">
        <v>83</v>
      </c>
      <c r="F819" s="2">
        <v>26</v>
      </c>
      <c r="G819" s="2">
        <v>29</v>
      </c>
      <c r="H819" s="2">
        <v>0</v>
      </c>
      <c r="I819" s="2">
        <v>1</v>
      </c>
      <c r="J819" s="2">
        <v>1</v>
      </c>
      <c r="K819" s="2">
        <v>0</v>
      </c>
      <c r="L819" s="2">
        <v>0</v>
      </c>
      <c r="M819" s="2" t="s">
        <v>34</v>
      </c>
      <c r="N819" s="2" t="s">
        <v>43</v>
      </c>
      <c r="O819" s="2" t="s">
        <v>36</v>
      </c>
      <c r="P819" s="2" t="s">
        <v>36</v>
      </c>
      <c r="Q819" s="2">
        <v>0</v>
      </c>
      <c r="R819" s="2">
        <v>0</v>
      </c>
      <c r="S819" s="2">
        <v>0</v>
      </c>
      <c r="T819" s="2" t="s">
        <v>46</v>
      </c>
      <c r="U819" s="2" t="s">
        <v>46</v>
      </c>
      <c r="V819" s="2">
        <v>0</v>
      </c>
      <c r="W819" s="2" t="s">
        <v>38</v>
      </c>
      <c r="X819" s="2"/>
      <c r="Y819" s="2"/>
      <c r="Z819" s="2">
        <v>0</v>
      </c>
      <c r="AA819" s="2" t="s">
        <v>39</v>
      </c>
      <c r="AB819" s="2">
        <v>60</v>
      </c>
      <c r="AC819" s="2">
        <v>0</v>
      </c>
      <c r="AD819" s="2">
        <v>0</v>
      </c>
      <c r="AE819" s="2" t="s">
        <v>47</v>
      </c>
      <c r="AF819" s="3">
        <v>42914</v>
      </c>
    </row>
    <row r="820" spans="1:32" x14ac:dyDescent="0.25">
      <c r="A820" s="2" t="s">
        <v>41</v>
      </c>
      <c r="B820" s="2">
        <v>1</v>
      </c>
      <c r="C820" s="2">
        <v>42</v>
      </c>
      <c r="D820" s="2">
        <v>2017</v>
      </c>
      <c r="E820" s="2" t="s">
        <v>54</v>
      </c>
      <c r="F820" s="2">
        <v>16</v>
      </c>
      <c r="G820" s="2">
        <v>16</v>
      </c>
      <c r="H820" s="2">
        <v>2</v>
      </c>
      <c r="I820" s="2">
        <v>2</v>
      </c>
      <c r="J820" s="2">
        <v>2</v>
      </c>
      <c r="K820" s="2">
        <v>0</v>
      </c>
      <c r="L820" s="2">
        <v>0</v>
      </c>
      <c r="M820" s="2" t="s">
        <v>34</v>
      </c>
      <c r="N820" s="2" t="s">
        <v>35</v>
      </c>
      <c r="O820" s="2" t="s">
        <v>44</v>
      </c>
      <c r="P820" s="2" t="s">
        <v>45</v>
      </c>
      <c r="Q820" s="2">
        <v>0</v>
      </c>
      <c r="R820" s="2">
        <v>0</v>
      </c>
      <c r="S820" s="2">
        <v>0</v>
      </c>
      <c r="T820" s="2" t="s">
        <v>57</v>
      </c>
      <c r="U820" s="2" t="s">
        <v>57</v>
      </c>
      <c r="V820" s="2">
        <v>0</v>
      </c>
      <c r="W820" s="2" t="s">
        <v>38</v>
      </c>
      <c r="X820" s="2">
        <v>9</v>
      </c>
      <c r="Y820" s="2"/>
      <c r="Z820" s="2">
        <v>0</v>
      </c>
      <c r="AA820" s="2" t="s">
        <v>39</v>
      </c>
      <c r="AB820" s="2">
        <v>146.25</v>
      </c>
      <c r="AC820" s="2">
        <v>0</v>
      </c>
      <c r="AD820" s="2">
        <v>0</v>
      </c>
      <c r="AE820" s="2" t="s">
        <v>47</v>
      </c>
      <c r="AF820" s="3">
        <v>42799</v>
      </c>
    </row>
    <row r="821" spans="1:32" x14ac:dyDescent="0.25">
      <c r="A821" s="2" t="s">
        <v>32</v>
      </c>
      <c r="B821" s="2">
        <v>0</v>
      </c>
      <c r="C821" s="2">
        <v>5</v>
      </c>
      <c r="D821" s="2">
        <v>2017</v>
      </c>
      <c r="E821" s="2" t="s">
        <v>74</v>
      </c>
      <c r="F821" s="2">
        <v>3</v>
      </c>
      <c r="G821" s="2">
        <v>19</v>
      </c>
      <c r="H821" s="2">
        <v>0</v>
      </c>
      <c r="I821" s="2">
        <v>3</v>
      </c>
      <c r="J821" s="2">
        <v>1</v>
      </c>
      <c r="K821" s="2">
        <v>0</v>
      </c>
      <c r="L821" s="2">
        <v>0</v>
      </c>
      <c r="M821" s="2" t="s">
        <v>34</v>
      </c>
      <c r="N821" s="2" t="s">
        <v>35</v>
      </c>
      <c r="O821" s="2" t="s">
        <v>44</v>
      </c>
      <c r="P821" s="2" t="s">
        <v>45</v>
      </c>
      <c r="Q821" s="2">
        <v>0</v>
      </c>
      <c r="R821" s="2">
        <v>0</v>
      </c>
      <c r="S821" s="2">
        <v>0</v>
      </c>
      <c r="T821" s="2" t="s">
        <v>46</v>
      </c>
      <c r="U821" s="2" t="s">
        <v>46</v>
      </c>
      <c r="V821" s="2">
        <v>0</v>
      </c>
      <c r="W821" s="2" t="s">
        <v>38</v>
      </c>
      <c r="X821" s="2">
        <v>240</v>
      </c>
      <c r="Y821" s="2"/>
      <c r="Z821" s="2">
        <v>0</v>
      </c>
      <c r="AA821" s="2" t="s">
        <v>39</v>
      </c>
      <c r="AB821" s="2">
        <v>43</v>
      </c>
      <c r="AC821" s="2">
        <v>0</v>
      </c>
      <c r="AD821" s="2">
        <v>3</v>
      </c>
      <c r="AE821" s="2" t="s">
        <v>40</v>
      </c>
      <c r="AF821" s="3">
        <v>42757</v>
      </c>
    </row>
    <row r="822" spans="1:32" x14ac:dyDescent="0.25">
      <c r="A822" s="2" t="s">
        <v>41</v>
      </c>
      <c r="B822" s="2">
        <v>0</v>
      </c>
      <c r="C822" s="2">
        <v>177</v>
      </c>
      <c r="D822" s="2">
        <v>2017</v>
      </c>
      <c r="E822" s="2" t="s">
        <v>67</v>
      </c>
      <c r="F822" s="2">
        <v>33</v>
      </c>
      <c r="G822" s="2">
        <v>16</v>
      </c>
      <c r="H822" s="2">
        <v>0</v>
      </c>
      <c r="I822" s="2">
        <v>4</v>
      </c>
      <c r="J822" s="2">
        <v>2</v>
      </c>
      <c r="K822" s="2">
        <v>0</v>
      </c>
      <c r="L822" s="2">
        <v>0</v>
      </c>
      <c r="M822" s="2" t="s">
        <v>34</v>
      </c>
      <c r="N822" s="2" t="s">
        <v>70</v>
      </c>
      <c r="O822" s="2" t="s">
        <v>44</v>
      </c>
      <c r="P822" s="2" t="s">
        <v>45</v>
      </c>
      <c r="Q822" s="2">
        <v>0</v>
      </c>
      <c r="R822" s="2">
        <v>0</v>
      </c>
      <c r="S822" s="2">
        <v>0</v>
      </c>
      <c r="T822" s="2" t="s">
        <v>57</v>
      </c>
      <c r="U822" s="2" t="s">
        <v>57</v>
      </c>
      <c r="V822" s="2">
        <v>0</v>
      </c>
      <c r="W822" s="2" t="s">
        <v>38</v>
      </c>
      <c r="X822" s="2">
        <v>354</v>
      </c>
      <c r="Y822" s="2"/>
      <c r="Z822" s="2">
        <v>0</v>
      </c>
      <c r="AA822" s="2" t="s">
        <v>39</v>
      </c>
      <c r="AB822" s="2">
        <v>121.77</v>
      </c>
      <c r="AC822" s="2">
        <v>0</v>
      </c>
      <c r="AD822" s="2">
        <v>0</v>
      </c>
      <c r="AE822" s="2" t="s">
        <v>40</v>
      </c>
      <c r="AF822" s="3">
        <v>42967</v>
      </c>
    </row>
    <row r="823" spans="1:32" x14ac:dyDescent="0.25">
      <c r="A823" s="2" t="s">
        <v>41</v>
      </c>
      <c r="B823" s="2">
        <v>0</v>
      </c>
      <c r="C823" s="2">
        <v>30</v>
      </c>
      <c r="D823" s="2">
        <v>2017</v>
      </c>
      <c r="E823" s="2" t="s">
        <v>83</v>
      </c>
      <c r="F823" s="2">
        <v>23</v>
      </c>
      <c r="G823" s="2">
        <v>4</v>
      </c>
      <c r="H823" s="2">
        <v>2</v>
      </c>
      <c r="I823" s="2">
        <v>1</v>
      </c>
      <c r="J823" s="2">
        <v>2</v>
      </c>
      <c r="K823" s="2">
        <v>0</v>
      </c>
      <c r="L823" s="2">
        <v>0</v>
      </c>
      <c r="M823" s="2" t="s">
        <v>55</v>
      </c>
      <c r="N823" s="2" t="s">
        <v>35</v>
      </c>
      <c r="O823" s="2" t="s">
        <v>44</v>
      </c>
      <c r="P823" s="2" t="s">
        <v>45</v>
      </c>
      <c r="Q823" s="2">
        <v>0</v>
      </c>
      <c r="R823" s="2">
        <v>0</v>
      </c>
      <c r="S823" s="2">
        <v>0</v>
      </c>
      <c r="T823" s="2" t="s">
        <v>46</v>
      </c>
      <c r="U823" s="2" t="s">
        <v>46</v>
      </c>
      <c r="V823" s="2">
        <v>0</v>
      </c>
      <c r="W823" s="2" t="s">
        <v>38</v>
      </c>
      <c r="X823" s="2">
        <v>9</v>
      </c>
      <c r="Y823" s="2"/>
      <c r="Z823" s="2">
        <v>0</v>
      </c>
      <c r="AA823" s="2" t="s">
        <v>39</v>
      </c>
      <c r="AB823" s="2">
        <v>133.33000000000001</v>
      </c>
      <c r="AC823" s="2">
        <v>0</v>
      </c>
      <c r="AD823" s="2">
        <v>1</v>
      </c>
      <c r="AE823" s="2" t="s">
        <v>40</v>
      </c>
      <c r="AF823" s="3">
        <v>42893</v>
      </c>
    </row>
    <row r="824" spans="1:32" x14ac:dyDescent="0.25">
      <c r="A824" s="2" t="s">
        <v>41</v>
      </c>
      <c r="B824" s="2">
        <v>0</v>
      </c>
      <c r="C824" s="2">
        <v>0</v>
      </c>
      <c r="D824" s="2">
        <v>2017</v>
      </c>
      <c r="E824" s="2" t="s">
        <v>74</v>
      </c>
      <c r="F824" s="2">
        <v>4</v>
      </c>
      <c r="G824" s="2">
        <v>25</v>
      </c>
      <c r="H824" s="2">
        <v>0</v>
      </c>
      <c r="I824" s="2">
        <v>2</v>
      </c>
      <c r="J824" s="2">
        <v>1</v>
      </c>
      <c r="K824" s="2">
        <v>0</v>
      </c>
      <c r="L824" s="2">
        <v>0</v>
      </c>
      <c r="M824" s="2" t="s">
        <v>34</v>
      </c>
      <c r="N824" s="2" t="s">
        <v>43</v>
      </c>
      <c r="O824" s="2" t="s">
        <v>64</v>
      </c>
      <c r="P824" s="2" t="s">
        <v>45</v>
      </c>
      <c r="Q824" s="2">
        <v>0</v>
      </c>
      <c r="R824" s="2">
        <v>0</v>
      </c>
      <c r="S824" s="2">
        <v>0</v>
      </c>
      <c r="T824" s="2" t="s">
        <v>46</v>
      </c>
      <c r="U824" s="2" t="s">
        <v>46</v>
      </c>
      <c r="V824" s="2">
        <v>0</v>
      </c>
      <c r="W824" s="2" t="s">
        <v>38</v>
      </c>
      <c r="X824" s="2"/>
      <c r="Y824" s="2">
        <v>365</v>
      </c>
      <c r="Z824" s="2">
        <v>0</v>
      </c>
      <c r="AA824" s="2" t="s">
        <v>51</v>
      </c>
      <c r="AB824" s="2">
        <v>85</v>
      </c>
      <c r="AC824" s="2">
        <v>0</v>
      </c>
      <c r="AD824" s="2">
        <v>0</v>
      </c>
      <c r="AE824" s="2" t="s">
        <v>40</v>
      </c>
      <c r="AF824" s="3">
        <v>42762</v>
      </c>
    </row>
    <row r="825" spans="1:32" x14ac:dyDescent="0.25">
      <c r="A825" s="2" t="s">
        <v>41</v>
      </c>
      <c r="B825" s="2">
        <v>0</v>
      </c>
      <c r="C825" s="2">
        <v>111</v>
      </c>
      <c r="D825" s="2">
        <v>2017</v>
      </c>
      <c r="E825" s="2" t="s">
        <v>67</v>
      </c>
      <c r="F825" s="2">
        <v>33</v>
      </c>
      <c r="G825" s="2">
        <v>14</v>
      </c>
      <c r="H825" s="2">
        <v>1</v>
      </c>
      <c r="I825" s="2">
        <v>2</v>
      </c>
      <c r="J825" s="2">
        <v>3</v>
      </c>
      <c r="K825" s="2">
        <v>0</v>
      </c>
      <c r="L825" s="2">
        <v>0</v>
      </c>
      <c r="M825" s="2" t="s">
        <v>34</v>
      </c>
      <c r="N825" s="2" t="s">
        <v>106</v>
      </c>
      <c r="O825" s="2" t="s">
        <v>44</v>
      </c>
      <c r="P825" s="2" t="s">
        <v>45</v>
      </c>
      <c r="Q825" s="2">
        <v>0</v>
      </c>
      <c r="R825" s="2">
        <v>0</v>
      </c>
      <c r="S825" s="2">
        <v>0</v>
      </c>
      <c r="T825" s="2" t="s">
        <v>72</v>
      </c>
      <c r="U825" s="2" t="s">
        <v>72</v>
      </c>
      <c r="V825" s="2">
        <v>0</v>
      </c>
      <c r="W825" s="2" t="s">
        <v>38</v>
      </c>
      <c r="X825" s="2">
        <v>9</v>
      </c>
      <c r="Y825" s="2"/>
      <c r="Z825" s="2">
        <v>0</v>
      </c>
      <c r="AA825" s="2" t="s">
        <v>39</v>
      </c>
      <c r="AB825" s="2">
        <v>225</v>
      </c>
      <c r="AC825" s="2">
        <v>0</v>
      </c>
      <c r="AD825" s="2">
        <v>2</v>
      </c>
      <c r="AE825" s="2" t="s">
        <v>40</v>
      </c>
      <c r="AF825" s="3">
        <v>42964</v>
      </c>
    </row>
    <row r="826" spans="1:32" x14ac:dyDescent="0.25">
      <c r="A826" s="2" t="s">
        <v>32</v>
      </c>
      <c r="B826" s="2">
        <v>0</v>
      </c>
      <c r="C826" s="2">
        <v>152</v>
      </c>
      <c r="D826" s="2">
        <v>2017</v>
      </c>
      <c r="E826" s="2" t="s">
        <v>83</v>
      </c>
      <c r="F826" s="2">
        <v>26</v>
      </c>
      <c r="G826" s="2">
        <v>28</v>
      </c>
      <c r="H826" s="2">
        <v>1</v>
      </c>
      <c r="I826" s="2">
        <v>4</v>
      </c>
      <c r="J826" s="2">
        <v>2</v>
      </c>
      <c r="K826" s="2">
        <v>0</v>
      </c>
      <c r="L826" s="2">
        <v>0</v>
      </c>
      <c r="M826" s="2" t="s">
        <v>60</v>
      </c>
      <c r="N826" s="2" t="s">
        <v>43</v>
      </c>
      <c r="O826" s="2" t="s">
        <v>44</v>
      </c>
      <c r="P826" s="2" t="s">
        <v>45</v>
      </c>
      <c r="Q826" s="2">
        <v>0</v>
      </c>
      <c r="R826" s="2">
        <v>0</v>
      </c>
      <c r="S826" s="2">
        <v>0</v>
      </c>
      <c r="T826" s="2" t="s">
        <v>46</v>
      </c>
      <c r="U826" s="2" t="s">
        <v>46</v>
      </c>
      <c r="V826" s="2">
        <v>0</v>
      </c>
      <c r="W826" s="2" t="s">
        <v>38</v>
      </c>
      <c r="X826" s="2">
        <v>196</v>
      </c>
      <c r="Y826" s="2"/>
      <c r="Z826" s="2">
        <v>0</v>
      </c>
      <c r="AA826" s="2" t="s">
        <v>39</v>
      </c>
      <c r="AB826" s="2">
        <v>106.5</v>
      </c>
      <c r="AC826" s="2">
        <v>0</v>
      </c>
      <c r="AD826" s="2">
        <v>0</v>
      </c>
      <c r="AE826" s="2" t="s">
        <v>40</v>
      </c>
      <c r="AF826" s="3">
        <v>42919</v>
      </c>
    </row>
    <row r="827" spans="1:32" x14ac:dyDescent="0.25">
      <c r="A827" s="2" t="s">
        <v>41</v>
      </c>
      <c r="B827" s="2">
        <v>0</v>
      </c>
      <c r="C827" s="2">
        <v>42</v>
      </c>
      <c r="D827" s="2">
        <v>2017</v>
      </c>
      <c r="E827" s="2" t="s">
        <v>83</v>
      </c>
      <c r="F827" s="2">
        <v>26</v>
      </c>
      <c r="G827" s="2">
        <v>30</v>
      </c>
      <c r="H827" s="2">
        <v>2</v>
      </c>
      <c r="I827" s="2">
        <v>2</v>
      </c>
      <c r="J827" s="2">
        <v>2</v>
      </c>
      <c r="K827" s="2">
        <v>2</v>
      </c>
      <c r="L827" s="2">
        <v>0</v>
      </c>
      <c r="M827" s="2" t="s">
        <v>34</v>
      </c>
      <c r="N827" s="2" t="s">
        <v>53</v>
      </c>
      <c r="O827" s="2" t="s">
        <v>36</v>
      </c>
      <c r="P827" s="2" t="s">
        <v>36</v>
      </c>
      <c r="Q827" s="2">
        <v>0</v>
      </c>
      <c r="R827" s="2">
        <v>0</v>
      </c>
      <c r="S827" s="2">
        <v>0</v>
      </c>
      <c r="T827" s="2" t="s">
        <v>72</v>
      </c>
      <c r="U827" s="2" t="s">
        <v>72</v>
      </c>
      <c r="V827" s="2">
        <v>0</v>
      </c>
      <c r="W827" s="2" t="s">
        <v>38</v>
      </c>
      <c r="X827" s="2">
        <v>14</v>
      </c>
      <c r="Y827" s="2"/>
      <c r="Z827" s="2">
        <v>0</v>
      </c>
      <c r="AA827" s="2" t="s">
        <v>39</v>
      </c>
      <c r="AB827" s="2">
        <v>151.58000000000001</v>
      </c>
      <c r="AC827" s="2">
        <v>0</v>
      </c>
      <c r="AD827" s="2">
        <v>0</v>
      </c>
      <c r="AE827" s="2" t="s">
        <v>40</v>
      </c>
      <c r="AF827" s="3">
        <v>42920</v>
      </c>
    </row>
    <row r="828" spans="1:32" x14ac:dyDescent="0.25">
      <c r="A828" s="2" t="s">
        <v>41</v>
      </c>
      <c r="B828" s="2">
        <v>0</v>
      </c>
      <c r="C828" s="2">
        <v>9</v>
      </c>
      <c r="D828" s="2">
        <v>2017</v>
      </c>
      <c r="E828" s="2" t="s">
        <v>66</v>
      </c>
      <c r="F828" s="2">
        <v>7</v>
      </c>
      <c r="G828" s="2">
        <v>12</v>
      </c>
      <c r="H828" s="2">
        <v>2</v>
      </c>
      <c r="I828" s="2">
        <v>1</v>
      </c>
      <c r="J828" s="2">
        <v>2</v>
      </c>
      <c r="K828" s="2">
        <v>0</v>
      </c>
      <c r="L828" s="2">
        <v>0</v>
      </c>
      <c r="M828" s="2" t="s">
        <v>34</v>
      </c>
      <c r="N828" s="2" t="s">
        <v>48</v>
      </c>
      <c r="O828" s="2" t="s">
        <v>44</v>
      </c>
      <c r="P828" s="2" t="s">
        <v>45</v>
      </c>
      <c r="Q828" s="2">
        <v>0</v>
      </c>
      <c r="R828" s="2">
        <v>0</v>
      </c>
      <c r="S828" s="2">
        <v>0</v>
      </c>
      <c r="T828" s="2" t="s">
        <v>46</v>
      </c>
      <c r="U828" s="2" t="s">
        <v>50</v>
      </c>
      <c r="V828" s="2">
        <v>0</v>
      </c>
      <c r="W828" s="2" t="s">
        <v>38</v>
      </c>
      <c r="X828" s="2">
        <v>7</v>
      </c>
      <c r="Y828" s="2"/>
      <c r="Z828" s="2">
        <v>0</v>
      </c>
      <c r="AA828" s="2" t="s">
        <v>39</v>
      </c>
      <c r="AB828" s="2">
        <v>83.16</v>
      </c>
      <c r="AC828" s="2">
        <v>0</v>
      </c>
      <c r="AD828" s="2">
        <v>0</v>
      </c>
      <c r="AE828" s="2" t="s">
        <v>40</v>
      </c>
      <c r="AF828" s="3">
        <v>42781</v>
      </c>
    </row>
    <row r="829" spans="1:32" x14ac:dyDescent="0.25">
      <c r="A829" s="2" t="s">
        <v>41</v>
      </c>
      <c r="B829" s="2">
        <v>1</v>
      </c>
      <c r="C829" s="2">
        <v>165</v>
      </c>
      <c r="D829" s="2">
        <v>2017</v>
      </c>
      <c r="E829" s="2" t="s">
        <v>69</v>
      </c>
      <c r="F829" s="2">
        <v>20</v>
      </c>
      <c r="G829" s="2">
        <v>19</v>
      </c>
      <c r="H829" s="2">
        <v>2</v>
      </c>
      <c r="I829" s="2">
        <v>2</v>
      </c>
      <c r="J829" s="2">
        <v>2</v>
      </c>
      <c r="K829" s="2">
        <v>0</v>
      </c>
      <c r="L829" s="2">
        <v>0</v>
      </c>
      <c r="M829" s="2" t="s">
        <v>34</v>
      </c>
      <c r="N829" s="2" t="s">
        <v>43</v>
      </c>
      <c r="O829" s="2" t="s">
        <v>64</v>
      </c>
      <c r="P829" s="2" t="s">
        <v>45</v>
      </c>
      <c r="Q829" s="2">
        <v>0</v>
      </c>
      <c r="R829" s="2">
        <v>0</v>
      </c>
      <c r="S829" s="2">
        <v>0</v>
      </c>
      <c r="T829" s="2" t="s">
        <v>46</v>
      </c>
      <c r="U829" s="2" t="s">
        <v>46</v>
      </c>
      <c r="V829" s="2">
        <v>0</v>
      </c>
      <c r="W829" s="2" t="s">
        <v>68</v>
      </c>
      <c r="X829" s="2"/>
      <c r="Y829" s="2"/>
      <c r="Z829" s="2">
        <v>0</v>
      </c>
      <c r="AA829" s="2" t="s">
        <v>39</v>
      </c>
      <c r="AB829" s="2">
        <v>225</v>
      </c>
      <c r="AC829" s="2">
        <v>0</v>
      </c>
      <c r="AD829" s="2">
        <v>0</v>
      </c>
      <c r="AE829" s="2" t="s">
        <v>47</v>
      </c>
      <c r="AF829" s="3">
        <v>42747</v>
      </c>
    </row>
    <row r="830" spans="1:32" x14ac:dyDescent="0.25">
      <c r="A830" s="2" t="s">
        <v>41</v>
      </c>
      <c r="B830" s="2">
        <v>1</v>
      </c>
      <c r="C830" s="2">
        <v>320</v>
      </c>
      <c r="D830" s="2">
        <v>2017</v>
      </c>
      <c r="E830" s="2" t="s">
        <v>83</v>
      </c>
      <c r="F830" s="2">
        <v>24</v>
      </c>
      <c r="G830" s="2">
        <v>15</v>
      </c>
      <c r="H830" s="2">
        <v>0</v>
      </c>
      <c r="I830" s="2">
        <v>3</v>
      </c>
      <c r="J830" s="2">
        <v>1</v>
      </c>
      <c r="K830" s="2">
        <v>0</v>
      </c>
      <c r="L830" s="2">
        <v>0</v>
      </c>
      <c r="M830" s="2" t="s">
        <v>34</v>
      </c>
      <c r="N830" s="2" t="s">
        <v>43</v>
      </c>
      <c r="O830" s="2" t="s">
        <v>64</v>
      </c>
      <c r="P830" s="2" t="s">
        <v>45</v>
      </c>
      <c r="Q830" s="2">
        <v>0</v>
      </c>
      <c r="R830" s="2">
        <v>0</v>
      </c>
      <c r="S830" s="2">
        <v>0</v>
      </c>
      <c r="T830" s="2" t="s">
        <v>46</v>
      </c>
      <c r="U830" s="2" t="s">
        <v>46</v>
      </c>
      <c r="V830" s="2">
        <v>0</v>
      </c>
      <c r="W830" s="2" t="s">
        <v>68</v>
      </c>
      <c r="X830" s="2">
        <v>6</v>
      </c>
      <c r="Y830" s="2"/>
      <c r="Z830" s="2">
        <v>0</v>
      </c>
      <c r="AA830" s="2" t="s">
        <v>39</v>
      </c>
      <c r="AB830" s="2">
        <v>80</v>
      </c>
      <c r="AC830" s="2">
        <v>0</v>
      </c>
      <c r="AD830" s="2">
        <v>0</v>
      </c>
      <c r="AE830" s="2" t="s">
        <v>47</v>
      </c>
      <c r="AF830" s="3">
        <v>42747</v>
      </c>
    </row>
    <row r="831" spans="1:32" x14ac:dyDescent="0.25">
      <c r="A831" s="2" t="s">
        <v>41</v>
      </c>
      <c r="B831" s="2">
        <v>0</v>
      </c>
      <c r="C831" s="2">
        <v>184</v>
      </c>
      <c r="D831" s="2">
        <v>2017</v>
      </c>
      <c r="E831" s="2" t="s">
        <v>42</v>
      </c>
      <c r="F831" s="2">
        <v>28</v>
      </c>
      <c r="G831" s="2">
        <v>15</v>
      </c>
      <c r="H831" s="2">
        <v>0</v>
      </c>
      <c r="I831" s="2">
        <v>1</v>
      </c>
      <c r="J831" s="2">
        <v>2</v>
      </c>
      <c r="K831" s="2">
        <v>0</v>
      </c>
      <c r="L831" s="2">
        <v>0</v>
      </c>
      <c r="M831" s="2" t="s">
        <v>34</v>
      </c>
      <c r="N831" s="2" t="s">
        <v>65</v>
      </c>
      <c r="O831" s="2" t="s">
        <v>36</v>
      </c>
      <c r="P831" s="2" t="s">
        <v>36</v>
      </c>
      <c r="Q831" s="2">
        <v>0</v>
      </c>
      <c r="R831" s="2">
        <v>0</v>
      </c>
      <c r="S831" s="2">
        <v>0</v>
      </c>
      <c r="T831" s="2" t="s">
        <v>46</v>
      </c>
      <c r="U831" s="2" t="s">
        <v>46</v>
      </c>
      <c r="V831" s="2">
        <v>0</v>
      </c>
      <c r="W831" s="2" t="s">
        <v>38</v>
      </c>
      <c r="X831" s="2">
        <v>14</v>
      </c>
      <c r="Y831" s="2"/>
      <c r="Z831" s="2">
        <v>0</v>
      </c>
      <c r="AA831" s="2" t="s">
        <v>39</v>
      </c>
      <c r="AB831" s="2">
        <v>89.1</v>
      </c>
      <c r="AC831" s="2">
        <v>0</v>
      </c>
      <c r="AD831" s="2">
        <v>1</v>
      </c>
      <c r="AE831" s="2" t="s">
        <v>40</v>
      </c>
      <c r="AF831" s="3">
        <v>42932</v>
      </c>
    </row>
    <row r="832" spans="1:32" x14ac:dyDescent="0.25">
      <c r="A832" s="2" t="s">
        <v>41</v>
      </c>
      <c r="B832" s="2">
        <v>1</v>
      </c>
      <c r="C832" s="2">
        <v>56</v>
      </c>
      <c r="D832" s="2">
        <v>2017</v>
      </c>
      <c r="E832" s="2" t="s">
        <v>52</v>
      </c>
      <c r="F832" s="2">
        <v>12</v>
      </c>
      <c r="G832" s="2">
        <v>21</v>
      </c>
      <c r="H832" s="2">
        <v>0</v>
      </c>
      <c r="I832" s="2">
        <v>3</v>
      </c>
      <c r="J832" s="2">
        <v>2</v>
      </c>
      <c r="K832" s="2">
        <v>0</v>
      </c>
      <c r="L832" s="2">
        <v>0</v>
      </c>
      <c r="M832" s="2" t="s">
        <v>34</v>
      </c>
      <c r="N832" s="2" t="s">
        <v>43</v>
      </c>
      <c r="O832" s="2" t="s">
        <v>49</v>
      </c>
      <c r="P832" s="2" t="s">
        <v>45</v>
      </c>
      <c r="Q832" s="2">
        <v>0</v>
      </c>
      <c r="R832" s="2">
        <v>0</v>
      </c>
      <c r="S832" s="2">
        <v>0</v>
      </c>
      <c r="T832" s="2" t="s">
        <v>46</v>
      </c>
      <c r="U832" s="2" t="s">
        <v>46</v>
      </c>
      <c r="V832" s="2">
        <v>0</v>
      </c>
      <c r="W832" s="2" t="s">
        <v>68</v>
      </c>
      <c r="X832" s="2">
        <v>86</v>
      </c>
      <c r="Y832" s="2"/>
      <c r="Z832" s="2">
        <v>0</v>
      </c>
      <c r="AA832" s="2" t="s">
        <v>39</v>
      </c>
      <c r="AB832" s="2">
        <v>85</v>
      </c>
      <c r="AC832" s="2">
        <v>0</v>
      </c>
      <c r="AD832" s="2">
        <v>0</v>
      </c>
      <c r="AE832" s="2" t="s">
        <v>47</v>
      </c>
      <c r="AF832" s="3">
        <v>42759</v>
      </c>
    </row>
    <row r="833" spans="1:32" x14ac:dyDescent="0.25">
      <c r="A833" s="2" t="s">
        <v>41</v>
      </c>
      <c r="B833" s="2">
        <v>0</v>
      </c>
      <c r="C833" s="2">
        <v>6</v>
      </c>
      <c r="D833" s="2">
        <v>2017</v>
      </c>
      <c r="E833" s="2" t="s">
        <v>83</v>
      </c>
      <c r="F833" s="2">
        <v>26</v>
      </c>
      <c r="G833" s="2">
        <v>30</v>
      </c>
      <c r="H833" s="2">
        <v>0</v>
      </c>
      <c r="I833" s="2">
        <v>1</v>
      </c>
      <c r="J833" s="2">
        <v>2</v>
      </c>
      <c r="K833" s="2">
        <v>0</v>
      </c>
      <c r="L833" s="2">
        <v>0</v>
      </c>
      <c r="M833" s="2" t="s">
        <v>55</v>
      </c>
      <c r="N833" s="2" t="s">
        <v>53</v>
      </c>
      <c r="O833" s="2" t="s">
        <v>44</v>
      </c>
      <c r="P833" s="2" t="s">
        <v>45</v>
      </c>
      <c r="Q833" s="2">
        <v>0</v>
      </c>
      <c r="R833" s="2">
        <v>0</v>
      </c>
      <c r="S833" s="2">
        <v>0</v>
      </c>
      <c r="T833" s="2" t="s">
        <v>46</v>
      </c>
      <c r="U833" s="2" t="s">
        <v>46</v>
      </c>
      <c r="V833" s="2">
        <v>0</v>
      </c>
      <c r="W833" s="2" t="s">
        <v>38</v>
      </c>
      <c r="X833" s="2">
        <v>9</v>
      </c>
      <c r="Y833" s="2"/>
      <c r="Z833" s="2">
        <v>0</v>
      </c>
      <c r="AA833" s="2" t="s">
        <v>51</v>
      </c>
      <c r="AB833" s="2">
        <v>160</v>
      </c>
      <c r="AC833" s="2">
        <v>0</v>
      </c>
      <c r="AD833" s="2">
        <v>1</v>
      </c>
      <c r="AE833" s="2" t="s">
        <v>40</v>
      </c>
      <c r="AF833" s="3">
        <v>42917</v>
      </c>
    </row>
    <row r="834" spans="1:32" x14ac:dyDescent="0.25">
      <c r="A834" s="2" t="s">
        <v>41</v>
      </c>
      <c r="B834" s="2">
        <v>0</v>
      </c>
      <c r="C834" s="2">
        <v>2</v>
      </c>
      <c r="D834" s="2">
        <v>2017</v>
      </c>
      <c r="E834" s="2" t="s">
        <v>52</v>
      </c>
      <c r="F834" s="2">
        <v>11</v>
      </c>
      <c r="G834" s="2">
        <v>16</v>
      </c>
      <c r="H834" s="2">
        <v>0</v>
      </c>
      <c r="I834" s="2">
        <v>1</v>
      </c>
      <c r="J834" s="2">
        <v>1</v>
      </c>
      <c r="K834" s="2">
        <v>0</v>
      </c>
      <c r="L834" s="2">
        <v>0</v>
      </c>
      <c r="M834" s="2" t="s">
        <v>34</v>
      </c>
      <c r="N834" s="2" t="s">
        <v>43</v>
      </c>
      <c r="O834" s="2" t="s">
        <v>102</v>
      </c>
      <c r="P834" s="2" t="s">
        <v>76</v>
      </c>
      <c r="Q834" s="2">
        <v>1</v>
      </c>
      <c r="R834" s="2">
        <v>0</v>
      </c>
      <c r="S834" s="2">
        <v>3</v>
      </c>
      <c r="T834" s="2" t="s">
        <v>57</v>
      </c>
      <c r="U834" s="2" t="s">
        <v>57</v>
      </c>
      <c r="V834" s="2">
        <v>0</v>
      </c>
      <c r="W834" s="2" t="s">
        <v>38</v>
      </c>
      <c r="X834" s="2"/>
      <c r="Y834" s="2">
        <v>153</v>
      </c>
      <c r="Z834" s="2">
        <v>0</v>
      </c>
      <c r="AA834" s="2" t="s">
        <v>39</v>
      </c>
      <c r="AB834" s="2">
        <v>95</v>
      </c>
      <c r="AC834" s="2">
        <v>0</v>
      </c>
      <c r="AD834" s="2">
        <v>2</v>
      </c>
      <c r="AE834" s="2" t="s">
        <v>40</v>
      </c>
      <c r="AF834" s="3">
        <v>42811</v>
      </c>
    </row>
    <row r="835" spans="1:32" x14ac:dyDescent="0.25">
      <c r="A835" s="2" t="s">
        <v>41</v>
      </c>
      <c r="B835" s="2">
        <v>0</v>
      </c>
      <c r="C835" s="2">
        <v>159</v>
      </c>
      <c r="D835" s="2">
        <v>2017</v>
      </c>
      <c r="E835" s="2" t="s">
        <v>42</v>
      </c>
      <c r="F835" s="2">
        <v>28</v>
      </c>
      <c r="G835" s="2">
        <v>11</v>
      </c>
      <c r="H835" s="2">
        <v>0</v>
      </c>
      <c r="I835" s="2">
        <v>1</v>
      </c>
      <c r="J835" s="2">
        <v>2</v>
      </c>
      <c r="K835" s="2">
        <v>0</v>
      </c>
      <c r="L835" s="2">
        <v>0</v>
      </c>
      <c r="M835" s="2" t="s">
        <v>55</v>
      </c>
      <c r="N835" s="2" t="s">
        <v>70</v>
      </c>
      <c r="O835" s="2" t="s">
        <v>44</v>
      </c>
      <c r="P835" s="2" t="s">
        <v>45</v>
      </c>
      <c r="Q835" s="2">
        <v>0</v>
      </c>
      <c r="R835" s="2">
        <v>0</v>
      </c>
      <c r="S835" s="2">
        <v>0</v>
      </c>
      <c r="T835" s="2" t="s">
        <v>46</v>
      </c>
      <c r="U835" s="2" t="s">
        <v>57</v>
      </c>
      <c r="V835" s="2">
        <v>0</v>
      </c>
      <c r="W835" s="2" t="s">
        <v>38</v>
      </c>
      <c r="X835" s="2">
        <v>9</v>
      </c>
      <c r="Y835" s="2"/>
      <c r="Z835" s="2">
        <v>0</v>
      </c>
      <c r="AA835" s="2" t="s">
        <v>39</v>
      </c>
      <c r="AB835" s="2">
        <v>89.1</v>
      </c>
      <c r="AC835" s="2">
        <v>0</v>
      </c>
      <c r="AD835" s="2">
        <v>1</v>
      </c>
      <c r="AE835" s="2" t="s">
        <v>40</v>
      </c>
      <c r="AF835" s="3">
        <v>42928</v>
      </c>
    </row>
    <row r="836" spans="1:32" x14ac:dyDescent="0.25">
      <c r="A836" s="2" t="s">
        <v>41</v>
      </c>
      <c r="B836" s="2">
        <v>0</v>
      </c>
      <c r="C836" s="2">
        <v>20</v>
      </c>
      <c r="D836" s="2">
        <v>2017</v>
      </c>
      <c r="E836" s="2" t="s">
        <v>74</v>
      </c>
      <c r="F836" s="2">
        <v>5</v>
      </c>
      <c r="G836" s="2">
        <v>30</v>
      </c>
      <c r="H836" s="2">
        <v>1</v>
      </c>
      <c r="I836" s="2">
        <v>0</v>
      </c>
      <c r="J836" s="2">
        <v>1</v>
      </c>
      <c r="K836" s="2">
        <v>0</v>
      </c>
      <c r="L836" s="2">
        <v>0</v>
      </c>
      <c r="M836" s="2" t="s">
        <v>34</v>
      </c>
      <c r="N836" s="2" t="s">
        <v>43</v>
      </c>
      <c r="O836" s="2" t="s">
        <v>76</v>
      </c>
      <c r="P836" s="2" t="s">
        <v>76</v>
      </c>
      <c r="Q836" s="2">
        <v>0</v>
      </c>
      <c r="R836" s="2">
        <v>0</v>
      </c>
      <c r="S836" s="2">
        <v>0</v>
      </c>
      <c r="T836" s="2" t="s">
        <v>46</v>
      </c>
      <c r="U836" s="2" t="s">
        <v>46</v>
      </c>
      <c r="V836" s="2">
        <v>0</v>
      </c>
      <c r="W836" s="2" t="s">
        <v>38</v>
      </c>
      <c r="X836" s="2"/>
      <c r="Y836" s="2">
        <v>410</v>
      </c>
      <c r="Z836" s="2">
        <v>0</v>
      </c>
      <c r="AA836" s="2" t="s">
        <v>51</v>
      </c>
      <c r="AB836" s="2">
        <v>80</v>
      </c>
      <c r="AC836" s="2">
        <v>0</v>
      </c>
      <c r="AD836" s="2">
        <v>0</v>
      </c>
      <c r="AE836" s="2" t="s">
        <v>40</v>
      </c>
      <c r="AF836" s="3">
        <v>42766</v>
      </c>
    </row>
    <row r="837" spans="1:32" x14ac:dyDescent="0.25">
      <c r="A837" s="2" t="s">
        <v>32</v>
      </c>
      <c r="B837" s="2">
        <v>0</v>
      </c>
      <c r="C837" s="2">
        <v>0</v>
      </c>
      <c r="D837" s="2">
        <v>2017</v>
      </c>
      <c r="E837" s="2" t="s">
        <v>74</v>
      </c>
      <c r="F837" s="2">
        <v>4</v>
      </c>
      <c r="G837" s="2">
        <v>26</v>
      </c>
      <c r="H837" s="2">
        <v>0</v>
      </c>
      <c r="I837" s="2">
        <v>2</v>
      </c>
      <c r="J837" s="2">
        <v>2</v>
      </c>
      <c r="K837" s="2">
        <v>0</v>
      </c>
      <c r="L837" s="2">
        <v>0</v>
      </c>
      <c r="M837" s="2" t="s">
        <v>34</v>
      </c>
      <c r="N837" s="2" t="s">
        <v>63</v>
      </c>
      <c r="O837" s="2" t="s">
        <v>36</v>
      </c>
      <c r="P837" s="2" t="s">
        <v>36</v>
      </c>
      <c r="Q837" s="2">
        <v>0</v>
      </c>
      <c r="R837" s="2">
        <v>0</v>
      </c>
      <c r="S837" s="2">
        <v>0</v>
      </c>
      <c r="T837" s="2" t="s">
        <v>72</v>
      </c>
      <c r="U837" s="2" t="s">
        <v>72</v>
      </c>
      <c r="V837" s="2">
        <v>0</v>
      </c>
      <c r="W837" s="2" t="s">
        <v>38</v>
      </c>
      <c r="X837" s="2"/>
      <c r="Y837" s="2"/>
      <c r="Z837" s="2">
        <v>0</v>
      </c>
      <c r="AA837" s="2" t="s">
        <v>39</v>
      </c>
      <c r="AB837" s="2">
        <v>72</v>
      </c>
      <c r="AC837" s="2">
        <v>1</v>
      </c>
      <c r="AD837" s="2">
        <v>0</v>
      </c>
      <c r="AE837" s="2" t="s">
        <v>40</v>
      </c>
      <c r="AF837" s="3">
        <v>42763</v>
      </c>
    </row>
    <row r="838" spans="1:32" x14ac:dyDescent="0.25">
      <c r="A838" s="2" t="s">
        <v>32</v>
      </c>
      <c r="B838" s="2">
        <v>1</v>
      </c>
      <c r="C838" s="2">
        <v>253</v>
      </c>
      <c r="D838" s="2">
        <v>2017</v>
      </c>
      <c r="E838" s="2" t="s">
        <v>67</v>
      </c>
      <c r="F838" s="2">
        <v>34</v>
      </c>
      <c r="G838" s="2">
        <v>25</v>
      </c>
      <c r="H838" s="2">
        <v>2</v>
      </c>
      <c r="I838" s="2">
        <v>4</v>
      </c>
      <c r="J838" s="2">
        <v>1</v>
      </c>
      <c r="K838" s="2">
        <v>0</v>
      </c>
      <c r="L838" s="2">
        <v>0</v>
      </c>
      <c r="M838" s="2" t="s">
        <v>34</v>
      </c>
      <c r="N838" s="2" t="s">
        <v>63</v>
      </c>
      <c r="O838" s="2" t="s">
        <v>44</v>
      </c>
      <c r="P838" s="2" t="s">
        <v>45</v>
      </c>
      <c r="Q838" s="2">
        <v>0</v>
      </c>
      <c r="R838" s="2">
        <v>0</v>
      </c>
      <c r="S838" s="2">
        <v>0</v>
      </c>
      <c r="T838" s="2" t="s">
        <v>46</v>
      </c>
      <c r="U838" s="2" t="s">
        <v>46</v>
      </c>
      <c r="V838" s="2">
        <v>0</v>
      </c>
      <c r="W838" s="2" t="s">
        <v>38</v>
      </c>
      <c r="X838" s="2">
        <v>240</v>
      </c>
      <c r="Y838" s="2"/>
      <c r="Z838" s="2">
        <v>0</v>
      </c>
      <c r="AA838" s="2" t="s">
        <v>39</v>
      </c>
      <c r="AB838" s="2">
        <v>153.75</v>
      </c>
      <c r="AC838" s="2">
        <v>0</v>
      </c>
      <c r="AD838" s="2">
        <v>1</v>
      </c>
      <c r="AE838" s="2" t="s">
        <v>47</v>
      </c>
      <c r="AF838" s="3">
        <v>42742</v>
      </c>
    </row>
    <row r="839" spans="1:32" x14ac:dyDescent="0.25">
      <c r="A839" s="2" t="s">
        <v>32</v>
      </c>
      <c r="B839" s="2">
        <v>0</v>
      </c>
      <c r="C839" s="2">
        <v>152</v>
      </c>
      <c r="D839" s="2">
        <v>2017</v>
      </c>
      <c r="E839" s="2" t="s">
        <v>54</v>
      </c>
      <c r="F839" s="2">
        <v>14</v>
      </c>
      <c r="G839" s="2">
        <v>5</v>
      </c>
      <c r="H839" s="2">
        <v>1</v>
      </c>
      <c r="I839" s="2">
        <v>4</v>
      </c>
      <c r="J839" s="2">
        <v>2</v>
      </c>
      <c r="K839" s="2">
        <v>0</v>
      </c>
      <c r="L839" s="2">
        <v>0</v>
      </c>
      <c r="M839" s="2" t="s">
        <v>34</v>
      </c>
      <c r="N839" s="2" t="s">
        <v>35</v>
      </c>
      <c r="O839" s="2" t="s">
        <v>64</v>
      </c>
      <c r="P839" s="2" t="s">
        <v>45</v>
      </c>
      <c r="Q839" s="2">
        <v>0</v>
      </c>
      <c r="R839" s="2">
        <v>0</v>
      </c>
      <c r="S839" s="2">
        <v>0</v>
      </c>
      <c r="T839" s="2" t="s">
        <v>57</v>
      </c>
      <c r="U839" s="2" t="s">
        <v>57</v>
      </c>
      <c r="V839" s="2">
        <v>4</v>
      </c>
      <c r="W839" s="2" t="s">
        <v>38</v>
      </c>
      <c r="X839" s="2"/>
      <c r="Y839" s="2">
        <v>223</v>
      </c>
      <c r="Z839" s="2">
        <v>0</v>
      </c>
      <c r="AA839" s="2" t="s">
        <v>51</v>
      </c>
      <c r="AB839" s="2">
        <v>67</v>
      </c>
      <c r="AC839" s="2">
        <v>0</v>
      </c>
      <c r="AD839" s="2">
        <v>0</v>
      </c>
      <c r="AE839" s="2" t="s">
        <v>40</v>
      </c>
      <c r="AF839" s="3">
        <v>42835</v>
      </c>
    </row>
    <row r="840" spans="1:32" x14ac:dyDescent="0.25">
      <c r="A840" s="2" t="s">
        <v>41</v>
      </c>
      <c r="B840" s="2">
        <v>1</v>
      </c>
      <c r="C840" s="2">
        <v>41</v>
      </c>
      <c r="D840" s="2">
        <v>2017</v>
      </c>
      <c r="E840" s="2" t="s">
        <v>67</v>
      </c>
      <c r="F840" s="2">
        <v>35</v>
      </c>
      <c r="G840" s="2">
        <v>27</v>
      </c>
      <c r="H840" s="2">
        <v>1</v>
      </c>
      <c r="I840" s="2">
        <v>0</v>
      </c>
      <c r="J840" s="2">
        <v>1</v>
      </c>
      <c r="K840" s="2">
        <v>0</v>
      </c>
      <c r="L840" s="2">
        <v>0</v>
      </c>
      <c r="M840" s="2" t="s">
        <v>34</v>
      </c>
      <c r="N840" s="2" t="s">
        <v>82</v>
      </c>
      <c r="O840" s="2" t="s">
        <v>36</v>
      </c>
      <c r="P840" s="2" t="s">
        <v>36</v>
      </c>
      <c r="Q840" s="2">
        <v>0</v>
      </c>
      <c r="R840" s="2">
        <v>0</v>
      </c>
      <c r="S840" s="2">
        <v>0</v>
      </c>
      <c r="T840" s="2" t="s">
        <v>46</v>
      </c>
      <c r="U840" s="2" t="s">
        <v>46</v>
      </c>
      <c r="V840" s="2">
        <v>1</v>
      </c>
      <c r="W840" s="2" t="s">
        <v>38</v>
      </c>
      <c r="X840" s="2">
        <v>14</v>
      </c>
      <c r="Y840" s="2"/>
      <c r="Z840" s="2">
        <v>0</v>
      </c>
      <c r="AA840" s="2" t="s">
        <v>39</v>
      </c>
      <c r="AB840" s="2">
        <v>90</v>
      </c>
      <c r="AC840" s="2">
        <v>0</v>
      </c>
      <c r="AD840" s="2">
        <v>0</v>
      </c>
      <c r="AE840" s="2" t="s">
        <v>47</v>
      </c>
      <c r="AF840" s="3">
        <v>42944</v>
      </c>
    </row>
    <row r="841" spans="1:32" x14ac:dyDescent="0.25">
      <c r="A841" s="2" t="s">
        <v>32</v>
      </c>
      <c r="B841" s="2">
        <v>1</v>
      </c>
      <c r="C841" s="2">
        <v>103</v>
      </c>
      <c r="D841" s="2">
        <v>2017</v>
      </c>
      <c r="E841" s="2" t="s">
        <v>52</v>
      </c>
      <c r="F841" s="2">
        <v>13</v>
      </c>
      <c r="G841" s="2">
        <v>27</v>
      </c>
      <c r="H841" s="2">
        <v>1</v>
      </c>
      <c r="I841" s="2">
        <v>1</v>
      </c>
      <c r="J841" s="2">
        <v>2</v>
      </c>
      <c r="K841" s="2">
        <v>0</v>
      </c>
      <c r="L841" s="2">
        <v>0</v>
      </c>
      <c r="M841" s="2" t="s">
        <v>34</v>
      </c>
      <c r="N841" s="2" t="s">
        <v>43</v>
      </c>
      <c r="O841" s="2" t="s">
        <v>64</v>
      </c>
      <c r="P841" s="2" t="s">
        <v>76</v>
      </c>
      <c r="Q841" s="2">
        <v>0</v>
      </c>
      <c r="R841" s="2">
        <v>0</v>
      </c>
      <c r="S841" s="2">
        <v>0</v>
      </c>
      <c r="T841" s="2" t="s">
        <v>72</v>
      </c>
      <c r="U841" s="2" t="s">
        <v>72</v>
      </c>
      <c r="V841" s="2">
        <v>0</v>
      </c>
      <c r="W841" s="2" t="s">
        <v>68</v>
      </c>
      <c r="X841" s="2">
        <v>495</v>
      </c>
      <c r="Y841" s="2"/>
      <c r="Z841" s="2">
        <v>0</v>
      </c>
      <c r="AA841" s="2" t="s">
        <v>39</v>
      </c>
      <c r="AB841" s="2">
        <v>73</v>
      </c>
      <c r="AC841" s="2">
        <v>0</v>
      </c>
      <c r="AD841" s="2">
        <v>0</v>
      </c>
      <c r="AE841" s="2" t="s">
        <v>47</v>
      </c>
      <c r="AF841" s="3">
        <v>42727</v>
      </c>
    </row>
    <row r="842" spans="1:32" x14ac:dyDescent="0.25">
      <c r="A842" s="2" t="s">
        <v>41</v>
      </c>
      <c r="B842" s="2">
        <v>0</v>
      </c>
      <c r="C842" s="2">
        <v>159</v>
      </c>
      <c r="D842" s="2">
        <v>2017</v>
      </c>
      <c r="E842" s="2" t="s">
        <v>67</v>
      </c>
      <c r="F842" s="2">
        <v>32</v>
      </c>
      <c r="G842" s="2">
        <v>7</v>
      </c>
      <c r="H842" s="2">
        <v>1</v>
      </c>
      <c r="I842" s="2">
        <v>1</v>
      </c>
      <c r="J842" s="2">
        <v>3</v>
      </c>
      <c r="K842" s="2">
        <v>0</v>
      </c>
      <c r="L842" s="2">
        <v>0</v>
      </c>
      <c r="M842" s="2" t="s">
        <v>34</v>
      </c>
      <c r="N842" s="2" t="s">
        <v>70</v>
      </c>
      <c r="O842" s="2" t="s">
        <v>44</v>
      </c>
      <c r="P842" s="2" t="s">
        <v>45</v>
      </c>
      <c r="Q842" s="2">
        <v>0</v>
      </c>
      <c r="R842" s="2">
        <v>0</v>
      </c>
      <c r="S842" s="2">
        <v>0</v>
      </c>
      <c r="T842" s="2" t="s">
        <v>57</v>
      </c>
      <c r="U842" s="2" t="s">
        <v>57</v>
      </c>
      <c r="V842" s="2">
        <v>0</v>
      </c>
      <c r="W842" s="2" t="s">
        <v>38</v>
      </c>
      <c r="X842" s="2">
        <v>9</v>
      </c>
      <c r="Y842" s="2"/>
      <c r="Z842" s="2">
        <v>0</v>
      </c>
      <c r="AA842" s="2" t="s">
        <v>39</v>
      </c>
      <c r="AB842" s="2">
        <v>184.5</v>
      </c>
      <c r="AC842" s="2">
        <v>0</v>
      </c>
      <c r="AD842" s="2">
        <v>0</v>
      </c>
      <c r="AE842" s="2" t="s">
        <v>40</v>
      </c>
      <c r="AF842" s="3">
        <v>42956</v>
      </c>
    </row>
    <row r="843" spans="1:32" x14ac:dyDescent="0.25">
      <c r="A843" s="2" t="s">
        <v>41</v>
      </c>
      <c r="B843" s="2">
        <v>0</v>
      </c>
      <c r="C843" s="2">
        <v>155</v>
      </c>
      <c r="D843" s="2">
        <v>2017</v>
      </c>
      <c r="E843" s="2" t="s">
        <v>83</v>
      </c>
      <c r="F843" s="2">
        <v>22</v>
      </c>
      <c r="G843" s="2">
        <v>1</v>
      </c>
      <c r="H843" s="2">
        <v>0</v>
      </c>
      <c r="I843" s="2">
        <v>3</v>
      </c>
      <c r="J843" s="2">
        <v>2</v>
      </c>
      <c r="K843" s="2">
        <v>0</v>
      </c>
      <c r="L843" s="2">
        <v>0</v>
      </c>
      <c r="M843" s="2" t="s">
        <v>34</v>
      </c>
      <c r="N843" s="2" t="s">
        <v>63</v>
      </c>
      <c r="O843" s="2" t="s">
        <v>44</v>
      </c>
      <c r="P843" s="2" t="s">
        <v>45</v>
      </c>
      <c r="Q843" s="2">
        <v>0</v>
      </c>
      <c r="R843" s="2">
        <v>0</v>
      </c>
      <c r="S843" s="2">
        <v>0</v>
      </c>
      <c r="T843" s="2" t="s">
        <v>46</v>
      </c>
      <c r="U843" s="2" t="s">
        <v>46</v>
      </c>
      <c r="V843" s="2">
        <v>0</v>
      </c>
      <c r="W843" s="2" t="s">
        <v>38</v>
      </c>
      <c r="X843" s="2">
        <v>9</v>
      </c>
      <c r="Y843" s="2"/>
      <c r="Z843" s="2">
        <v>0</v>
      </c>
      <c r="AA843" s="2" t="s">
        <v>39</v>
      </c>
      <c r="AB843" s="2">
        <v>138</v>
      </c>
      <c r="AC843" s="2">
        <v>0</v>
      </c>
      <c r="AD843" s="2">
        <v>1</v>
      </c>
      <c r="AE843" s="2" t="s">
        <v>40</v>
      </c>
      <c r="AF843" s="3">
        <v>42890</v>
      </c>
    </row>
    <row r="844" spans="1:32" x14ac:dyDescent="0.25">
      <c r="A844" s="2" t="s">
        <v>32</v>
      </c>
      <c r="B844" s="2">
        <v>1</v>
      </c>
      <c r="C844" s="2">
        <v>28</v>
      </c>
      <c r="D844" s="2">
        <v>2017</v>
      </c>
      <c r="E844" s="2" t="s">
        <v>69</v>
      </c>
      <c r="F844" s="2">
        <v>20</v>
      </c>
      <c r="G844" s="2">
        <v>14</v>
      </c>
      <c r="H844" s="2">
        <v>2</v>
      </c>
      <c r="I844" s="2">
        <v>5</v>
      </c>
      <c r="J844" s="2">
        <v>2</v>
      </c>
      <c r="K844" s="2">
        <v>2</v>
      </c>
      <c r="L844" s="2">
        <v>0</v>
      </c>
      <c r="M844" s="2" t="s">
        <v>34</v>
      </c>
      <c r="N844" s="2" t="s">
        <v>91</v>
      </c>
      <c r="O844" s="2" t="s">
        <v>44</v>
      </c>
      <c r="P844" s="2" t="s">
        <v>45</v>
      </c>
      <c r="Q844" s="2">
        <v>0</v>
      </c>
      <c r="R844" s="2">
        <v>0</v>
      </c>
      <c r="S844" s="2">
        <v>0</v>
      </c>
      <c r="T844" s="2" t="s">
        <v>84</v>
      </c>
      <c r="U844" s="2" t="s">
        <v>84</v>
      </c>
      <c r="V844" s="2">
        <v>0</v>
      </c>
      <c r="W844" s="2" t="s">
        <v>38</v>
      </c>
      <c r="X844" s="2">
        <v>240</v>
      </c>
      <c r="Y844" s="2"/>
      <c r="Z844" s="2">
        <v>0</v>
      </c>
      <c r="AA844" s="2" t="s">
        <v>39</v>
      </c>
      <c r="AB844" s="2">
        <v>170</v>
      </c>
      <c r="AC844" s="2">
        <v>0</v>
      </c>
      <c r="AD844" s="2">
        <v>1</v>
      </c>
      <c r="AE844" s="2" t="s">
        <v>47</v>
      </c>
      <c r="AF844" s="3">
        <v>42841</v>
      </c>
    </row>
    <row r="845" spans="1:32" x14ac:dyDescent="0.25">
      <c r="A845" s="2" t="s">
        <v>32</v>
      </c>
      <c r="B845" s="2">
        <v>1</v>
      </c>
      <c r="C845" s="2">
        <v>208</v>
      </c>
      <c r="D845" s="2">
        <v>2017</v>
      </c>
      <c r="E845" s="2" t="s">
        <v>69</v>
      </c>
      <c r="F845" s="2">
        <v>18</v>
      </c>
      <c r="G845" s="2">
        <v>1</v>
      </c>
      <c r="H845" s="2">
        <v>1</v>
      </c>
      <c r="I845" s="2">
        <v>4</v>
      </c>
      <c r="J845" s="2">
        <v>2</v>
      </c>
      <c r="K845" s="2">
        <v>0</v>
      </c>
      <c r="L845" s="2">
        <v>0</v>
      </c>
      <c r="M845" s="2" t="s">
        <v>34</v>
      </c>
      <c r="N845" s="2" t="s">
        <v>35</v>
      </c>
      <c r="O845" s="2" t="s">
        <v>44</v>
      </c>
      <c r="P845" s="2" t="s">
        <v>45</v>
      </c>
      <c r="Q845" s="2">
        <v>0</v>
      </c>
      <c r="R845" s="2">
        <v>0</v>
      </c>
      <c r="S845" s="2">
        <v>0</v>
      </c>
      <c r="T845" s="2" t="s">
        <v>72</v>
      </c>
      <c r="U845" s="2" t="s">
        <v>72</v>
      </c>
      <c r="V845" s="2">
        <v>0</v>
      </c>
      <c r="W845" s="2" t="s">
        <v>38</v>
      </c>
      <c r="X845" s="2">
        <v>240</v>
      </c>
      <c r="Y845" s="2"/>
      <c r="Z845" s="2">
        <v>0</v>
      </c>
      <c r="AA845" s="2" t="s">
        <v>39</v>
      </c>
      <c r="AB845" s="2">
        <v>81</v>
      </c>
      <c r="AC845" s="2">
        <v>0</v>
      </c>
      <c r="AD845" s="2">
        <v>0</v>
      </c>
      <c r="AE845" s="2" t="s">
        <v>47</v>
      </c>
      <c r="AF845" s="3">
        <v>42649</v>
      </c>
    </row>
    <row r="846" spans="1:32" x14ac:dyDescent="0.25">
      <c r="A846" s="2" t="s">
        <v>32</v>
      </c>
      <c r="B846" s="2">
        <v>1</v>
      </c>
      <c r="C846" s="2">
        <v>18</v>
      </c>
      <c r="D846" s="2">
        <v>2017</v>
      </c>
      <c r="E846" s="2" t="s">
        <v>66</v>
      </c>
      <c r="F846" s="2">
        <v>7</v>
      </c>
      <c r="G846" s="2">
        <v>12</v>
      </c>
      <c r="H846" s="2">
        <v>2</v>
      </c>
      <c r="I846" s="2">
        <v>0</v>
      </c>
      <c r="J846" s="2">
        <v>2</v>
      </c>
      <c r="K846" s="2">
        <v>0</v>
      </c>
      <c r="L846" s="2">
        <v>0</v>
      </c>
      <c r="M846" s="2" t="s">
        <v>34</v>
      </c>
      <c r="N846" s="2" t="s">
        <v>35</v>
      </c>
      <c r="O846" s="2" t="s">
        <v>44</v>
      </c>
      <c r="P846" s="2" t="s">
        <v>45</v>
      </c>
      <c r="Q846" s="2">
        <v>0</v>
      </c>
      <c r="R846" s="2">
        <v>0</v>
      </c>
      <c r="S846" s="2">
        <v>0</v>
      </c>
      <c r="T846" s="2" t="s">
        <v>57</v>
      </c>
      <c r="U846" s="2" t="s">
        <v>57</v>
      </c>
      <c r="V846" s="2">
        <v>0</v>
      </c>
      <c r="W846" s="2" t="s">
        <v>38</v>
      </c>
      <c r="X846" s="2">
        <v>240</v>
      </c>
      <c r="Y846" s="2"/>
      <c r="Z846" s="2">
        <v>0</v>
      </c>
      <c r="AA846" s="2" t="s">
        <v>39</v>
      </c>
      <c r="AB846" s="2">
        <v>58</v>
      </c>
      <c r="AC846" s="2">
        <v>0</v>
      </c>
      <c r="AD846" s="2">
        <v>0</v>
      </c>
      <c r="AE846" s="2" t="s">
        <v>47</v>
      </c>
      <c r="AF846" s="3">
        <v>42761</v>
      </c>
    </row>
    <row r="847" spans="1:32" x14ac:dyDescent="0.25">
      <c r="A847" s="2" t="s">
        <v>41</v>
      </c>
      <c r="B847" s="2">
        <v>0</v>
      </c>
      <c r="C847" s="2">
        <v>70</v>
      </c>
      <c r="D847" s="2">
        <v>2017</v>
      </c>
      <c r="E847" s="2" t="s">
        <v>66</v>
      </c>
      <c r="F847" s="2">
        <v>7</v>
      </c>
      <c r="G847" s="2">
        <v>15</v>
      </c>
      <c r="H847" s="2">
        <v>0</v>
      </c>
      <c r="I847" s="2">
        <v>4</v>
      </c>
      <c r="J847" s="2">
        <v>2</v>
      </c>
      <c r="K847" s="2">
        <v>0</v>
      </c>
      <c r="L847" s="2">
        <v>0</v>
      </c>
      <c r="M847" s="2" t="s">
        <v>34</v>
      </c>
      <c r="N847" s="2" t="s">
        <v>63</v>
      </c>
      <c r="O847" s="2" t="s">
        <v>64</v>
      </c>
      <c r="P847" s="2" t="s">
        <v>45</v>
      </c>
      <c r="Q847" s="2">
        <v>0</v>
      </c>
      <c r="R847" s="2">
        <v>0</v>
      </c>
      <c r="S847" s="2">
        <v>0</v>
      </c>
      <c r="T847" s="2" t="s">
        <v>46</v>
      </c>
      <c r="U847" s="2" t="s">
        <v>46</v>
      </c>
      <c r="V847" s="2">
        <v>0</v>
      </c>
      <c r="W847" s="2" t="s">
        <v>38</v>
      </c>
      <c r="X847" s="2"/>
      <c r="Y847" s="2">
        <v>242</v>
      </c>
      <c r="Z847" s="2">
        <v>0</v>
      </c>
      <c r="AA847" s="2" t="s">
        <v>51</v>
      </c>
      <c r="AB847" s="2">
        <v>78</v>
      </c>
      <c r="AC847" s="2">
        <v>0</v>
      </c>
      <c r="AD847" s="2">
        <v>0</v>
      </c>
      <c r="AE847" s="2" t="s">
        <v>40</v>
      </c>
      <c r="AF847" s="3">
        <v>42785</v>
      </c>
    </row>
    <row r="848" spans="1:32" x14ac:dyDescent="0.25">
      <c r="A848" s="2" t="s">
        <v>41</v>
      </c>
      <c r="B848" s="2">
        <v>0</v>
      </c>
      <c r="C848" s="2">
        <v>91</v>
      </c>
      <c r="D848" s="2">
        <v>2017</v>
      </c>
      <c r="E848" s="2" t="s">
        <v>69</v>
      </c>
      <c r="F848" s="2">
        <v>20</v>
      </c>
      <c r="G848" s="2">
        <v>18</v>
      </c>
      <c r="H848" s="2">
        <v>0</v>
      </c>
      <c r="I848" s="2">
        <v>1</v>
      </c>
      <c r="J848" s="2">
        <v>2</v>
      </c>
      <c r="K848" s="2">
        <v>0</v>
      </c>
      <c r="L848" s="2">
        <v>0</v>
      </c>
      <c r="M848" s="2" t="s">
        <v>34</v>
      </c>
      <c r="N848" s="2" t="s">
        <v>99</v>
      </c>
      <c r="O848" s="2" t="s">
        <v>49</v>
      </c>
      <c r="P848" s="2" t="s">
        <v>45</v>
      </c>
      <c r="Q848" s="2">
        <v>0</v>
      </c>
      <c r="R848" s="2">
        <v>0</v>
      </c>
      <c r="S848" s="2">
        <v>0</v>
      </c>
      <c r="T848" s="2" t="s">
        <v>46</v>
      </c>
      <c r="U848" s="2" t="s">
        <v>104</v>
      </c>
      <c r="V848" s="2">
        <v>0</v>
      </c>
      <c r="W848" s="2" t="s">
        <v>38</v>
      </c>
      <c r="X848" s="2">
        <v>262</v>
      </c>
      <c r="Y848" s="2"/>
      <c r="Z848" s="2">
        <v>0</v>
      </c>
      <c r="AA848" s="2" t="s">
        <v>39</v>
      </c>
      <c r="AB848" s="2">
        <v>89.1</v>
      </c>
      <c r="AC848" s="2">
        <v>0</v>
      </c>
      <c r="AD848" s="2">
        <v>0</v>
      </c>
      <c r="AE848" s="2" t="s">
        <v>40</v>
      </c>
      <c r="AF848" s="3">
        <v>42874</v>
      </c>
    </row>
    <row r="849" spans="1:32" x14ac:dyDescent="0.25">
      <c r="A849" s="2" t="s">
        <v>41</v>
      </c>
      <c r="B849" s="2">
        <v>1</v>
      </c>
      <c r="C849" s="2">
        <v>187</v>
      </c>
      <c r="D849" s="2">
        <v>2017</v>
      </c>
      <c r="E849" s="2" t="s">
        <v>67</v>
      </c>
      <c r="F849" s="2">
        <v>32</v>
      </c>
      <c r="G849" s="2">
        <v>8</v>
      </c>
      <c r="H849" s="2">
        <v>0</v>
      </c>
      <c r="I849" s="2">
        <v>2</v>
      </c>
      <c r="J849" s="2">
        <v>2</v>
      </c>
      <c r="K849" s="2">
        <v>0</v>
      </c>
      <c r="L849" s="2">
        <v>0</v>
      </c>
      <c r="M849" s="2" t="s">
        <v>60</v>
      </c>
      <c r="N849" s="2" t="s">
        <v>70</v>
      </c>
      <c r="O849" s="2" t="s">
        <v>44</v>
      </c>
      <c r="P849" s="2" t="s">
        <v>45</v>
      </c>
      <c r="Q849" s="2">
        <v>0</v>
      </c>
      <c r="R849" s="2">
        <v>0</v>
      </c>
      <c r="S849" s="2">
        <v>0</v>
      </c>
      <c r="T849" s="2" t="s">
        <v>46</v>
      </c>
      <c r="U849" s="2" t="s">
        <v>46</v>
      </c>
      <c r="V849" s="2">
        <v>0</v>
      </c>
      <c r="W849" s="2" t="s">
        <v>38</v>
      </c>
      <c r="X849" s="2">
        <v>9</v>
      </c>
      <c r="Y849" s="2"/>
      <c r="Z849" s="2">
        <v>0</v>
      </c>
      <c r="AA849" s="2" t="s">
        <v>39</v>
      </c>
      <c r="AB849" s="2">
        <v>166.5</v>
      </c>
      <c r="AC849" s="2">
        <v>0</v>
      </c>
      <c r="AD849" s="2">
        <v>0</v>
      </c>
      <c r="AE849" s="2" t="s">
        <v>47</v>
      </c>
      <c r="AF849" s="3">
        <v>42867</v>
      </c>
    </row>
    <row r="850" spans="1:32" x14ac:dyDescent="0.25">
      <c r="A850" s="2" t="s">
        <v>41</v>
      </c>
      <c r="B850" s="2">
        <v>0</v>
      </c>
      <c r="C850" s="2">
        <v>191</v>
      </c>
      <c r="D850" s="2">
        <v>2017</v>
      </c>
      <c r="E850" s="2" t="s">
        <v>54</v>
      </c>
      <c r="F850" s="2">
        <v>13</v>
      </c>
      <c r="G850" s="2">
        <v>1</v>
      </c>
      <c r="H850" s="2">
        <v>2</v>
      </c>
      <c r="I850" s="2">
        <v>3</v>
      </c>
      <c r="J850" s="2">
        <v>2</v>
      </c>
      <c r="K850" s="2">
        <v>0</v>
      </c>
      <c r="L850" s="2">
        <v>0</v>
      </c>
      <c r="M850" s="2" t="s">
        <v>34</v>
      </c>
      <c r="N850" s="2" t="s">
        <v>70</v>
      </c>
      <c r="O850" s="2" t="s">
        <v>49</v>
      </c>
      <c r="P850" s="2" t="s">
        <v>45</v>
      </c>
      <c r="Q850" s="2">
        <v>0</v>
      </c>
      <c r="R850" s="2">
        <v>0</v>
      </c>
      <c r="S850" s="2">
        <v>0</v>
      </c>
      <c r="T850" s="2" t="s">
        <v>46</v>
      </c>
      <c r="U850" s="2" t="s">
        <v>57</v>
      </c>
      <c r="V850" s="2">
        <v>0</v>
      </c>
      <c r="W850" s="2" t="s">
        <v>38</v>
      </c>
      <c r="X850" s="2">
        <v>28</v>
      </c>
      <c r="Y850" s="2"/>
      <c r="Z850" s="2">
        <v>0</v>
      </c>
      <c r="AA850" s="2" t="s">
        <v>39</v>
      </c>
      <c r="AB850" s="2">
        <v>75</v>
      </c>
      <c r="AC850" s="2">
        <v>0</v>
      </c>
      <c r="AD850" s="2">
        <v>0</v>
      </c>
      <c r="AE850" s="2" t="s">
        <v>40</v>
      </c>
      <c r="AF850" s="3">
        <v>42831</v>
      </c>
    </row>
    <row r="851" spans="1:32" x14ac:dyDescent="0.25">
      <c r="A851" s="2" t="s">
        <v>41</v>
      </c>
      <c r="B851" s="2">
        <v>0</v>
      </c>
      <c r="C851" s="2">
        <v>157</v>
      </c>
      <c r="D851" s="2">
        <v>2017</v>
      </c>
      <c r="E851" s="2" t="s">
        <v>83</v>
      </c>
      <c r="F851" s="2">
        <v>25</v>
      </c>
      <c r="G851" s="2">
        <v>20</v>
      </c>
      <c r="H851" s="2">
        <v>2</v>
      </c>
      <c r="I851" s="2">
        <v>6</v>
      </c>
      <c r="J851" s="2">
        <v>2</v>
      </c>
      <c r="K851" s="2">
        <v>0</v>
      </c>
      <c r="L851" s="2">
        <v>0</v>
      </c>
      <c r="M851" s="2" t="s">
        <v>34</v>
      </c>
      <c r="N851" s="2" t="s">
        <v>95</v>
      </c>
      <c r="O851" s="2" t="s">
        <v>44</v>
      </c>
      <c r="P851" s="2" t="s">
        <v>45</v>
      </c>
      <c r="Q851" s="2">
        <v>0</v>
      </c>
      <c r="R851" s="2">
        <v>0</v>
      </c>
      <c r="S851" s="2">
        <v>0</v>
      </c>
      <c r="T851" s="2" t="s">
        <v>57</v>
      </c>
      <c r="U851" s="2" t="s">
        <v>57</v>
      </c>
      <c r="V851" s="2">
        <v>0</v>
      </c>
      <c r="W851" s="2" t="s">
        <v>38</v>
      </c>
      <c r="X851" s="2">
        <v>9</v>
      </c>
      <c r="Y851" s="2"/>
      <c r="Z851" s="2">
        <v>0</v>
      </c>
      <c r="AA851" s="2" t="s">
        <v>39</v>
      </c>
      <c r="AB851" s="2">
        <v>127.8</v>
      </c>
      <c r="AC851" s="2">
        <v>0</v>
      </c>
      <c r="AD851" s="2">
        <v>1</v>
      </c>
      <c r="AE851" s="2" t="s">
        <v>40</v>
      </c>
      <c r="AF851" s="3">
        <v>42914</v>
      </c>
    </row>
    <row r="852" spans="1:32" x14ac:dyDescent="0.25">
      <c r="A852" s="2" t="s">
        <v>41</v>
      </c>
      <c r="B852" s="2">
        <v>0</v>
      </c>
      <c r="C852" s="2">
        <v>172</v>
      </c>
      <c r="D852" s="2">
        <v>2017</v>
      </c>
      <c r="E852" s="2" t="s">
        <v>42</v>
      </c>
      <c r="F852" s="2">
        <v>28</v>
      </c>
      <c r="G852" s="2">
        <v>10</v>
      </c>
      <c r="H852" s="2">
        <v>1</v>
      </c>
      <c r="I852" s="2">
        <v>5</v>
      </c>
      <c r="J852" s="2">
        <v>3</v>
      </c>
      <c r="K852" s="2">
        <v>0</v>
      </c>
      <c r="L852" s="2">
        <v>0</v>
      </c>
      <c r="M852" s="2" t="s">
        <v>34</v>
      </c>
      <c r="N852" s="2" t="s">
        <v>106</v>
      </c>
      <c r="O852" s="2" t="s">
        <v>44</v>
      </c>
      <c r="P852" s="2" t="s">
        <v>45</v>
      </c>
      <c r="Q852" s="2">
        <v>0</v>
      </c>
      <c r="R852" s="2">
        <v>0</v>
      </c>
      <c r="S852" s="2">
        <v>0</v>
      </c>
      <c r="T852" s="2" t="s">
        <v>57</v>
      </c>
      <c r="U852" s="2" t="s">
        <v>57</v>
      </c>
      <c r="V852" s="2">
        <v>0</v>
      </c>
      <c r="W852" s="2" t="s">
        <v>38</v>
      </c>
      <c r="X852" s="2">
        <v>9</v>
      </c>
      <c r="Y852" s="2"/>
      <c r="Z852" s="2">
        <v>0</v>
      </c>
      <c r="AA852" s="2" t="s">
        <v>39</v>
      </c>
      <c r="AB852" s="2">
        <v>152.1</v>
      </c>
      <c r="AC852" s="2">
        <v>0</v>
      </c>
      <c r="AD852" s="2">
        <v>2</v>
      </c>
      <c r="AE852" s="2" t="s">
        <v>40</v>
      </c>
      <c r="AF852" s="3">
        <v>42932</v>
      </c>
    </row>
    <row r="853" spans="1:32" x14ac:dyDescent="0.25">
      <c r="A853" s="2" t="s">
        <v>32</v>
      </c>
      <c r="B853" s="2">
        <v>1</v>
      </c>
      <c r="C853" s="2">
        <v>54</v>
      </c>
      <c r="D853" s="2">
        <v>2017</v>
      </c>
      <c r="E853" s="2" t="s">
        <v>66</v>
      </c>
      <c r="F853" s="2">
        <v>8</v>
      </c>
      <c r="G853" s="2">
        <v>25</v>
      </c>
      <c r="H853" s="2">
        <v>2</v>
      </c>
      <c r="I853" s="2">
        <v>1</v>
      </c>
      <c r="J853" s="2">
        <v>2</v>
      </c>
      <c r="K853" s="2">
        <v>0</v>
      </c>
      <c r="L853" s="2">
        <v>0</v>
      </c>
      <c r="M853" s="2" t="s">
        <v>34</v>
      </c>
      <c r="N853" s="2" t="s">
        <v>43</v>
      </c>
      <c r="O853" s="2" t="s">
        <v>44</v>
      </c>
      <c r="P853" s="2" t="s">
        <v>45</v>
      </c>
      <c r="Q853" s="2">
        <v>0</v>
      </c>
      <c r="R853" s="2">
        <v>0</v>
      </c>
      <c r="S853" s="2">
        <v>0</v>
      </c>
      <c r="T853" s="2" t="s">
        <v>46</v>
      </c>
      <c r="U853" s="2" t="s">
        <v>46</v>
      </c>
      <c r="V853" s="2">
        <v>0</v>
      </c>
      <c r="W853" s="2" t="s">
        <v>38</v>
      </c>
      <c r="X853" s="2">
        <v>240</v>
      </c>
      <c r="Y853" s="2"/>
      <c r="Z853" s="2">
        <v>0</v>
      </c>
      <c r="AA853" s="2" t="s">
        <v>39</v>
      </c>
      <c r="AB853" s="2">
        <v>48</v>
      </c>
      <c r="AC853" s="2">
        <v>0</v>
      </c>
      <c r="AD853" s="2">
        <v>1</v>
      </c>
      <c r="AE853" s="2" t="s">
        <v>47</v>
      </c>
      <c r="AF853" s="3">
        <v>42744</v>
      </c>
    </row>
    <row r="854" spans="1:32" x14ac:dyDescent="0.25">
      <c r="A854" s="2" t="s">
        <v>41</v>
      </c>
      <c r="B854" s="2">
        <v>1</v>
      </c>
      <c r="C854" s="2">
        <v>27</v>
      </c>
      <c r="D854" s="2">
        <v>2017</v>
      </c>
      <c r="E854" s="2" t="s">
        <v>83</v>
      </c>
      <c r="F854" s="2">
        <v>23</v>
      </c>
      <c r="G854" s="2">
        <v>6</v>
      </c>
      <c r="H854" s="2">
        <v>0</v>
      </c>
      <c r="I854" s="2">
        <v>1</v>
      </c>
      <c r="J854" s="2">
        <v>2</v>
      </c>
      <c r="K854" s="2">
        <v>0</v>
      </c>
      <c r="L854" s="2">
        <v>0</v>
      </c>
      <c r="M854" s="2" t="s">
        <v>34</v>
      </c>
      <c r="N854" s="2" t="s">
        <v>65</v>
      </c>
      <c r="O854" s="2" t="s">
        <v>44</v>
      </c>
      <c r="P854" s="2" t="s">
        <v>45</v>
      </c>
      <c r="Q854" s="2">
        <v>0</v>
      </c>
      <c r="R854" s="2">
        <v>0</v>
      </c>
      <c r="S854" s="2">
        <v>0</v>
      </c>
      <c r="T854" s="2" t="s">
        <v>57</v>
      </c>
      <c r="U854" s="2" t="s">
        <v>57</v>
      </c>
      <c r="V854" s="2">
        <v>4</v>
      </c>
      <c r="W854" s="2" t="s">
        <v>38</v>
      </c>
      <c r="X854" s="2">
        <v>9</v>
      </c>
      <c r="Y854" s="2"/>
      <c r="Z854" s="2">
        <v>0</v>
      </c>
      <c r="AA854" s="2" t="s">
        <v>39</v>
      </c>
      <c r="AB854" s="2">
        <v>190</v>
      </c>
      <c r="AC854" s="2">
        <v>0</v>
      </c>
      <c r="AD854" s="2">
        <v>2</v>
      </c>
      <c r="AE854" s="2" t="s">
        <v>47</v>
      </c>
      <c r="AF854" s="3">
        <v>42872</v>
      </c>
    </row>
    <row r="855" spans="1:32" x14ac:dyDescent="0.25">
      <c r="A855" s="2" t="s">
        <v>41</v>
      </c>
      <c r="B855" s="2">
        <v>0</v>
      </c>
      <c r="C855" s="2">
        <v>46</v>
      </c>
      <c r="D855" s="2">
        <v>2017</v>
      </c>
      <c r="E855" s="2" t="s">
        <v>52</v>
      </c>
      <c r="F855" s="2">
        <v>10</v>
      </c>
      <c r="G855" s="2">
        <v>7</v>
      </c>
      <c r="H855" s="2">
        <v>0</v>
      </c>
      <c r="I855" s="2">
        <v>3</v>
      </c>
      <c r="J855" s="2">
        <v>2</v>
      </c>
      <c r="K855" s="2">
        <v>0</v>
      </c>
      <c r="L855" s="2">
        <v>0</v>
      </c>
      <c r="M855" s="2" t="s">
        <v>34</v>
      </c>
      <c r="N855" s="2" t="s">
        <v>103</v>
      </c>
      <c r="O855" s="2" t="s">
        <v>36</v>
      </c>
      <c r="P855" s="2" t="s">
        <v>36</v>
      </c>
      <c r="Q855" s="2">
        <v>0</v>
      </c>
      <c r="R855" s="2">
        <v>0</v>
      </c>
      <c r="S855" s="2">
        <v>0</v>
      </c>
      <c r="T855" s="2" t="s">
        <v>46</v>
      </c>
      <c r="U855" s="2" t="s">
        <v>46</v>
      </c>
      <c r="V855" s="2">
        <v>1</v>
      </c>
      <c r="W855" s="2" t="s">
        <v>38</v>
      </c>
      <c r="X855" s="2">
        <v>14</v>
      </c>
      <c r="Y855" s="2"/>
      <c r="Z855" s="2">
        <v>0</v>
      </c>
      <c r="AA855" s="2" t="s">
        <v>39</v>
      </c>
      <c r="AB855" s="2">
        <v>98</v>
      </c>
      <c r="AC855" s="2">
        <v>0</v>
      </c>
      <c r="AD855" s="2">
        <v>1</v>
      </c>
      <c r="AE855" s="2" t="s">
        <v>40</v>
      </c>
      <c r="AF855" s="3">
        <v>42804</v>
      </c>
    </row>
    <row r="856" spans="1:32" x14ac:dyDescent="0.25">
      <c r="A856" s="2" t="s">
        <v>41</v>
      </c>
      <c r="B856" s="2">
        <v>0</v>
      </c>
      <c r="C856" s="2">
        <v>169</v>
      </c>
      <c r="D856" s="2">
        <v>2017</v>
      </c>
      <c r="E856" s="2" t="s">
        <v>42</v>
      </c>
      <c r="F856" s="2">
        <v>27</v>
      </c>
      <c r="G856" s="2">
        <v>2</v>
      </c>
      <c r="H856" s="2">
        <v>1</v>
      </c>
      <c r="I856" s="2">
        <v>0</v>
      </c>
      <c r="J856" s="2">
        <v>2</v>
      </c>
      <c r="K856" s="2">
        <v>0</v>
      </c>
      <c r="L856" s="2">
        <v>0</v>
      </c>
      <c r="M856" s="2" t="s">
        <v>34</v>
      </c>
      <c r="N856" s="2" t="s">
        <v>118</v>
      </c>
      <c r="O856" s="2" t="s">
        <v>44</v>
      </c>
      <c r="P856" s="2" t="s">
        <v>45</v>
      </c>
      <c r="Q856" s="2">
        <v>0</v>
      </c>
      <c r="R856" s="2">
        <v>0</v>
      </c>
      <c r="S856" s="2">
        <v>0</v>
      </c>
      <c r="T856" s="2" t="s">
        <v>46</v>
      </c>
      <c r="U856" s="2" t="s">
        <v>46</v>
      </c>
      <c r="V856" s="2">
        <v>0</v>
      </c>
      <c r="W856" s="2" t="s">
        <v>38</v>
      </c>
      <c r="X856" s="2">
        <v>9</v>
      </c>
      <c r="Y856" s="2"/>
      <c r="Z856" s="2">
        <v>0</v>
      </c>
      <c r="AA856" s="2" t="s">
        <v>39</v>
      </c>
      <c r="AB856" s="2">
        <v>107.1</v>
      </c>
      <c r="AC856" s="2">
        <v>0</v>
      </c>
      <c r="AD856" s="2">
        <v>0</v>
      </c>
      <c r="AE856" s="2" t="s">
        <v>40</v>
      </c>
      <c r="AF856" s="3">
        <v>42919</v>
      </c>
    </row>
    <row r="857" spans="1:32" x14ac:dyDescent="0.25">
      <c r="A857" s="2" t="s">
        <v>41</v>
      </c>
      <c r="B857" s="2">
        <v>1</v>
      </c>
      <c r="C857" s="2">
        <v>70</v>
      </c>
      <c r="D857" s="2">
        <v>2017</v>
      </c>
      <c r="E857" s="2" t="s">
        <v>42</v>
      </c>
      <c r="F857" s="2">
        <v>31</v>
      </c>
      <c r="G857" s="2">
        <v>31</v>
      </c>
      <c r="H857" s="2">
        <v>1</v>
      </c>
      <c r="I857" s="2">
        <v>2</v>
      </c>
      <c r="J857" s="2">
        <v>3</v>
      </c>
      <c r="K857" s="2">
        <v>0</v>
      </c>
      <c r="L857" s="2">
        <v>0</v>
      </c>
      <c r="M857" s="2" t="s">
        <v>34</v>
      </c>
      <c r="N857" s="2" t="s">
        <v>121</v>
      </c>
      <c r="O857" s="2" t="s">
        <v>44</v>
      </c>
      <c r="P857" s="2" t="s">
        <v>45</v>
      </c>
      <c r="Q857" s="2">
        <v>0</v>
      </c>
      <c r="R857" s="2">
        <v>0</v>
      </c>
      <c r="S857" s="2">
        <v>0</v>
      </c>
      <c r="T857" s="2" t="s">
        <v>72</v>
      </c>
      <c r="U857" s="2" t="s">
        <v>72</v>
      </c>
      <c r="V857" s="2">
        <v>0</v>
      </c>
      <c r="W857" s="2" t="s">
        <v>38</v>
      </c>
      <c r="X857" s="2">
        <v>9</v>
      </c>
      <c r="Y857" s="2"/>
      <c r="Z857" s="2">
        <v>0</v>
      </c>
      <c r="AA857" s="2" t="s">
        <v>39</v>
      </c>
      <c r="AB857" s="2">
        <v>230</v>
      </c>
      <c r="AC857" s="2">
        <v>0</v>
      </c>
      <c r="AD857" s="2">
        <v>1</v>
      </c>
      <c r="AE857" s="2" t="s">
        <v>47</v>
      </c>
      <c r="AF857" s="3">
        <v>42878</v>
      </c>
    </row>
    <row r="858" spans="1:32" x14ac:dyDescent="0.25">
      <c r="A858" s="2" t="s">
        <v>41</v>
      </c>
      <c r="B858" s="2">
        <v>0</v>
      </c>
      <c r="C858" s="2">
        <v>395</v>
      </c>
      <c r="D858" s="2">
        <v>2017</v>
      </c>
      <c r="E858" s="2" t="s">
        <v>69</v>
      </c>
      <c r="F858" s="2">
        <v>20</v>
      </c>
      <c r="G858" s="2">
        <v>17</v>
      </c>
      <c r="H858" s="2">
        <v>0</v>
      </c>
      <c r="I858" s="2">
        <v>3</v>
      </c>
      <c r="J858" s="2">
        <v>2</v>
      </c>
      <c r="K858" s="2">
        <v>0</v>
      </c>
      <c r="L858" s="2">
        <v>0</v>
      </c>
      <c r="M858" s="2" t="s">
        <v>34</v>
      </c>
      <c r="N858" s="2" t="s">
        <v>91</v>
      </c>
      <c r="O858" s="2" t="s">
        <v>49</v>
      </c>
      <c r="P858" s="2" t="s">
        <v>45</v>
      </c>
      <c r="Q858" s="2">
        <v>0</v>
      </c>
      <c r="R858" s="2">
        <v>0</v>
      </c>
      <c r="S858" s="2">
        <v>0</v>
      </c>
      <c r="T858" s="2" t="s">
        <v>46</v>
      </c>
      <c r="U858" s="2" t="s">
        <v>46</v>
      </c>
      <c r="V858" s="2">
        <v>0</v>
      </c>
      <c r="W858" s="2" t="s">
        <v>38</v>
      </c>
      <c r="X858" s="2">
        <v>229</v>
      </c>
      <c r="Y858" s="2"/>
      <c r="Z858" s="2">
        <v>0</v>
      </c>
      <c r="AA858" s="2" t="s">
        <v>51</v>
      </c>
      <c r="AB858" s="2">
        <v>112.67</v>
      </c>
      <c r="AC858" s="2">
        <v>0</v>
      </c>
      <c r="AD858" s="2">
        <v>1</v>
      </c>
      <c r="AE858" s="2" t="s">
        <v>40</v>
      </c>
      <c r="AF858" s="3">
        <v>42875</v>
      </c>
    </row>
    <row r="859" spans="1:32" x14ac:dyDescent="0.25">
      <c r="A859" s="2" t="s">
        <v>41</v>
      </c>
      <c r="B859" s="2">
        <v>1</v>
      </c>
      <c r="C859" s="2">
        <v>59</v>
      </c>
      <c r="D859" s="2">
        <v>2017</v>
      </c>
      <c r="E859" s="2" t="s">
        <v>69</v>
      </c>
      <c r="F859" s="2">
        <v>22</v>
      </c>
      <c r="G859" s="2">
        <v>29</v>
      </c>
      <c r="H859" s="2">
        <v>1</v>
      </c>
      <c r="I859" s="2">
        <v>0</v>
      </c>
      <c r="J859" s="2">
        <v>2</v>
      </c>
      <c r="K859" s="2">
        <v>0</v>
      </c>
      <c r="L859" s="2">
        <v>0</v>
      </c>
      <c r="M859" s="2" t="s">
        <v>34</v>
      </c>
      <c r="N859" s="2" t="s">
        <v>43</v>
      </c>
      <c r="O859" s="2" t="s">
        <v>64</v>
      </c>
      <c r="P859" s="2" t="s">
        <v>45</v>
      </c>
      <c r="Q859" s="2">
        <v>0</v>
      </c>
      <c r="R859" s="2">
        <v>0</v>
      </c>
      <c r="S859" s="2">
        <v>0</v>
      </c>
      <c r="T859" s="2" t="s">
        <v>46</v>
      </c>
      <c r="U859" s="2" t="s">
        <v>46</v>
      </c>
      <c r="V859" s="2">
        <v>0</v>
      </c>
      <c r="W859" s="2" t="s">
        <v>68</v>
      </c>
      <c r="X859" s="2">
        <v>87</v>
      </c>
      <c r="Y859" s="2"/>
      <c r="Z859" s="2">
        <v>0</v>
      </c>
      <c r="AA859" s="2" t="s">
        <v>39</v>
      </c>
      <c r="AB859" s="2">
        <v>140</v>
      </c>
      <c r="AC859" s="2">
        <v>0</v>
      </c>
      <c r="AD859" s="2">
        <v>0</v>
      </c>
      <c r="AE859" s="2" t="s">
        <v>47</v>
      </c>
      <c r="AF859" s="3">
        <v>42866</v>
      </c>
    </row>
    <row r="860" spans="1:32" x14ac:dyDescent="0.25">
      <c r="A860" s="2" t="s">
        <v>41</v>
      </c>
      <c r="B860" s="2">
        <v>0</v>
      </c>
      <c r="C860" s="2">
        <v>176</v>
      </c>
      <c r="D860" s="2">
        <v>2017</v>
      </c>
      <c r="E860" s="2" t="s">
        <v>69</v>
      </c>
      <c r="F860" s="2">
        <v>20</v>
      </c>
      <c r="G860" s="2">
        <v>15</v>
      </c>
      <c r="H860" s="2">
        <v>1</v>
      </c>
      <c r="I860" s="2">
        <v>2</v>
      </c>
      <c r="J860" s="2">
        <v>2</v>
      </c>
      <c r="K860" s="2">
        <v>0</v>
      </c>
      <c r="L860" s="2">
        <v>0</v>
      </c>
      <c r="M860" s="2" t="s">
        <v>34</v>
      </c>
      <c r="N860" s="2" t="s">
        <v>65</v>
      </c>
      <c r="O860" s="2" t="s">
        <v>36</v>
      </c>
      <c r="P860" s="2" t="s">
        <v>36</v>
      </c>
      <c r="Q860" s="2">
        <v>0</v>
      </c>
      <c r="R860" s="2">
        <v>0</v>
      </c>
      <c r="S860" s="2">
        <v>0</v>
      </c>
      <c r="T860" s="2" t="s">
        <v>46</v>
      </c>
      <c r="U860" s="2" t="s">
        <v>46</v>
      </c>
      <c r="V860" s="2">
        <v>0</v>
      </c>
      <c r="W860" s="2" t="s">
        <v>38</v>
      </c>
      <c r="X860" s="2">
        <v>14</v>
      </c>
      <c r="Y860" s="2"/>
      <c r="Z860" s="2">
        <v>0</v>
      </c>
      <c r="AA860" s="2" t="s">
        <v>39</v>
      </c>
      <c r="AB860" s="2">
        <v>107.1</v>
      </c>
      <c r="AC860" s="2">
        <v>0</v>
      </c>
      <c r="AD860" s="2">
        <v>0</v>
      </c>
      <c r="AE860" s="2" t="s">
        <v>40</v>
      </c>
      <c r="AF860" s="3">
        <v>42873</v>
      </c>
    </row>
    <row r="861" spans="1:32" x14ac:dyDescent="0.25">
      <c r="A861" s="2" t="s">
        <v>41</v>
      </c>
      <c r="B861" s="2">
        <v>1</v>
      </c>
      <c r="C861" s="2">
        <v>93</v>
      </c>
      <c r="D861" s="2">
        <v>2017</v>
      </c>
      <c r="E861" s="2" t="s">
        <v>83</v>
      </c>
      <c r="F861" s="2">
        <v>25</v>
      </c>
      <c r="G861" s="2">
        <v>22</v>
      </c>
      <c r="H861" s="2">
        <v>2</v>
      </c>
      <c r="I861" s="2">
        <v>3</v>
      </c>
      <c r="J861" s="2">
        <v>2</v>
      </c>
      <c r="K861" s="2">
        <v>0</v>
      </c>
      <c r="L861" s="2">
        <v>0</v>
      </c>
      <c r="M861" s="2" t="s">
        <v>34</v>
      </c>
      <c r="N861" s="2" t="s">
        <v>43</v>
      </c>
      <c r="O861" s="2" t="s">
        <v>49</v>
      </c>
      <c r="P861" s="2" t="s">
        <v>45</v>
      </c>
      <c r="Q861" s="2">
        <v>0</v>
      </c>
      <c r="R861" s="2">
        <v>0</v>
      </c>
      <c r="S861" s="2">
        <v>0</v>
      </c>
      <c r="T861" s="2" t="s">
        <v>46</v>
      </c>
      <c r="U861" s="2" t="s">
        <v>46</v>
      </c>
      <c r="V861" s="2">
        <v>0</v>
      </c>
      <c r="W861" s="2" t="s">
        <v>38</v>
      </c>
      <c r="X861" s="2">
        <v>132</v>
      </c>
      <c r="Y861" s="2"/>
      <c r="Z861" s="2">
        <v>0</v>
      </c>
      <c r="AA861" s="2" t="s">
        <v>51</v>
      </c>
      <c r="AB861" s="2">
        <v>99</v>
      </c>
      <c r="AC861" s="2">
        <v>0</v>
      </c>
      <c r="AD861" s="2">
        <v>0</v>
      </c>
      <c r="AE861" s="2" t="s">
        <v>47</v>
      </c>
      <c r="AF861" s="3">
        <v>42891</v>
      </c>
    </row>
    <row r="862" spans="1:32" x14ac:dyDescent="0.25">
      <c r="A862" s="2" t="s">
        <v>41</v>
      </c>
      <c r="B862" s="2">
        <v>1</v>
      </c>
      <c r="C862" s="2">
        <v>56</v>
      </c>
      <c r="D862" s="2">
        <v>2017</v>
      </c>
      <c r="E862" s="2" t="s">
        <v>52</v>
      </c>
      <c r="F862" s="2">
        <v>12</v>
      </c>
      <c r="G862" s="2">
        <v>21</v>
      </c>
      <c r="H862" s="2">
        <v>0</v>
      </c>
      <c r="I862" s="2">
        <v>3</v>
      </c>
      <c r="J862" s="2">
        <v>2</v>
      </c>
      <c r="K862" s="2">
        <v>0</v>
      </c>
      <c r="L862" s="2">
        <v>0</v>
      </c>
      <c r="M862" s="2" t="s">
        <v>34</v>
      </c>
      <c r="N862" s="2" t="s">
        <v>43</v>
      </c>
      <c r="O862" s="2" t="s">
        <v>49</v>
      </c>
      <c r="P862" s="2" t="s">
        <v>45</v>
      </c>
      <c r="Q862" s="2">
        <v>0</v>
      </c>
      <c r="R862" s="2">
        <v>0</v>
      </c>
      <c r="S862" s="2">
        <v>0</v>
      </c>
      <c r="T862" s="2" t="s">
        <v>46</v>
      </c>
      <c r="U862" s="2" t="s">
        <v>46</v>
      </c>
      <c r="V862" s="2">
        <v>0</v>
      </c>
      <c r="W862" s="2" t="s">
        <v>68</v>
      </c>
      <c r="X862" s="2">
        <v>86</v>
      </c>
      <c r="Y862" s="2"/>
      <c r="Z862" s="2">
        <v>0</v>
      </c>
      <c r="AA862" s="2" t="s">
        <v>39</v>
      </c>
      <c r="AB862" s="2">
        <v>85</v>
      </c>
      <c r="AC862" s="2">
        <v>0</v>
      </c>
      <c r="AD862" s="2">
        <v>0</v>
      </c>
      <c r="AE862" s="2" t="s">
        <v>47</v>
      </c>
      <c r="AF862" s="3">
        <v>42759</v>
      </c>
    </row>
    <row r="863" spans="1:32" x14ac:dyDescent="0.25">
      <c r="A863" s="2" t="s">
        <v>32</v>
      </c>
      <c r="B863" s="2">
        <v>0</v>
      </c>
      <c r="C863" s="2">
        <v>244</v>
      </c>
      <c r="D863" s="2">
        <v>2017</v>
      </c>
      <c r="E863" s="2" t="s">
        <v>83</v>
      </c>
      <c r="F863" s="2">
        <v>25</v>
      </c>
      <c r="G863" s="2">
        <v>20</v>
      </c>
      <c r="H863" s="2">
        <v>4</v>
      </c>
      <c r="I863" s="2">
        <v>10</v>
      </c>
      <c r="J863" s="2">
        <v>2</v>
      </c>
      <c r="K863" s="2">
        <v>0</v>
      </c>
      <c r="L863" s="2">
        <v>0</v>
      </c>
      <c r="M863" s="2" t="s">
        <v>34</v>
      </c>
      <c r="N863" s="2" t="s">
        <v>35</v>
      </c>
      <c r="O863" s="2" t="s">
        <v>49</v>
      </c>
      <c r="P863" s="2" t="s">
        <v>45</v>
      </c>
      <c r="Q863" s="2">
        <v>0</v>
      </c>
      <c r="R863" s="2">
        <v>0</v>
      </c>
      <c r="S863" s="2">
        <v>0</v>
      </c>
      <c r="T863" s="2" t="s">
        <v>57</v>
      </c>
      <c r="U863" s="2" t="s">
        <v>57</v>
      </c>
      <c r="V863" s="2">
        <v>0</v>
      </c>
      <c r="W863" s="2" t="s">
        <v>38</v>
      </c>
      <c r="X863" s="2">
        <v>40</v>
      </c>
      <c r="Y863" s="2"/>
      <c r="Z863" s="2">
        <v>0</v>
      </c>
      <c r="AA863" s="2" t="s">
        <v>73</v>
      </c>
      <c r="AB863" s="2">
        <v>84.8</v>
      </c>
      <c r="AC863" s="2">
        <v>0</v>
      </c>
      <c r="AD863" s="2">
        <v>1</v>
      </c>
      <c r="AE863" s="2" t="s">
        <v>40</v>
      </c>
      <c r="AF863" s="3">
        <v>42920</v>
      </c>
    </row>
    <row r="864" spans="1:32" x14ac:dyDescent="0.25">
      <c r="A864" s="2" t="s">
        <v>32</v>
      </c>
      <c r="B864" s="2">
        <v>0</v>
      </c>
      <c r="C864" s="2">
        <v>251</v>
      </c>
      <c r="D864" s="2">
        <v>2017</v>
      </c>
      <c r="E864" s="2" t="s">
        <v>83</v>
      </c>
      <c r="F864" s="2">
        <v>26</v>
      </c>
      <c r="G864" s="2">
        <v>26</v>
      </c>
      <c r="H864" s="2">
        <v>1</v>
      </c>
      <c r="I864" s="2">
        <v>3</v>
      </c>
      <c r="J864" s="2">
        <v>2</v>
      </c>
      <c r="K864" s="2">
        <v>0</v>
      </c>
      <c r="L864" s="2">
        <v>0</v>
      </c>
      <c r="M864" s="2" t="s">
        <v>60</v>
      </c>
      <c r="N864" s="2" t="s">
        <v>99</v>
      </c>
      <c r="O864" s="2" t="s">
        <v>64</v>
      </c>
      <c r="P864" s="2" t="s">
        <v>45</v>
      </c>
      <c r="Q864" s="2">
        <v>0</v>
      </c>
      <c r="R864" s="2">
        <v>0</v>
      </c>
      <c r="S864" s="2">
        <v>0</v>
      </c>
      <c r="T864" s="2" t="s">
        <v>57</v>
      </c>
      <c r="U864" s="2" t="s">
        <v>37</v>
      </c>
      <c r="V864" s="2">
        <v>0</v>
      </c>
      <c r="W864" s="2" t="s">
        <v>38</v>
      </c>
      <c r="X864" s="2">
        <v>96</v>
      </c>
      <c r="Y864" s="2"/>
      <c r="Z864" s="2">
        <v>0</v>
      </c>
      <c r="AA864" s="2" t="s">
        <v>51</v>
      </c>
      <c r="AB864" s="2">
        <v>108</v>
      </c>
      <c r="AC864" s="2">
        <v>0</v>
      </c>
      <c r="AD864" s="2">
        <v>1</v>
      </c>
      <c r="AE864" s="2" t="s">
        <v>40</v>
      </c>
      <c r="AF864" s="3">
        <v>42916</v>
      </c>
    </row>
    <row r="865" spans="1:32" x14ac:dyDescent="0.25">
      <c r="A865" s="2" t="s">
        <v>41</v>
      </c>
      <c r="B865" s="2">
        <v>0</v>
      </c>
      <c r="C865" s="2">
        <v>10</v>
      </c>
      <c r="D865" s="2">
        <v>2017</v>
      </c>
      <c r="E865" s="2" t="s">
        <v>66</v>
      </c>
      <c r="F865" s="2">
        <v>6</v>
      </c>
      <c r="G865" s="2">
        <v>8</v>
      </c>
      <c r="H865" s="2">
        <v>0</v>
      </c>
      <c r="I865" s="2">
        <v>2</v>
      </c>
      <c r="J865" s="2">
        <v>2</v>
      </c>
      <c r="K865" s="2">
        <v>0</v>
      </c>
      <c r="L865" s="2">
        <v>0</v>
      </c>
      <c r="M865" s="2" t="s">
        <v>34</v>
      </c>
      <c r="N865" s="2" t="s">
        <v>35</v>
      </c>
      <c r="O865" s="2" t="s">
        <v>44</v>
      </c>
      <c r="P865" s="2" t="s">
        <v>45</v>
      </c>
      <c r="Q865" s="2">
        <v>0</v>
      </c>
      <c r="R865" s="2">
        <v>0</v>
      </c>
      <c r="S865" s="2">
        <v>0</v>
      </c>
      <c r="T865" s="2" t="s">
        <v>46</v>
      </c>
      <c r="U865" s="2" t="s">
        <v>46</v>
      </c>
      <c r="V865" s="2">
        <v>0</v>
      </c>
      <c r="W865" s="2" t="s">
        <v>38</v>
      </c>
      <c r="X865" s="2">
        <v>7</v>
      </c>
      <c r="Y865" s="2"/>
      <c r="Z865" s="2">
        <v>0</v>
      </c>
      <c r="AA865" s="2" t="s">
        <v>39</v>
      </c>
      <c r="AB865" s="2">
        <v>79</v>
      </c>
      <c r="AC865" s="2">
        <v>0</v>
      </c>
      <c r="AD865" s="2">
        <v>0</v>
      </c>
      <c r="AE865" s="2" t="s">
        <v>40</v>
      </c>
      <c r="AF865" s="3">
        <v>42776</v>
      </c>
    </row>
    <row r="866" spans="1:32" x14ac:dyDescent="0.25">
      <c r="A866" s="2" t="s">
        <v>41</v>
      </c>
      <c r="B866" s="2">
        <v>1</v>
      </c>
      <c r="C866" s="2">
        <v>125</v>
      </c>
      <c r="D866" s="2">
        <v>2017</v>
      </c>
      <c r="E866" s="2" t="s">
        <v>83</v>
      </c>
      <c r="F866" s="2">
        <v>24</v>
      </c>
      <c r="G866" s="2">
        <v>15</v>
      </c>
      <c r="H866" s="2">
        <v>2</v>
      </c>
      <c r="I866" s="2">
        <v>3</v>
      </c>
      <c r="J866" s="2">
        <v>2</v>
      </c>
      <c r="K866" s="2">
        <v>0</v>
      </c>
      <c r="L866" s="2">
        <v>0</v>
      </c>
      <c r="M866" s="2" t="s">
        <v>34</v>
      </c>
      <c r="N866" s="2" t="s">
        <v>95</v>
      </c>
      <c r="O866" s="2" t="s">
        <v>44</v>
      </c>
      <c r="P866" s="2" t="s">
        <v>45</v>
      </c>
      <c r="Q866" s="2">
        <v>0</v>
      </c>
      <c r="R866" s="2">
        <v>0</v>
      </c>
      <c r="S866" s="2">
        <v>0</v>
      </c>
      <c r="T866" s="2" t="s">
        <v>46</v>
      </c>
      <c r="U866" s="2" t="s">
        <v>46</v>
      </c>
      <c r="V866" s="2">
        <v>0</v>
      </c>
      <c r="W866" s="2" t="s">
        <v>38</v>
      </c>
      <c r="X866" s="2">
        <v>9</v>
      </c>
      <c r="Y866" s="2"/>
      <c r="Z866" s="2">
        <v>0</v>
      </c>
      <c r="AA866" s="2" t="s">
        <v>39</v>
      </c>
      <c r="AB866" s="2">
        <v>122.4</v>
      </c>
      <c r="AC866" s="2">
        <v>0</v>
      </c>
      <c r="AD866" s="2">
        <v>0</v>
      </c>
      <c r="AE866" s="2" t="s">
        <v>47</v>
      </c>
      <c r="AF866" s="3">
        <v>42781</v>
      </c>
    </row>
    <row r="867" spans="1:32" x14ac:dyDescent="0.25">
      <c r="A867" s="2" t="s">
        <v>32</v>
      </c>
      <c r="B867" s="2">
        <v>0</v>
      </c>
      <c r="C867" s="2">
        <v>112</v>
      </c>
      <c r="D867" s="2">
        <v>2017</v>
      </c>
      <c r="E867" s="2" t="s">
        <v>52</v>
      </c>
      <c r="F867" s="2">
        <v>11</v>
      </c>
      <c r="G867" s="2">
        <v>15</v>
      </c>
      <c r="H867" s="2">
        <v>0</v>
      </c>
      <c r="I867" s="2">
        <v>3</v>
      </c>
      <c r="J867" s="2">
        <v>1</v>
      </c>
      <c r="K867" s="2">
        <v>0</v>
      </c>
      <c r="L867" s="2">
        <v>0</v>
      </c>
      <c r="M867" s="2" t="s">
        <v>34</v>
      </c>
      <c r="N867" s="2" t="s">
        <v>48</v>
      </c>
      <c r="O867" s="2" t="s">
        <v>76</v>
      </c>
      <c r="P867" s="2" t="s">
        <v>76</v>
      </c>
      <c r="Q867" s="2">
        <v>0</v>
      </c>
      <c r="R867" s="2">
        <v>0</v>
      </c>
      <c r="S867" s="2">
        <v>0</v>
      </c>
      <c r="T867" s="2" t="s">
        <v>46</v>
      </c>
      <c r="U867" s="2" t="s">
        <v>46</v>
      </c>
      <c r="V867" s="2">
        <v>0</v>
      </c>
      <c r="W867" s="2" t="s">
        <v>38</v>
      </c>
      <c r="X867" s="2"/>
      <c r="Y867" s="2">
        <v>477</v>
      </c>
      <c r="Z867" s="2">
        <v>0</v>
      </c>
      <c r="AA867" s="2" t="s">
        <v>51</v>
      </c>
      <c r="AB867" s="2">
        <v>40</v>
      </c>
      <c r="AC867" s="2">
        <v>0</v>
      </c>
      <c r="AD867" s="2">
        <v>0</v>
      </c>
      <c r="AE867" s="2" t="s">
        <v>40</v>
      </c>
      <c r="AF867" s="3">
        <v>42812</v>
      </c>
    </row>
    <row r="868" spans="1:32" x14ac:dyDescent="0.25">
      <c r="A868" s="2" t="s">
        <v>41</v>
      </c>
      <c r="B868" s="2">
        <v>1</v>
      </c>
      <c r="C868" s="2">
        <v>82</v>
      </c>
      <c r="D868" s="2">
        <v>2017</v>
      </c>
      <c r="E868" s="2" t="s">
        <v>69</v>
      </c>
      <c r="F868" s="2">
        <v>18</v>
      </c>
      <c r="G868" s="2">
        <v>3</v>
      </c>
      <c r="H868" s="2">
        <v>0</v>
      </c>
      <c r="I868" s="2">
        <v>3</v>
      </c>
      <c r="J868" s="2">
        <v>2</v>
      </c>
      <c r="K868" s="2">
        <v>0</v>
      </c>
      <c r="L868" s="2">
        <v>0</v>
      </c>
      <c r="M868" s="2" t="s">
        <v>55</v>
      </c>
      <c r="N868" s="2" t="s">
        <v>71</v>
      </c>
      <c r="O868" s="2" t="s">
        <v>44</v>
      </c>
      <c r="P868" s="2" t="s">
        <v>45</v>
      </c>
      <c r="Q868" s="2">
        <v>0</v>
      </c>
      <c r="R868" s="2">
        <v>0</v>
      </c>
      <c r="S868" s="2">
        <v>0</v>
      </c>
      <c r="T868" s="2" t="s">
        <v>46</v>
      </c>
      <c r="U868" s="2" t="s">
        <v>46</v>
      </c>
      <c r="V868" s="2">
        <v>0</v>
      </c>
      <c r="W868" s="2" t="s">
        <v>38</v>
      </c>
      <c r="X868" s="2">
        <v>9</v>
      </c>
      <c r="Y868" s="2"/>
      <c r="Z868" s="2">
        <v>0</v>
      </c>
      <c r="AA868" s="2" t="s">
        <v>39</v>
      </c>
      <c r="AB868" s="2">
        <v>108</v>
      </c>
      <c r="AC868" s="2">
        <v>0</v>
      </c>
      <c r="AD868" s="2">
        <v>0</v>
      </c>
      <c r="AE868" s="2" t="s">
        <v>47</v>
      </c>
      <c r="AF868" s="3">
        <v>42844</v>
      </c>
    </row>
    <row r="869" spans="1:32" x14ac:dyDescent="0.25">
      <c r="A869" s="2" t="s">
        <v>41</v>
      </c>
      <c r="B869" s="2">
        <v>0</v>
      </c>
      <c r="C869" s="2">
        <v>40</v>
      </c>
      <c r="D869" s="2">
        <v>2017</v>
      </c>
      <c r="E869" s="2" t="s">
        <v>42</v>
      </c>
      <c r="F869" s="2">
        <v>31</v>
      </c>
      <c r="G869" s="2">
        <v>31</v>
      </c>
      <c r="H869" s="2">
        <v>1</v>
      </c>
      <c r="I869" s="2">
        <v>0</v>
      </c>
      <c r="J869" s="2">
        <v>2</v>
      </c>
      <c r="K869" s="2">
        <v>0</v>
      </c>
      <c r="L869" s="2">
        <v>0</v>
      </c>
      <c r="M869" s="2" t="s">
        <v>55</v>
      </c>
      <c r="N869" s="2" t="s">
        <v>103</v>
      </c>
      <c r="O869" s="2" t="s">
        <v>44</v>
      </c>
      <c r="P869" s="2" t="s">
        <v>45</v>
      </c>
      <c r="Q869" s="2">
        <v>0</v>
      </c>
      <c r="R869" s="2">
        <v>0</v>
      </c>
      <c r="S869" s="2">
        <v>0</v>
      </c>
      <c r="T869" s="2" t="s">
        <v>46</v>
      </c>
      <c r="U869" s="2" t="s">
        <v>46</v>
      </c>
      <c r="V869" s="2">
        <v>0</v>
      </c>
      <c r="W869" s="2" t="s">
        <v>38</v>
      </c>
      <c r="X869" s="2">
        <v>9</v>
      </c>
      <c r="Y869" s="2"/>
      <c r="Z869" s="2">
        <v>0</v>
      </c>
      <c r="AA869" s="2" t="s">
        <v>39</v>
      </c>
      <c r="AB869" s="2">
        <v>140</v>
      </c>
      <c r="AC869" s="2">
        <v>0</v>
      </c>
      <c r="AD869" s="2">
        <v>1</v>
      </c>
      <c r="AE869" s="2" t="s">
        <v>40</v>
      </c>
      <c r="AF869" s="3">
        <v>42948</v>
      </c>
    </row>
    <row r="870" spans="1:32" x14ac:dyDescent="0.25">
      <c r="A870" s="2" t="s">
        <v>41</v>
      </c>
      <c r="B870" s="2">
        <v>0</v>
      </c>
      <c r="C870" s="2">
        <v>15</v>
      </c>
      <c r="D870" s="2">
        <v>2017</v>
      </c>
      <c r="E870" s="2" t="s">
        <v>52</v>
      </c>
      <c r="F870" s="2">
        <v>10</v>
      </c>
      <c r="G870" s="2">
        <v>8</v>
      </c>
      <c r="H870" s="2">
        <v>0</v>
      </c>
      <c r="I870" s="2">
        <v>3</v>
      </c>
      <c r="J870" s="2">
        <v>1</v>
      </c>
      <c r="K870" s="2">
        <v>0</v>
      </c>
      <c r="L870" s="2">
        <v>0</v>
      </c>
      <c r="M870" s="2" t="s">
        <v>34</v>
      </c>
      <c r="N870" s="2" t="s">
        <v>106</v>
      </c>
      <c r="O870" s="2" t="s">
        <v>44</v>
      </c>
      <c r="P870" s="2" t="s">
        <v>45</v>
      </c>
      <c r="Q870" s="2">
        <v>0</v>
      </c>
      <c r="R870" s="2">
        <v>0</v>
      </c>
      <c r="S870" s="2">
        <v>0</v>
      </c>
      <c r="T870" s="2" t="s">
        <v>57</v>
      </c>
      <c r="U870" s="2" t="s">
        <v>57</v>
      </c>
      <c r="V870" s="2">
        <v>0</v>
      </c>
      <c r="W870" s="2" t="s">
        <v>38</v>
      </c>
      <c r="X870" s="2">
        <v>9</v>
      </c>
      <c r="Y870" s="2"/>
      <c r="Z870" s="2">
        <v>0</v>
      </c>
      <c r="AA870" s="2" t="s">
        <v>39</v>
      </c>
      <c r="AB870" s="2">
        <v>121.33</v>
      </c>
      <c r="AC870" s="2">
        <v>0</v>
      </c>
      <c r="AD870" s="2">
        <v>1</v>
      </c>
      <c r="AE870" s="2" t="s">
        <v>40</v>
      </c>
      <c r="AF870" s="3">
        <v>42805</v>
      </c>
    </row>
    <row r="871" spans="1:32" x14ac:dyDescent="0.25">
      <c r="A871" s="2" t="s">
        <v>41</v>
      </c>
      <c r="B871" s="2">
        <v>0</v>
      </c>
      <c r="C871" s="2">
        <v>21</v>
      </c>
      <c r="D871" s="2">
        <v>2017</v>
      </c>
      <c r="E871" s="2" t="s">
        <v>67</v>
      </c>
      <c r="F871" s="2">
        <v>31</v>
      </c>
      <c r="G871" s="2">
        <v>1</v>
      </c>
      <c r="H871" s="2">
        <v>0</v>
      </c>
      <c r="I871" s="2">
        <v>4</v>
      </c>
      <c r="J871" s="2">
        <v>2</v>
      </c>
      <c r="K871" s="2">
        <v>0</v>
      </c>
      <c r="L871" s="2">
        <v>0</v>
      </c>
      <c r="M871" s="2" t="s">
        <v>34</v>
      </c>
      <c r="N871" s="2" t="s">
        <v>99</v>
      </c>
      <c r="O871" s="2" t="s">
        <v>44</v>
      </c>
      <c r="P871" s="2" t="s">
        <v>45</v>
      </c>
      <c r="Q871" s="2">
        <v>0</v>
      </c>
      <c r="R871" s="2">
        <v>0</v>
      </c>
      <c r="S871" s="2">
        <v>0</v>
      </c>
      <c r="T871" s="2" t="s">
        <v>57</v>
      </c>
      <c r="U871" s="2" t="s">
        <v>57</v>
      </c>
      <c r="V871" s="2">
        <v>0</v>
      </c>
      <c r="W871" s="2" t="s">
        <v>38</v>
      </c>
      <c r="X871" s="2">
        <v>9</v>
      </c>
      <c r="Y871" s="2"/>
      <c r="Z871" s="2">
        <v>0</v>
      </c>
      <c r="AA871" s="2" t="s">
        <v>39</v>
      </c>
      <c r="AB871" s="2">
        <v>159</v>
      </c>
      <c r="AC871" s="2">
        <v>0</v>
      </c>
      <c r="AD871" s="2">
        <v>1</v>
      </c>
      <c r="AE871" s="2" t="s">
        <v>40</v>
      </c>
      <c r="AF871" s="3">
        <v>42952</v>
      </c>
    </row>
    <row r="872" spans="1:32" x14ac:dyDescent="0.25">
      <c r="A872" s="2" t="s">
        <v>41</v>
      </c>
      <c r="B872" s="2">
        <v>0</v>
      </c>
      <c r="C872" s="2">
        <v>51</v>
      </c>
      <c r="D872" s="2">
        <v>2017</v>
      </c>
      <c r="E872" s="2" t="s">
        <v>52</v>
      </c>
      <c r="F872" s="2">
        <v>10</v>
      </c>
      <c r="G872" s="2">
        <v>8</v>
      </c>
      <c r="H872" s="2">
        <v>0</v>
      </c>
      <c r="I872" s="2">
        <v>0</v>
      </c>
      <c r="J872" s="2">
        <v>0</v>
      </c>
      <c r="K872" s="2">
        <v>0</v>
      </c>
      <c r="L872" s="2">
        <v>0</v>
      </c>
      <c r="M872" s="2" t="s">
        <v>34</v>
      </c>
      <c r="N872" s="2" t="s">
        <v>43</v>
      </c>
      <c r="O872" s="2" t="s">
        <v>49</v>
      </c>
      <c r="P872" s="2" t="s">
        <v>45</v>
      </c>
      <c r="Q872" s="2">
        <v>0</v>
      </c>
      <c r="R872" s="2">
        <v>0</v>
      </c>
      <c r="S872" s="2">
        <v>0</v>
      </c>
      <c r="T872" s="2" t="s">
        <v>46</v>
      </c>
      <c r="U872" s="2" t="s">
        <v>57</v>
      </c>
      <c r="V872" s="2">
        <v>1</v>
      </c>
      <c r="W872" s="2" t="s">
        <v>38</v>
      </c>
      <c r="X872" s="2">
        <v>28</v>
      </c>
      <c r="Y872" s="2"/>
      <c r="Z872" s="2">
        <v>0</v>
      </c>
      <c r="AA872" s="2" t="s">
        <v>39</v>
      </c>
      <c r="AB872" s="2">
        <v>0</v>
      </c>
      <c r="AC872" s="2">
        <v>0</v>
      </c>
      <c r="AD872" s="2">
        <v>0</v>
      </c>
      <c r="AE872" s="2" t="s">
        <v>40</v>
      </c>
      <c r="AF872" s="3">
        <v>42802</v>
      </c>
    </row>
    <row r="873" spans="1:32" x14ac:dyDescent="0.25">
      <c r="A873" s="2" t="s">
        <v>41</v>
      </c>
      <c r="B873" s="2">
        <v>0</v>
      </c>
      <c r="C873" s="2">
        <v>2</v>
      </c>
      <c r="D873" s="2">
        <v>2017</v>
      </c>
      <c r="E873" s="2" t="s">
        <v>74</v>
      </c>
      <c r="F873" s="2">
        <v>3</v>
      </c>
      <c r="G873" s="2">
        <v>21</v>
      </c>
      <c r="H873" s="2">
        <v>2</v>
      </c>
      <c r="I873" s="2">
        <v>1</v>
      </c>
      <c r="J873" s="2">
        <v>1</v>
      </c>
      <c r="K873" s="2">
        <v>0</v>
      </c>
      <c r="L873" s="2">
        <v>0</v>
      </c>
      <c r="M873" s="2" t="s">
        <v>55</v>
      </c>
      <c r="N873" s="2" t="s">
        <v>35</v>
      </c>
      <c r="O873" s="2" t="s">
        <v>44</v>
      </c>
      <c r="P873" s="2" t="s">
        <v>45</v>
      </c>
      <c r="Q873" s="2">
        <v>0</v>
      </c>
      <c r="R873" s="2">
        <v>0</v>
      </c>
      <c r="S873" s="2">
        <v>0</v>
      </c>
      <c r="T873" s="2" t="s">
        <v>46</v>
      </c>
      <c r="U873" s="2" t="s">
        <v>46</v>
      </c>
      <c r="V873" s="2">
        <v>0</v>
      </c>
      <c r="W873" s="2" t="s">
        <v>38</v>
      </c>
      <c r="X873" s="2">
        <v>7</v>
      </c>
      <c r="Y873" s="2"/>
      <c r="Z873" s="2">
        <v>0</v>
      </c>
      <c r="AA873" s="2" t="s">
        <v>39</v>
      </c>
      <c r="AB873" s="2">
        <v>48.05</v>
      </c>
      <c r="AC873" s="2">
        <v>0</v>
      </c>
      <c r="AD873" s="2">
        <v>1</v>
      </c>
      <c r="AE873" s="2" t="s">
        <v>40</v>
      </c>
      <c r="AF873" s="3">
        <v>42759</v>
      </c>
    </row>
    <row r="874" spans="1:32" x14ac:dyDescent="0.25">
      <c r="A874" s="2" t="s">
        <v>41</v>
      </c>
      <c r="B874" s="2">
        <v>0</v>
      </c>
      <c r="C874" s="2">
        <v>4</v>
      </c>
      <c r="D874" s="2">
        <v>2017</v>
      </c>
      <c r="E874" s="2" t="s">
        <v>52</v>
      </c>
      <c r="F874" s="2">
        <v>12</v>
      </c>
      <c r="G874" s="2">
        <v>22</v>
      </c>
      <c r="H874" s="2">
        <v>0</v>
      </c>
      <c r="I874" s="2">
        <v>1</v>
      </c>
      <c r="J874" s="2">
        <v>1</v>
      </c>
      <c r="K874" s="2">
        <v>0</v>
      </c>
      <c r="L874" s="2">
        <v>0</v>
      </c>
      <c r="M874" s="2" t="s">
        <v>34</v>
      </c>
      <c r="N874" s="2" t="s">
        <v>35</v>
      </c>
      <c r="O874" s="2" t="s">
        <v>36</v>
      </c>
      <c r="P874" s="2" t="s">
        <v>36</v>
      </c>
      <c r="Q874" s="2">
        <v>0</v>
      </c>
      <c r="R874" s="2">
        <v>0</v>
      </c>
      <c r="S874" s="2">
        <v>0</v>
      </c>
      <c r="T874" s="2" t="s">
        <v>46</v>
      </c>
      <c r="U874" s="2" t="s">
        <v>46</v>
      </c>
      <c r="V874" s="2">
        <v>1</v>
      </c>
      <c r="W874" s="2" t="s">
        <v>38</v>
      </c>
      <c r="X874" s="2">
        <v>14</v>
      </c>
      <c r="Y874" s="2"/>
      <c r="Z874" s="2">
        <v>0</v>
      </c>
      <c r="AA874" s="2" t="s">
        <v>39</v>
      </c>
      <c r="AB874" s="2">
        <v>94</v>
      </c>
      <c r="AC874" s="2">
        <v>0</v>
      </c>
      <c r="AD874" s="2">
        <v>0</v>
      </c>
      <c r="AE874" s="2" t="s">
        <v>40</v>
      </c>
      <c r="AF874" s="3">
        <v>42817</v>
      </c>
    </row>
    <row r="875" spans="1:32" x14ac:dyDescent="0.25">
      <c r="A875" s="2" t="s">
        <v>41</v>
      </c>
      <c r="B875" s="2">
        <v>1</v>
      </c>
      <c r="C875" s="2">
        <v>4</v>
      </c>
      <c r="D875" s="2">
        <v>2017</v>
      </c>
      <c r="E875" s="2" t="s">
        <v>66</v>
      </c>
      <c r="F875" s="2">
        <v>8</v>
      </c>
      <c r="G875" s="2">
        <v>21</v>
      </c>
      <c r="H875" s="2">
        <v>0</v>
      </c>
      <c r="I875" s="2">
        <v>1</v>
      </c>
      <c r="J875" s="2">
        <v>1</v>
      </c>
      <c r="K875" s="2">
        <v>0</v>
      </c>
      <c r="L875" s="2">
        <v>0</v>
      </c>
      <c r="M875" s="2" t="s">
        <v>34</v>
      </c>
      <c r="N875" s="2" t="s">
        <v>43</v>
      </c>
      <c r="O875" s="2" t="s">
        <v>76</v>
      </c>
      <c r="P875" s="2" t="s">
        <v>76</v>
      </c>
      <c r="Q875" s="2">
        <v>0</v>
      </c>
      <c r="R875" s="2">
        <v>0</v>
      </c>
      <c r="S875" s="2">
        <v>0</v>
      </c>
      <c r="T875" s="2" t="s">
        <v>46</v>
      </c>
      <c r="U875" s="2" t="s">
        <v>46</v>
      </c>
      <c r="V875" s="2">
        <v>0</v>
      </c>
      <c r="W875" s="2" t="s">
        <v>38</v>
      </c>
      <c r="X875" s="2"/>
      <c r="Y875" s="2"/>
      <c r="Z875" s="2">
        <v>0</v>
      </c>
      <c r="AA875" s="2" t="s">
        <v>122</v>
      </c>
      <c r="AB875" s="2">
        <v>80</v>
      </c>
      <c r="AC875" s="2">
        <v>0</v>
      </c>
      <c r="AD875" s="2">
        <v>0</v>
      </c>
      <c r="AE875" s="2" t="s">
        <v>47</v>
      </c>
      <c r="AF875" s="3">
        <v>42786</v>
      </c>
    </row>
    <row r="876" spans="1:32" x14ac:dyDescent="0.25">
      <c r="A876" s="2" t="s">
        <v>41</v>
      </c>
      <c r="B876" s="2">
        <v>1</v>
      </c>
      <c r="C876" s="2">
        <v>59</v>
      </c>
      <c r="D876" s="2">
        <v>2017</v>
      </c>
      <c r="E876" s="2" t="s">
        <v>67</v>
      </c>
      <c r="F876" s="2">
        <v>34</v>
      </c>
      <c r="G876" s="2">
        <v>24</v>
      </c>
      <c r="H876" s="2">
        <v>0</v>
      </c>
      <c r="I876" s="2">
        <v>2</v>
      </c>
      <c r="J876" s="2">
        <v>2</v>
      </c>
      <c r="K876" s="2">
        <v>0</v>
      </c>
      <c r="L876" s="2">
        <v>0</v>
      </c>
      <c r="M876" s="2" t="s">
        <v>55</v>
      </c>
      <c r="N876" s="2" t="s">
        <v>106</v>
      </c>
      <c r="O876" s="2" t="s">
        <v>44</v>
      </c>
      <c r="P876" s="2" t="s">
        <v>45</v>
      </c>
      <c r="Q876" s="2">
        <v>0</v>
      </c>
      <c r="R876" s="2">
        <v>0</v>
      </c>
      <c r="S876" s="2">
        <v>0</v>
      </c>
      <c r="T876" s="2" t="s">
        <v>46</v>
      </c>
      <c r="U876" s="2" t="s">
        <v>46</v>
      </c>
      <c r="V876" s="2">
        <v>0</v>
      </c>
      <c r="W876" s="2" t="s">
        <v>38</v>
      </c>
      <c r="X876" s="2">
        <v>9</v>
      </c>
      <c r="Y876" s="2"/>
      <c r="Z876" s="2">
        <v>0</v>
      </c>
      <c r="AA876" s="2" t="s">
        <v>39</v>
      </c>
      <c r="AB876" s="2">
        <v>129</v>
      </c>
      <c r="AC876" s="2">
        <v>0</v>
      </c>
      <c r="AD876" s="2">
        <v>1</v>
      </c>
      <c r="AE876" s="2" t="s">
        <v>47</v>
      </c>
      <c r="AF876" s="3">
        <v>42912</v>
      </c>
    </row>
    <row r="877" spans="1:32" x14ac:dyDescent="0.25">
      <c r="A877" s="2" t="s">
        <v>32</v>
      </c>
      <c r="B877" s="2">
        <v>0</v>
      </c>
      <c r="C877" s="2">
        <v>140</v>
      </c>
      <c r="D877" s="2">
        <v>2017</v>
      </c>
      <c r="E877" s="2" t="s">
        <v>83</v>
      </c>
      <c r="F877" s="2">
        <v>24</v>
      </c>
      <c r="G877" s="2">
        <v>13</v>
      </c>
      <c r="H877" s="2">
        <v>2</v>
      </c>
      <c r="I877" s="2">
        <v>5</v>
      </c>
      <c r="J877" s="2">
        <v>1</v>
      </c>
      <c r="K877" s="2">
        <v>0</v>
      </c>
      <c r="L877" s="2">
        <v>0</v>
      </c>
      <c r="M877" s="2" t="s">
        <v>34</v>
      </c>
      <c r="N877" s="2" t="s">
        <v>95</v>
      </c>
      <c r="O877" s="2" t="s">
        <v>44</v>
      </c>
      <c r="P877" s="2" t="s">
        <v>45</v>
      </c>
      <c r="Q877" s="2">
        <v>0</v>
      </c>
      <c r="R877" s="2">
        <v>0</v>
      </c>
      <c r="S877" s="2">
        <v>0</v>
      </c>
      <c r="T877" s="2" t="s">
        <v>46</v>
      </c>
      <c r="U877" s="2" t="s">
        <v>104</v>
      </c>
      <c r="V877" s="2">
        <v>1</v>
      </c>
      <c r="W877" s="2" t="s">
        <v>38</v>
      </c>
      <c r="X877" s="2">
        <v>242</v>
      </c>
      <c r="Y877" s="2"/>
      <c r="Z877" s="2">
        <v>0</v>
      </c>
      <c r="AA877" s="2" t="s">
        <v>39</v>
      </c>
      <c r="AB877" s="2">
        <v>110</v>
      </c>
      <c r="AC877" s="2">
        <v>0</v>
      </c>
      <c r="AD877" s="2">
        <v>0</v>
      </c>
      <c r="AE877" s="2" t="s">
        <v>40</v>
      </c>
      <c r="AF877" s="3">
        <v>42906</v>
      </c>
    </row>
    <row r="878" spans="1:32" x14ac:dyDescent="0.25">
      <c r="A878" s="2" t="s">
        <v>41</v>
      </c>
      <c r="B878" s="2">
        <v>1</v>
      </c>
      <c r="C878" s="2">
        <v>98</v>
      </c>
      <c r="D878" s="2">
        <v>2017</v>
      </c>
      <c r="E878" s="2" t="s">
        <v>52</v>
      </c>
      <c r="F878" s="2">
        <v>9</v>
      </c>
      <c r="G878" s="2">
        <v>3</v>
      </c>
      <c r="H878" s="2">
        <v>0</v>
      </c>
      <c r="I878" s="2">
        <v>2</v>
      </c>
      <c r="J878" s="2">
        <v>2</v>
      </c>
      <c r="K878" s="2">
        <v>0</v>
      </c>
      <c r="L878" s="2">
        <v>0</v>
      </c>
      <c r="M878" s="2" t="s">
        <v>34</v>
      </c>
      <c r="N878" s="2" t="s">
        <v>70</v>
      </c>
      <c r="O878" s="2" t="s">
        <v>44</v>
      </c>
      <c r="P878" s="2" t="s">
        <v>45</v>
      </c>
      <c r="Q878" s="2">
        <v>0</v>
      </c>
      <c r="R878" s="2">
        <v>0</v>
      </c>
      <c r="S878" s="2">
        <v>0</v>
      </c>
      <c r="T878" s="2" t="s">
        <v>46</v>
      </c>
      <c r="U878" s="2" t="s">
        <v>46</v>
      </c>
      <c r="V878" s="2">
        <v>0</v>
      </c>
      <c r="W878" s="2" t="s">
        <v>38</v>
      </c>
      <c r="X878" s="2">
        <v>9</v>
      </c>
      <c r="Y878" s="2"/>
      <c r="Z878" s="2">
        <v>0</v>
      </c>
      <c r="AA878" s="2" t="s">
        <v>39</v>
      </c>
      <c r="AB878" s="2">
        <v>97.2</v>
      </c>
      <c r="AC878" s="2">
        <v>0</v>
      </c>
      <c r="AD878" s="2">
        <v>0</v>
      </c>
      <c r="AE878" s="2" t="s">
        <v>47</v>
      </c>
      <c r="AF878" s="3">
        <v>42754</v>
      </c>
    </row>
    <row r="879" spans="1:32" x14ac:dyDescent="0.25">
      <c r="A879" s="2" t="s">
        <v>41</v>
      </c>
      <c r="B879" s="2">
        <v>0</v>
      </c>
      <c r="C879" s="2">
        <v>42</v>
      </c>
      <c r="D879" s="2">
        <v>2017</v>
      </c>
      <c r="E879" s="2" t="s">
        <v>83</v>
      </c>
      <c r="F879" s="2">
        <v>23</v>
      </c>
      <c r="G879" s="2">
        <v>10</v>
      </c>
      <c r="H879" s="2">
        <v>1</v>
      </c>
      <c r="I879" s="2">
        <v>1</v>
      </c>
      <c r="J879" s="2">
        <v>2</v>
      </c>
      <c r="K879" s="2">
        <v>0</v>
      </c>
      <c r="L879" s="2">
        <v>0</v>
      </c>
      <c r="M879" s="2" t="s">
        <v>34</v>
      </c>
      <c r="N879" s="2" t="s">
        <v>99</v>
      </c>
      <c r="O879" s="2" t="s">
        <v>44</v>
      </c>
      <c r="P879" s="2" t="s">
        <v>45</v>
      </c>
      <c r="Q879" s="2">
        <v>0</v>
      </c>
      <c r="R879" s="2">
        <v>0</v>
      </c>
      <c r="S879" s="2">
        <v>0</v>
      </c>
      <c r="T879" s="2" t="s">
        <v>46</v>
      </c>
      <c r="U879" s="2" t="s">
        <v>46</v>
      </c>
      <c r="V879" s="2">
        <v>0</v>
      </c>
      <c r="W879" s="2" t="s">
        <v>38</v>
      </c>
      <c r="X879" s="2">
        <v>9</v>
      </c>
      <c r="Y879" s="2"/>
      <c r="Z879" s="2">
        <v>0</v>
      </c>
      <c r="AA879" s="2" t="s">
        <v>39</v>
      </c>
      <c r="AB879" s="2">
        <v>130</v>
      </c>
      <c r="AC879" s="2">
        <v>0</v>
      </c>
      <c r="AD879" s="2">
        <v>1</v>
      </c>
      <c r="AE879" s="2" t="s">
        <v>40</v>
      </c>
      <c r="AF879" s="3">
        <v>42898</v>
      </c>
    </row>
    <row r="880" spans="1:32" x14ac:dyDescent="0.25">
      <c r="A880" s="2" t="s">
        <v>32</v>
      </c>
      <c r="B880" s="2">
        <v>0</v>
      </c>
      <c r="C880" s="2">
        <v>203</v>
      </c>
      <c r="D880" s="2">
        <v>2017</v>
      </c>
      <c r="E880" s="2" t="s">
        <v>69</v>
      </c>
      <c r="F880" s="2">
        <v>21</v>
      </c>
      <c r="G880" s="2">
        <v>25</v>
      </c>
      <c r="H880" s="2">
        <v>1</v>
      </c>
      <c r="I880" s="2">
        <v>3</v>
      </c>
      <c r="J880" s="2">
        <v>2</v>
      </c>
      <c r="K880" s="2">
        <v>0</v>
      </c>
      <c r="L880" s="2">
        <v>0</v>
      </c>
      <c r="M880" s="2" t="s">
        <v>34</v>
      </c>
      <c r="N880" s="2" t="s">
        <v>35</v>
      </c>
      <c r="O880" s="2" t="s">
        <v>64</v>
      </c>
      <c r="P880" s="2" t="s">
        <v>45</v>
      </c>
      <c r="Q880" s="2">
        <v>0</v>
      </c>
      <c r="R880" s="2">
        <v>0</v>
      </c>
      <c r="S880" s="2">
        <v>0</v>
      </c>
      <c r="T880" s="2" t="s">
        <v>46</v>
      </c>
      <c r="U880" s="2" t="s">
        <v>46</v>
      </c>
      <c r="V880" s="2">
        <v>4</v>
      </c>
      <c r="W880" s="2" t="s">
        <v>38</v>
      </c>
      <c r="X880" s="2"/>
      <c r="Y880" s="2">
        <v>223</v>
      </c>
      <c r="Z880" s="2">
        <v>0</v>
      </c>
      <c r="AA880" s="2" t="s">
        <v>51</v>
      </c>
      <c r="AB880" s="2">
        <v>55</v>
      </c>
      <c r="AC880" s="2">
        <v>1</v>
      </c>
      <c r="AD880" s="2">
        <v>0</v>
      </c>
      <c r="AE880" s="2" t="s">
        <v>40</v>
      </c>
      <c r="AF880" s="3">
        <v>42884</v>
      </c>
    </row>
    <row r="881" spans="1:32" x14ac:dyDescent="0.25">
      <c r="A881" s="2" t="s">
        <v>41</v>
      </c>
      <c r="B881" s="2">
        <v>1</v>
      </c>
      <c r="C881" s="2">
        <v>129</v>
      </c>
      <c r="D881" s="2">
        <v>2017</v>
      </c>
      <c r="E881" s="2" t="s">
        <v>83</v>
      </c>
      <c r="F881" s="2">
        <v>22</v>
      </c>
      <c r="G881" s="2">
        <v>2</v>
      </c>
      <c r="H881" s="2">
        <v>1</v>
      </c>
      <c r="I881" s="2">
        <v>2</v>
      </c>
      <c r="J881" s="2">
        <v>2</v>
      </c>
      <c r="K881" s="2">
        <v>0</v>
      </c>
      <c r="L881" s="2">
        <v>0</v>
      </c>
      <c r="M881" s="2" t="s">
        <v>34</v>
      </c>
      <c r="N881" s="2" t="s">
        <v>43</v>
      </c>
      <c r="O881" s="2" t="s">
        <v>64</v>
      </c>
      <c r="P881" s="2" t="s">
        <v>45</v>
      </c>
      <c r="Q881" s="2">
        <v>0</v>
      </c>
      <c r="R881" s="2">
        <v>0</v>
      </c>
      <c r="S881" s="2">
        <v>0</v>
      </c>
      <c r="T881" s="2" t="s">
        <v>46</v>
      </c>
      <c r="U881" s="2" t="s">
        <v>46</v>
      </c>
      <c r="V881" s="2">
        <v>0</v>
      </c>
      <c r="W881" s="2" t="s">
        <v>68</v>
      </c>
      <c r="X881" s="2">
        <v>154</v>
      </c>
      <c r="Y881" s="2"/>
      <c r="Z881" s="2">
        <v>0</v>
      </c>
      <c r="AA881" s="2" t="s">
        <v>39</v>
      </c>
      <c r="AB881" s="2">
        <v>130</v>
      </c>
      <c r="AC881" s="2">
        <v>0</v>
      </c>
      <c r="AD881" s="2">
        <v>0</v>
      </c>
      <c r="AE881" s="2" t="s">
        <v>47</v>
      </c>
      <c r="AF881" s="3">
        <v>42759</v>
      </c>
    </row>
    <row r="882" spans="1:32" x14ac:dyDescent="0.25">
      <c r="A882" s="2" t="s">
        <v>32</v>
      </c>
      <c r="B882" s="2">
        <v>0</v>
      </c>
      <c r="C882" s="2">
        <v>96</v>
      </c>
      <c r="D882" s="2">
        <v>2017</v>
      </c>
      <c r="E882" s="2" t="s">
        <v>52</v>
      </c>
      <c r="F882" s="2">
        <v>11</v>
      </c>
      <c r="G882" s="2">
        <v>12</v>
      </c>
      <c r="H882" s="2">
        <v>4</v>
      </c>
      <c r="I882" s="2">
        <v>7</v>
      </c>
      <c r="J882" s="2">
        <v>2</v>
      </c>
      <c r="K882" s="2">
        <v>0</v>
      </c>
      <c r="L882" s="2">
        <v>0</v>
      </c>
      <c r="M882" s="2" t="s">
        <v>60</v>
      </c>
      <c r="N882" s="2" t="s">
        <v>35</v>
      </c>
      <c r="O882" s="2" t="s">
        <v>64</v>
      </c>
      <c r="P882" s="2" t="s">
        <v>45</v>
      </c>
      <c r="Q882" s="2">
        <v>0</v>
      </c>
      <c r="R882" s="2">
        <v>0</v>
      </c>
      <c r="S882" s="2">
        <v>0</v>
      </c>
      <c r="T882" s="2" t="s">
        <v>46</v>
      </c>
      <c r="U882" s="2" t="s">
        <v>46</v>
      </c>
      <c r="V882" s="2">
        <v>0</v>
      </c>
      <c r="W882" s="2" t="s">
        <v>38</v>
      </c>
      <c r="X882" s="2"/>
      <c r="Y882" s="2"/>
      <c r="Z882" s="2">
        <v>0</v>
      </c>
      <c r="AA882" s="2" t="s">
        <v>51</v>
      </c>
      <c r="AB882" s="2">
        <v>52.55</v>
      </c>
      <c r="AC882" s="2">
        <v>0</v>
      </c>
      <c r="AD882" s="2">
        <v>0</v>
      </c>
      <c r="AE882" s="2" t="s">
        <v>40</v>
      </c>
      <c r="AF882" s="3">
        <v>42817</v>
      </c>
    </row>
    <row r="883" spans="1:32" x14ac:dyDescent="0.25">
      <c r="A883" s="2" t="s">
        <v>32</v>
      </c>
      <c r="B883" s="2">
        <v>1</v>
      </c>
      <c r="C883" s="2">
        <v>172</v>
      </c>
      <c r="D883" s="2">
        <v>2017</v>
      </c>
      <c r="E883" s="2" t="s">
        <v>67</v>
      </c>
      <c r="F883" s="2">
        <v>34</v>
      </c>
      <c r="G883" s="2">
        <v>26</v>
      </c>
      <c r="H883" s="2">
        <v>0</v>
      </c>
      <c r="I883" s="2">
        <v>1</v>
      </c>
      <c r="J883" s="2">
        <v>3</v>
      </c>
      <c r="K883" s="2">
        <v>0</v>
      </c>
      <c r="L883" s="2">
        <v>0</v>
      </c>
      <c r="M883" s="2" t="s">
        <v>34</v>
      </c>
      <c r="N883" s="2" t="s">
        <v>43</v>
      </c>
      <c r="O883" s="2" t="s">
        <v>36</v>
      </c>
      <c r="P883" s="2" t="s">
        <v>36</v>
      </c>
      <c r="Q883" s="2">
        <v>0</v>
      </c>
      <c r="R883" s="2">
        <v>0</v>
      </c>
      <c r="S883" s="2">
        <v>0</v>
      </c>
      <c r="T883" s="2" t="s">
        <v>46</v>
      </c>
      <c r="U883" s="2" t="s">
        <v>46</v>
      </c>
      <c r="V883" s="2">
        <v>0</v>
      </c>
      <c r="W883" s="2" t="s">
        <v>38</v>
      </c>
      <c r="X883" s="2">
        <v>250</v>
      </c>
      <c r="Y883" s="2"/>
      <c r="Z883" s="2">
        <v>0</v>
      </c>
      <c r="AA883" s="2" t="s">
        <v>39</v>
      </c>
      <c r="AB883" s="2">
        <v>207</v>
      </c>
      <c r="AC883" s="2">
        <v>0</v>
      </c>
      <c r="AD883" s="2">
        <v>0</v>
      </c>
      <c r="AE883" s="2" t="s">
        <v>47</v>
      </c>
      <c r="AF883" s="3">
        <v>42802</v>
      </c>
    </row>
    <row r="884" spans="1:32" x14ac:dyDescent="0.25">
      <c r="A884" s="2" t="s">
        <v>32</v>
      </c>
      <c r="B884" s="2">
        <v>0</v>
      </c>
      <c r="C884" s="2">
        <v>126</v>
      </c>
      <c r="D884" s="2">
        <v>2017</v>
      </c>
      <c r="E884" s="2" t="s">
        <v>69</v>
      </c>
      <c r="F884" s="2">
        <v>18</v>
      </c>
      <c r="G884" s="2">
        <v>2</v>
      </c>
      <c r="H884" s="2">
        <v>0</v>
      </c>
      <c r="I884" s="2">
        <v>2</v>
      </c>
      <c r="J884" s="2">
        <v>2</v>
      </c>
      <c r="K884" s="2">
        <v>0</v>
      </c>
      <c r="L884" s="2">
        <v>0</v>
      </c>
      <c r="M884" s="2" t="s">
        <v>34</v>
      </c>
      <c r="N884" s="2" t="s">
        <v>56</v>
      </c>
      <c r="O884" s="2" t="s">
        <v>49</v>
      </c>
      <c r="P884" s="2" t="s">
        <v>45</v>
      </c>
      <c r="Q884" s="2">
        <v>0</v>
      </c>
      <c r="R884" s="2">
        <v>0</v>
      </c>
      <c r="S884" s="2">
        <v>0</v>
      </c>
      <c r="T884" s="2" t="s">
        <v>72</v>
      </c>
      <c r="U884" s="2" t="s">
        <v>72</v>
      </c>
      <c r="V884" s="2">
        <v>0</v>
      </c>
      <c r="W884" s="2" t="s">
        <v>38</v>
      </c>
      <c r="X884" s="2">
        <v>6</v>
      </c>
      <c r="Y884" s="2"/>
      <c r="Z884" s="2">
        <v>0</v>
      </c>
      <c r="AA884" s="2" t="s">
        <v>39</v>
      </c>
      <c r="AB884" s="2">
        <v>64.8</v>
      </c>
      <c r="AC884" s="2">
        <v>1</v>
      </c>
      <c r="AD884" s="2">
        <v>0</v>
      </c>
      <c r="AE884" s="2" t="s">
        <v>40</v>
      </c>
      <c r="AF884" s="3">
        <v>42859</v>
      </c>
    </row>
    <row r="885" spans="1:32" x14ac:dyDescent="0.25">
      <c r="A885" s="2" t="s">
        <v>41</v>
      </c>
      <c r="B885" s="2">
        <v>0</v>
      </c>
      <c r="C885" s="2">
        <v>27</v>
      </c>
      <c r="D885" s="2">
        <v>2017</v>
      </c>
      <c r="E885" s="2" t="s">
        <v>42</v>
      </c>
      <c r="F885" s="2">
        <v>27</v>
      </c>
      <c r="G885" s="2">
        <v>2</v>
      </c>
      <c r="H885" s="2">
        <v>2</v>
      </c>
      <c r="I885" s="2">
        <v>0</v>
      </c>
      <c r="J885" s="2">
        <v>2</v>
      </c>
      <c r="K885" s="2">
        <v>2</v>
      </c>
      <c r="L885" s="2">
        <v>0</v>
      </c>
      <c r="M885" s="2" t="s">
        <v>34</v>
      </c>
      <c r="N885" s="2" t="s">
        <v>48</v>
      </c>
      <c r="O885" s="2" t="s">
        <v>44</v>
      </c>
      <c r="P885" s="2" t="s">
        <v>45</v>
      </c>
      <c r="Q885" s="2">
        <v>0</v>
      </c>
      <c r="R885" s="2">
        <v>0</v>
      </c>
      <c r="S885" s="2">
        <v>0</v>
      </c>
      <c r="T885" s="2" t="s">
        <v>37</v>
      </c>
      <c r="U885" s="2" t="s">
        <v>37</v>
      </c>
      <c r="V885" s="2">
        <v>2</v>
      </c>
      <c r="W885" s="2" t="s">
        <v>38</v>
      </c>
      <c r="X885" s="2">
        <v>9</v>
      </c>
      <c r="Y885" s="2"/>
      <c r="Z885" s="2">
        <v>0</v>
      </c>
      <c r="AA885" s="2" t="s">
        <v>39</v>
      </c>
      <c r="AB885" s="2">
        <v>250</v>
      </c>
      <c r="AC885" s="2">
        <v>0</v>
      </c>
      <c r="AD885" s="2">
        <v>0</v>
      </c>
      <c r="AE885" s="2" t="s">
        <v>40</v>
      </c>
      <c r="AF885" s="3">
        <v>42920</v>
      </c>
    </row>
    <row r="886" spans="1:32" x14ac:dyDescent="0.25">
      <c r="A886" s="2" t="s">
        <v>32</v>
      </c>
      <c r="B886" s="2">
        <v>1</v>
      </c>
      <c r="C886" s="2">
        <v>157</v>
      </c>
      <c r="D886" s="2">
        <v>2017</v>
      </c>
      <c r="E886" s="2" t="s">
        <v>67</v>
      </c>
      <c r="F886" s="2">
        <v>34</v>
      </c>
      <c r="G886" s="2">
        <v>22</v>
      </c>
      <c r="H886" s="2">
        <v>0</v>
      </c>
      <c r="I886" s="2">
        <v>4</v>
      </c>
      <c r="J886" s="2">
        <v>2</v>
      </c>
      <c r="K886" s="2">
        <v>0</v>
      </c>
      <c r="L886" s="2">
        <v>0</v>
      </c>
      <c r="M886" s="2" t="s">
        <v>34</v>
      </c>
      <c r="N886" s="2" t="s">
        <v>35</v>
      </c>
      <c r="O886" s="2" t="s">
        <v>36</v>
      </c>
      <c r="P886" s="2" t="s">
        <v>36</v>
      </c>
      <c r="Q886" s="2">
        <v>0</v>
      </c>
      <c r="R886" s="2">
        <v>0</v>
      </c>
      <c r="S886" s="2">
        <v>0</v>
      </c>
      <c r="T886" s="2" t="s">
        <v>37</v>
      </c>
      <c r="U886" s="2" t="s">
        <v>37</v>
      </c>
      <c r="V886" s="2">
        <v>0</v>
      </c>
      <c r="W886" s="2" t="s">
        <v>38</v>
      </c>
      <c r="X886" s="2">
        <v>250</v>
      </c>
      <c r="Y886" s="2"/>
      <c r="Z886" s="2">
        <v>0</v>
      </c>
      <c r="AA886" s="2" t="s">
        <v>39</v>
      </c>
      <c r="AB886" s="2">
        <v>237.5</v>
      </c>
      <c r="AC886" s="2">
        <v>0</v>
      </c>
      <c r="AD886" s="2">
        <v>0</v>
      </c>
      <c r="AE886" s="2" t="s">
        <v>47</v>
      </c>
      <c r="AF886" s="3">
        <v>42921</v>
      </c>
    </row>
    <row r="887" spans="1:32" x14ac:dyDescent="0.25">
      <c r="A887" s="2" t="s">
        <v>32</v>
      </c>
      <c r="B887" s="2">
        <v>0</v>
      </c>
      <c r="C887" s="2">
        <v>61</v>
      </c>
      <c r="D887" s="2">
        <v>2017</v>
      </c>
      <c r="E887" s="2" t="s">
        <v>69</v>
      </c>
      <c r="F887" s="2">
        <v>21</v>
      </c>
      <c r="G887" s="2">
        <v>26</v>
      </c>
      <c r="H887" s="2">
        <v>1</v>
      </c>
      <c r="I887" s="2">
        <v>2</v>
      </c>
      <c r="J887" s="2">
        <v>2</v>
      </c>
      <c r="K887" s="2">
        <v>0</v>
      </c>
      <c r="L887" s="2">
        <v>0</v>
      </c>
      <c r="M887" s="2" t="s">
        <v>34</v>
      </c>
      <c r="N887" s="2" t="s">
        <v>95</v>
      </c>
      <c r="O887" s="2" t="s">
        <v>44</v>
      </c>
      <c r="P887" s="2" t="s">
        <v>45</v>
      </c>
      <c r="Q887" s="2">
        <v>0</v>
      </c>
      <c r="R887" s="2">
        <v>0</v>
      </c>
      <c r="S887" s="2">
        <v>0</v>
      </c>
      <c r="T887" s="2" t="s">
        <v>46</v>
      </c>
      <c r="U887" s="2" t="s">
        <v>86</v>
      </c>
      <c r="V887" s="2">
        <v>0</v>
      </c>
      <c r="W887" s="2" t="s">
        <v>38</v>
      </c>
      <c r="X887" s="2">
        <v>241</v>
      </c>
      <c r="Y887" s="2"/>
      <c r="Z887" s="2">
        <v>0</v>
      </c>
      <c r="AA887" s="2" t="s">
        <v>39</v>
      </c>
      <c r="AB887" s="2">
        <v>68</v>
      </c>
      <c r="AC887" s="2">
        <v>0</v>
      </c>
      <c r="AD887" s="2">
        <v>1</v>
      </c>
      <c r="AE887" s="2" t="s">
        <v>40</v>
      </c>
      <c r="AF887" s="3">
        <v>42884</v>
      </c>
    </row>
    <row r="888" spans="1:32" x14ac:dyDescent="0.25">
      <c r="A888" s="2" t="s">
        <v>41</v>
      </c>
      <c r="B888" s="2">
        <v>0</v>
      </c>
      <c r="C888" s="2">
        <v>39</v>
      </c>
      <c r="D888" s="2">
        <v>2017</v>
      </c>
      <c r="E888" s="2" t="s">
        <v>83</v>
      </c>
      <c r="F888" s="2">
        <v>23</v>
      </c>
      <c r="G888" s="2">
        <v>9</v>
      </c>
      <c r="H888" s="2">
        <v>0</v>
      </c>
      <c r="I888" s="2">
        <v>2</v>
      </c>
      <c r="J888" s="2">
        <v>3</v>
      </c>
      <c r="K888" s="2">
        <v>0</v>
      </c>
      <c r="L888" s="2">
        <v>0</v>
      </c>
      <c r="M888" s="2" t="s">
        <v>34</v>
      </c>
      <c r="N888" s="2" t="s">
        <v>63</v>
      </c>
      <c r="O888" s="2" t="s">
        <v>44</v>
      </c>
      <c r="P888" s="2" t="s">
        <v>45</v>
      </c>
      <c r="Q888" s="2">
        <v>0</v>
      </c>
      <c r="R888" s="2">
        <v>0</v>
      </c>
      <c r="S888" s="2">
        <v>0</v>
      </c>
      <c r="T888" s="2" t="s">
        <v>72</v>
      </c>
      <c r="U888" s="2" t="s">
        <v>72</v>
      </c>
      <c r="V888" s="2">
        <v>0</v>
      </c>
      <c r="W888" s="2" t="s">
        <v>38</v>
      </c>
      <c r="X888" s="2">
        <v>9</v>
      </c>
      <c r="Y888" s="2"/>
      <c r="Z888" s="2">
        <v>0</v>
      </c>
      <c r="AA888" s="2" t="s">
        <v>39</v>
      </c>
      <c r="AB888" s="2">
        <v>220</v>
      </c>
      <c r="AC888" s="2">
        <v>0</v>
      </c>
      <c r="AD888" s="2">
        <v>1</v>
      </c>
      <c r="AE888" s="2" t="s">
        <v>40</v>
      </c>
      <c r="AF888" s="3">
        <v>42897</v>
      </c>
    </row>
    <row r="889" spans="1:32" x14ac:dyDescent="0.25">
      <c r="A889" s="2" t="s">
        <v>32</v>
      </c>
      <c r="B889" s="2">
        <v>0</v>
      </c>
      <c r="C889" s="2">
        <v>26</v>
      </c>
      <c r="D889" s="2">
        <v>2017</v>
      </c>
      <c r="E889" s="2" t="s">
        <v>54</v>
      </c>
      <c r="F889" s="2">
        <v>16</v>
      </c>
      <c r="G889" s="2">
        <v>17</v>
      </c>
      <c r="H889" s="2">
        <v>1</v>
      </c>
      <c r="I889" s="2">
        <v>0</v>
      </c>
      <c r="J889" s="2">
        <v>1</v>
      </c>
      <c r="K889" s="2">
        <v>0</v>
      </c>
      <c r="L889" s="2">
        <v>0</v>
      </c>
      <c r="M889" s="2" t="s">
        <v>34</v>
      </c>
      <c r="N889" s="2" t="s">
        <v>43</v>
      </c>
      <c r="O889" s="2" t="s">
        <v>76</v>
      </c>
      <c r="P889" s="2" t="s">
        <v>76</v>
      </c>
      <c r="Q889" s="2">
        <v>0</v>
      </c>
      <c r="R889" s="2">
        <v>1</v>
      </c>
      <c r="S889" s="2">
        <v>8</v>
      </c>
      <c r="T889" s="2" t="s">
        <v>46</v>
      </c>
      <c r="U889" s="2" t="s">
        <v>46</v>
      </c>
      <c r="V889" s="2">
        <v>0</v>
      </c>
      <c r="W889" s="2" t="s">
        <v>38</v>
      </c>
      <c r="X889" s="2"/>
      <c r="Y889" s="2">
        <v>82</v>
      </c>
      <c r="Z889" s="2">
        <v>0</v>
      </c>
      <c r="AA889" s="2" t="s">
        <v>39</v>
      </c>
      <c r="AB889" s="2">
        <v>45</v>
      </c>
      <c r="AC889" s="2">
        <v>0</v>
      </c>
      <c r="AD889" s="2">
        <v>0</v>
      </c>
      <c r="AE889" s="2" t="s">
        <v>40</v>
      </c>
      <c r="AF889" s="3">
        <v>42843</v>
      </c>
    </row>
    <row r="890" spans="1:32" x14ac:dyDescent="0.25">
      <c r="A890" s="2" t="s">
        <v>41</v>
      </c>
      <c r="B890" s="2">
        <v>1</v>
      </c>
      <c r="C890" s="2">
        <v>82</v>
      </c>
      <c r="D890" s="2">
        <v>2017</v>
      </c>
      <c r="E890" s="2" t="s">
        <v>69</v>
      </c>
      <c r="F890" s="2">
        <v>19</v>
      </c>
      <c r="G890" s="2">
        <v>8</v>
      </c>
      <c r="H890" s="2">
        <v>1</v>
      </c>
      <c r="I890" s="2">
        <v>5</v>
      </c>
      <c r="J890" s="2">
        <v>2</v>
      </c>
      <c r="K890" s="2">
        <v>0</v>
      </c>
      <c r="L890" s="2">
        <v>0</v>
      </c>
      <c r="M890" s="2" t="s">
        <v>34</v>
      </c>
      <c r="N890" s="2" t="s">
        <v>56</v>
      </c>
      <c r="O890" s="2" t="s">
        <v>44</v>
      </c>
      <c r="P890" s="2" t="s">
        <v>45</v>
      </c>
      <c r="Q890" s="2">
        <v>0</v>
      </c>
      <c r="R890" s="2">
        <v>0</v>
      </c>
      <c r="S890" s="2">
        <v>0</v>
      </c>
      <c r="T890" s="2" t="s">
        <v>57</v>
      </c>
      <c r="U890" s="2" t="s">
        <v>57</v>
      </c>
      <c r="V890" s="2">
        <v>0</v>
      </c>
      <c r="W890" s="2" t="s">
        <v>38</v>
      </c>
      <c r="X890" s="2">
        <v>9</v>
      </c>
      <c r="Y890" s="2"/>
      <c r="Z890" s="2">
        <v>0</v>
      </c>
      <c r="AA890" s="2" t="s">
        <v>39</v>
      </c>
      <c r="AB890" s="2">
        <v>141</v>
      </c>
      <c r="AC890" s="2">
        <v>0</v>
      </c>
      <c r="AD890" s="2">
        <v>0</v>
      </c>
      <c r="AE890" s="2" t="s">
        <v>47</v>
      </c>
      <c r="AF890" s="3">
        <v>42781</v>
      </c>
    </row>
    <row r="891" spans="1:32" x14ac:dyDescent="0.25">
      <c r="A891" s="2" t="s">
        <v>41</v>
      </c>
      <c r="B891" s="2">
        <v>0</v>
      </c>
      <c r="C891" s="2">
        <v>84</v>
      </c>
      <c r="D891" s="2">
        <v>2017</v>
      </c>
      <c r="E891" s="2" t="s">
        <v>52</v>
      </c>
      <c r="F891" s="2">
        <v>12</v>
      </c>
      <c r="G891" s="2">
        <v>25</v>
      </c>
      <c r="H891" s="2">
        <v>2</v>
      </c>
      <c r="I891" s="2">
        <v>2</v>
      </c>
      <c r="J891" s="2">
        <v>2</v>
      </c>
      <c r="K891" s="2">
        <v>0</v>
      </c>
      <c r="L891" s="2">
        <v>0</v>
      </c>
      <c r="M891" s="2" t="s">
        <v>34</v>
      </c>
      <c r="N891" s="2" t="s">
        <v>70</v>
      </c>
      <c r="O891" s="2" t="s">
        <v>44</v>
      </c>
      <c r="P891" s="2" t="s">
        <v>45</v>
      </c>
      <c r="Q891" s="2">
        <v>0</v>
      </c>
      <c r="R891" s="2">
        <v>0</v>
      </c>
      <c r="S891" s="2">
        <v>0</v>
      </c>
      <c r="T891" s="2" t="s">
        <v>57</v>
      </c>
      <c r="U891" s="2" t="s">
        <v>57</v>
      </c>
      <c r="V891" s="2">
        <v>0</v>
      </c>
      <c r="W891" s="2" t="s">
        <v>38</v>
      </c>
      <c r="X891" s="2">
        <v>9</v>
      </c>
      <c r="Y891" s="2"/>
      <c r="Z891" s="2">
        <v>0</v>
      </c>
      <c r="AA891" s="2" t="s">
        <v>39</v>
      </c>
      <c r="AB891" s="2">
        <v>100.3</v>
      </c>
      <c r="AC891" s="2">
        <v>0</v>
      </c>
      <c r="AD891" s="2">
        <v>1</v>
      </c>
      <c r="AE891" s="2" t="s">
        <v>40</v>
      </c>
      <c r="AF891" s="3">
        <v>42823</v>
      </c>
    </row>
    <row r="892" spans="1:32" x14ac:dyDescent="0.25">
      <c r="A892" s="2" t="s">
        <v>41</v>
      </c>
      <c r="B892" s="2">
        <v>0</v>
      </c>
      <c r="C892" s="2">
        <v>67</v>
      </c>
      <c r="D892" s="2">
        <v>2017</v>
      </c>
      <c r="E892" s="2" t="s">
        <v>69</v>
      </c>
      <c r="F892" s="2">
        <v>18</v>
      </c>
      <c r="G892" s="2">
        <v>2</v>
      </c>
      <c r="H892" s="2">
        <v>0</v>
      </c>
      <c r="I892" s="2">
        <v>3</v>
      </c>
      <c r="J892" s="2">
        <v>2</v>
      </c>
      <c r="K892" s="2">
        <v>0</v>
      </c>
      <c r="L892" s="2">
        <v>0</v>
      </c>
      <c r="M892" s="2" t="s">
        <v>34</v>
      </c>
      <c r="N892" s="2" t="s">
        <v>98</v>
      </c>
      <c r="O892" s="2" t="s">
        <v>64</v>
      </c>
      <c r="P892" s="2" t="s">
        <v>76</v>
      </c>
      <c r="Q892" s="2">
        <v>0</v>
      </c>
      <c r="R892" s="2">
        <v>0</v>
      </c>
      <c r="S892" s="2">
        <v>0</v>
      </c>
      <c r="T892" s="2" t="s">
        <v>46</v>
      </c>
      <c r="U892" s="2" t="s">
        <v>46</v>
      </c>
      <c r="V892" s="2">
        <v>0</v>
      </c>
      <c r="W892" s="2" t="s">
        <v>38</v>
      </c>
      <c r="X892" s="2"/>
      <c r="Y892" s="2">
        <v>409</v>
      </c>
      <c r="Z892" s="2">
        <v>0</v>
      </c>
      <c r="AA892" s="2" t="s">
        <v>51</v>
      </c>
      <c r="AB892" s="2">
        <v>120</v>
      </c>
      <c r="AC892" s="2">
        <v>0</v>
      </c>
      <c r="AD892" s="2">
        <v>0</v>
      </c>
      <c r="AE892" s="2" t="s">
        <v>40</v>
      </c>
      <c r="AF892" s="3">
        <v>42860</v>
      </c>
    </row>
    <row r="893" spans="1:32" x14ac:dyDescent="0.25">
      <c r="A893" s="2" t="s">
        <v>41</v>
      </c>
      <c r="B893" s="2">
        <v>0</v>
      </c>
      <c r="C893" s="2">
        <v>39</v>
      </c>
      <c r="D893" s="2">
        <v>2017</v>
      </c>
      <c r="E893" s="2" t="s">
        <v>83</v>
      </c>
      <c r="F893" s="2">
        <v>23</v>
      </c>
      <c r="G893" s="2">
        <v>9</v>
      </c>
      <c r="H893" s="2">
        <v>0</v>
      </c>
      <c r="I893" s="2">
        <v>2</v>
      </c>
      <c r="J893" s="2">
        <v>2</v>
      </c>
      <c r="K893" s="2">
        <v>0</v>
      </c>
      <c r="L893" s="2">
        <v>0</v>
      </c>
      <c r="M893" s="2" t="s">
        <v>55</v>
      </c>
      <c r="N893" s="2" t="s">
        <v>78</v>
      </c>
      <c r="O893" s="2" t="s">
        <v>49</v>
      </c>
      <c r="P893" s="2" t="s">
        <v>45</v>
      </c>
      <c r="Q893" s="2">
        <v>0</v>
      </c>
      <c r="R893" s="2">
        <v>0</v>
      </c>
      <c r="S893" s="2">
        <v>0</v>
      </c>
      <c r="T893" s="2" t="s">
        <v>46</v>
      </c>
      <c r="U893" s="2" t="s">
        <v>46</v>
      </c>
      <c r="V893" s="2">
        <v>0</v>
      </c>
      <c r="W893" s="2" t="s">
        <v>38</v>
      </c>
      <c r="X893" s="2">
        <v>28</v>
      </c>
      <c r="Y893" s="2"/>
      <c r="Z893" s="2">
        <v>0</v>
      </c>
      <c r="AA893" s="2" t="s">
        <v>39</v>
      </c>
      <c r="AB893" s="2">
        <v>89</v>
      </c>
      <c r="AC893" s="2">
        <v>0</v>
      </c>
      <c r="AD893" s="2">
        <v>0</v>
      </c>
      <c r="AE893" s="2" t="s">
        <v>40</v>
      </c>
      <c r="AF893" s="3">
        <v>42897</v>
      </c>
    </row>
    <row r="894" spans="1:32" x14ac:dyDescent="0.25">
      <c r="A894" s="2" t="s">
        <v>41</v>
      </c>
      <c r="B894" s="2">
        <v>1</v>
      </c>
      <c r="C894" s="2">
        <v>32</v>
      </c>
      <c r="D894" s="2">
        <v>2017</v>
      </c>
      <c r="E894" s="2" t="s">
        <v>83</v>
      </c>
      <c r="F894" s="2">
        <v>26</v>
      </c>
      <c r="G894" s="2">
        <v>28</v>
      </c>
      <c r="H894" s="2">
        <v>0</v>
      </c>
      <c r="I894" s="2">
        <v>3</v>
      </c>
      <c r="J894" s="2">
        <v>3</v>
      </c>
      <c r="K894" s="2">
        <v>0</v>
      </c>
      <c r="L894" s="2">
        <v>0</v>
      </c>
      <c r="M894" s="2" t="s">
        <v>34</v>
      </c>
      <c r="N894" s="2" t="s">
        <v>95</v>
      </c>
      <c r="O894" s="2" t="s">
        <v>44</v>
      </c>
      <c r="P894" s="2" t="s">
        <v>45</v>
      </c>
      <c r="Q894" s="2">
        <v>0</v>
      </c>
      <c r="R894" s="2">
        <v>0</v>
      </c>
      <c r="S894" s="2">
        <v>0</v>
      </c>
      <c r="T894" s="2" t="s">
        <v>57</v>
      </c>
      <c r="U894" s="2" t="s">
        <v>57</v>
      </c>
      <c r="V894" s="2">
        <v>0</v>
      </c>
      <c r="W894" s="2" t="s">
        <v>38</v>
      </c>
      <c r="X894" s="2">
        <v>9</v>
      </c>
      <c r="Y894" s="2"/>
      <c r="Z894" s="2">
        <v>0</v>
      </c>
      <c r="AA894" s="2" t="s">
        <v>39</v>
      </c>
      <c r="AB894" s="2">
        <v>216.67</v>
      </c>
      <c r="AC894" s="2">
        <v>0</v>
      </c>
      <c r="AD894" s="2">
        <v>0</v>
      </c>
      <c r="AE894" s="2" t="s">
        <v>47</v>
      </c>
      <c r="AF894" s="3">
        <v>42882</v>
      </c>
    </row>
    <row r="895" spans="1:32" x14ac:dyDescent="0.25">
      <c r="A895" s="2" t="s">
        <v>32</v>
      </c>
      <c r="B895" s="2">
        <v>0</v>
      </c>
      <c r="C895" s="2">
        <v>7</v>
      </c>
      <c r="D895" s="2">
        <v>2017</v>
      </c>
      <c r="E895" s="2" t="s">
        <v>52</v>
      </c>
      <c r="F895" s="2">
        <v>9</v>
      </c>
      <c r="G895" s="2">
        <v>2</v>
      </c>
      <c r="H895" s="2">
        <v>1</v>
      </c>
      <c r="I895" s="2">
        <v>3</v>
      </c>
      <c r="J895" s="2">
        <v>2</v>
      </c>
      <c r="K895" s="2">
        <v>0</v>
      </c>
      <c r="L895" s="2">
        <v>0</v>
      </c>
      <c r="M895" s="2" t="s">
        <v>34</v>
      </c>
      <c r="N895" s="2" t="s">
        <v>35</v>
      </c>
      <c r="O895" s="2" t="s">
        <v>64</v>
      </c>
      <c r="P895" s="2" t="s">
        <v>76</v>
      </c>
      <c r="Q895" s="2">
        <v>0</v>
      </c>
      <c r="R895" s="2">
        <v>0</v>
      </c>
      <c r="S895" s="2">
        <v>0</v>
      </c>
      <c r="T895" s="2" t="s">
        <v>57</v>
      </c>
      <c r="U895" s="2" t="s">
        <v>57</v>
      </c>
      <c r="V895" s="2">
        <v>0</v>
      </c>
      <c r="W895" s="2" t="s">
        <v>38</v>
      </c>
      <c r="X895" s="2"/>
      <c r="Y895" s="2">
        <v>223</v>
      </c>
      <c r="Z895" s="2">
        <v>0</v>
      </c>
      <c r="AA895" s="2" t="s">
        <v>51</v>
      </c>
      <c r="AB895" s="2">
        <v>47</v>
      </c>
      <c r="AC895" s="2">
        <v>0</v>
      </c>
      <c r="AD895" s="2">
        <v>0</v>
      </c>
      <c r="AE895" s="2" t="s">
        <v>40</v>
      </c>
      <c r="AF895" s="3">
        <v>42800</v>
      </c>
    </row>
    <row r="896" spans="1:32" x14ac:dyDescent="0.25">
      <c r="A896" s="2" t="s">
        <v>32</v>
      </c>
      <c r="B896" s="2">
        <v>0</v>
      </c>
      <c r="C896" s="2">
        <v>96</v>
      </c>
      <c r="D896" s="2">
        <v>2017</v>
      </c>
      <c r="E896" s="2" t="s">
        <v>52</v>
      </c>
      <c r="F896" s="2">
        <v>12</v>
      </c>
      <c r="G896" s="2">
        <v>19</v>
      </c>
      <c r="H896" s="2">
        <v>2</v>
      </c>
      <c r="I896" s="2">
        <v>5</v>
      </c>
      <c r="J896" s="2">
        <v>2</v>
      </c>
      <c r="K896" s="2">
        <v>0</v>
      </c>
      <c r="L896" s="2">
        <v>0</v>
      </c>
      <c r="M896" s="2" t="s">
        <v>34</v>
      </c>
      <c r="N896" s="2" t="s">
        <v>56</v>
      </c>
      <c r="O896" s="2" t="s">
        <v>64</v>
      </c>
      <c r="P896" s="2" t="s">
        <v>45</v>
      </c>
      <c r="Q896" s="2">
        <v>0</v>
      </c>
      <c r="R896" s="2">
        <v>0</v>
      </c>
      <c r="S896" s="2">
        <v>0</v>
      </c>
      <c r="T896" s="2" t="s">
        <v>46</v>
      </c>
      <c r="U896" s="2" t="s">
        <v>46</v>
      </c>
      <c r="V896" s="2">
        <v>1</v>
      </c>
      <c r="W896" s="2" t="s">
        <v>38</v>
      </c>
      <c r="X896" s="2">
        <v>177</v>
      </c>
      <c r="Y896" s="2"/>
      <c r="Z896" s="2">
        <v>0</v>
      </c>
      <c r="AA896" s="2" t="s">
        <v>51</v>
      </c>
      <c r="AB896" s="2">
        <v>34</v>
      </c>
      <c r="AC896" s="2">
        <v>0</v>
      </c>
      <c r="AD896" s="2">
        <v>0</v>
      </c>
      <c r="AE896" s="2" t="s">
        <v>40</v>
      </c>
      <c r="AF896" s="3">
        <v>42820</v>
      </c>
    </row>
    <row r="897" spans="1:32" x14ac:dyDescent="0.25">
      <c r="A897" s="2" t="s">
        <v>32</v>
      </c>
      <c r="B897" s="2">
        <v>0</v>
      </c>
      <c r="C897" s="2">
        <v>317</v>
      </c>
      <c r="D897" s="2">
        <v>2017</v>
      </c>
      <c r="E897" s="2" t="s">
        <v>54</v>
      </c>
      <c r="F897" s="2">
        <v>17</v>
      </c>
      <c r="G897" s="2">
        <v>23</v>
      </c>
      <c r="H897" s="2">
        <v>2</v>
      </c>
      <c r="I897" s="2">
        <v>5</v>
      </c>
      <c r="J897" s="2">
        <v>2</v>
      </c>
      <c r="K897" s="2">
        <v>0</v>
      </c>
      <c r="L897" s="2">
        <v>0</v>
      </c>
      <c r="M897" s="2" t="s">
        <v>60</v>
      </c>
      <c r="N897" s="2" t="s">
        <v>35</v>
      </c>
      <c r="O897" s="2" t="s">
        <v>64</v>
      </c>
      <c r="P897" s="2" t="s">
        <v>45</v>
      </c>
      <c r="Q897" s="2">
        <v>0</v>
      </c>
      <c r="R897" s="2">
        <v>0</v>
      </c>
      <c r="S897" s="2">
        <v>0</v>
      </c>
      <c r="T897" s="2" t="s">
        <v>57</v>
      </c>
      <c r="U897" s="2" t="s">
        <v>57</v>
      </c>
      <c r="V897" s="2">
        <v>1</v>
      </c>
      <c r="W897" s="2" t="s">
        <v>38</v>
      </c>
      <c r="X897" s="2">
        <v>273</v>
      </c>
      <c r="Y897" s="2"/>
      <c r="Z897" s="2">
        <v>64</v>
      </c>
      <c r="AA897" s="2" t="s">
        <v>51</v>
      </c>
      <c r="AB897" s="2">
        <v>78.94</v>
      </c>
      <c r="AC897" s="2">
        <v>0</v>
      </c>
      <c r="AD897" s="2">
        <v>0</v>
      </c>
      <c r="AE897" s="2" t="s">
        <v>40</v>
      </c>
      <c r="AF897" s="3">
        <v>42855</v>
      </c>
    </row>
    <row r="898" spans="1:32" x14ac:dyDescent="0.25">
      <c r="A898" s="2" t="s">
        <v>41</v>
      </c>
      <c r="B898" s="2">
        <v>0</v>
      </c>
      <c r="C898" s="2">
        <v>176</v>
      </c>
      <c r="D898" s="2">
        <v>2017</v>
      </c>
      <c r="E898" s="2" t="s">
        <v>52</v>
      </c>
      <c r="F898" s="2">
        <v>10</v>
      </c>
      <c r="G898" s="2">
        <v>9</v>
      </c>
      <c r="H898" s="2">
        <v>0</v>
      </c>
      <c r="I898" s="2">
        <v>3</v>
      </c>
      <c r="J898" s="2">
        <v>2</v>
      </c>
      <c r="K898" s="2">
        <v>0</v>
      </c>
      <c r="L898" s="2">
        <v>0</v>
      </c>
      <c r="M898" s="2" t="s">
        <v>34</v>
      </c>
      <c r="N898" s="2" t="s">
        <v>70</v>
      </c>
      <c r="O898" s="2" t="s">
        <v>49</v>
      </c>
      <c r="P898" s="2" t="s">
        <v>45</v>
      </c>
      <c r="Q898" s="2">
        <v>0</v>
      </c>
      <c r="R898" s="2">
        <v>0</v>
      </c>
      <c r="S898" s="2">
        <v>0</v>
      </c>
      <c r="T898" s="2" t="s">
        <v>46</v>
      </c>
      <c r="U898" s="2" t="s">
        <v>57</v>
      </c>
      <c r="V898" s="2">
        <v>0</v>
      </c>
      <c r="W898" s="2" t="s">
        <v>38</v>
      </c>
      <c r="X898" s="2">
        <v>28</v>
      </c>
      <c r="Y898" s="2"/>
      <c r="Z898" s="2">
        <v>0</v>
      </c>
      <c r="AA898" s="2" t="s">
        <v>39</v>
      </c>
      <c r="AB898" s="2">
        <v>75</v>
      </c>
      <c r="AC898" s="2">
        <v>0</v>
      </c>
      <c r="AD898" s="2">
        <v>0</v>
      </c>
      <c r="AE898" s="2" t="s">
        <v>40</v>
      </c>
      <c r="AF898" s="3">
        <v>42806</v>
      </c>
    </row>
    <row r="899" spans="1:32" x14ac:dyDescent="0.25">
      <c r="A899" s="2" t="s">
        <v>41</v>
      </c>
      <c r="B899" s="2">
        <v>0</v>
      </c>
      <c r="C899" s="2">
        <v>6</v>
      </c>
      <c r="D899" s="2">
        <v>2017</v>
      </c>
      <c r="E899" s="2" t="s">
        <v>83</v>
      </c>
      <c r="F899" s="2">
        <v>24</v>
      </c>
      <c r="G899" s="2">
        <v>13</v>
      </c>
      <c r="H899" s="2">
        <v>0</v>
      </c>
      <c r="I899" s="2">
        <v>2</v>
      </c>
      <c r="J899" s="2">
        <v>2</v>
      </c>
      <c r="K899" s="2">
        <v>0</v>
      </c>
      <c r="L899" s="2">
        <v>0</v>
      </c>
      <c r="M899" s="2" t="s">
        <v>34</v>
      </c>
      <c r="N899" s="2" t="s">
        <v>85</v>
      </c>
      <c r="O899" s="2" t="s">
        <v>44</v>
      </c>
      <c r="P899" s="2" t="s">
        <v>45</v>
      </c>
      <c r="Q899" s="2">
        <v>0</v>
      </c>
      <c r="R899" s="2">
        <v>0</v>
      </c>
      <c r="S899" s="2">
        <v>0</v>
      </c>
      <c r="T899" s="2" t="s">
        <v>46</v>
      </c>
      <c r="U899" s="2" t="s">
        <v>46</v>
      </c>
      <c r="V899" s="2">
        <v>0</v>
      </c>
      <c r="W899" s="2" t="s">
        <v>38</v>
      </c>
      <c r="X899" s="2">
        <v>85</v>
      </c>
      <c r="Y899" s="2"/>
      <c r="Z899" s="2">
        <v>0</v>
      </c>
      <c r="AA899" s="2" t="s">
        <v>39</v>
      </c>
      <c r="AB899" s="2">
        <v>99</v>
      </c>
      <c r="AC899" s="2">
        <v>0</v>
      </c>
      <c r="AD899" s="2">
        <v>0</v>
      </c>
      <c r="AE899" s="2" t="s">
        <v>40</v>
      </c>
      <c r="AF899" s="3">
        <v>42901</v>
      </c>
    </row>
    <row r="900" spans="1:32" x14ac:dyDescent="0.25">
      <c r="A900" s="2" t="s">
        <v>41</v>
      </c>
      <c r="B900" s="2">
        <v>0</v>
      </c>
      <c r="C900" s="2">
        <v>221</v>
      </c>
      <c r="D900" s="2">
        <v>2017</v>
      </c>
      <c r="E900" s="2" t="s">
        <v>83</v>
      </c>
      <c r="F900" s="2">
        <v>25</v>
      </c>
      <c r="G900" s="2">
        <v>23</v>
      </c>
      <c r="H900" s="2">
        <v>0</v>
      </c>
      <c r="I900" s="2">
        <v>2</v>
      </c>
      <c r="J900" s="2">
        <v>2</v>
      </c>
      <c r="K900" s="2">
        <v>0</v>
      </c>
      <c r="L900" s="2">
        <v>0</v>
      </c>
      <c r="M900" s="2" t="s">
        <v>34</v>
      </c>
      <c r="N900" s="2" t="s">
        <v>43</v>
      </c>
      <c r="O900" s="2" t="s">
        <v>49</v>
      </c>
      <c r="P900" s="2" t="s">
        <v>45</v>
      </c>
      <c r="Q900" s="2">
        <v>0</v>
      </c>
      <c r="R900" s="2">
        <v>0</v>
      </c>
      <c r="S900" s="2">
        <v>0</v>
      </c>
      <c r="T900" s="2" t="s">
        <v>46</v>
      </c>
      <c r="U900" s="2" t="s">
        <v>46</v>
      </c>
      <c r="V900" s="2">
        <v>0</v>
      </c>
      <c r="W900" s="2" t="s">
        <v>38</v>
      </c>
      <c r="X900" s="2">
        <v>138</v>
      </c>
      <c r="Y900" s="2"/>
      <c r="Z900" s="2">
        <v>0</v>
      </c>
      <c r="AA900" s="2" t="s">
        <v>39</v>
      </c>
      <c r="AB900" s="2">
        <v>89.1</v>
      </c>
      <c r="AC900" s="2">
        <v>0</v>
      </c>
      <c r="AD900" s="2">
        <v>2</v>
      </c>
      <c r="AE900" s="2" t="s">
        <v>40</v>
      </c>
      <c r="AF900" s="3">
        <v>42911</v>
      </c>
    </row>
    <row r="901" spans="1:32" x14ac:dyDescent="0.25">
      <c r="A901" s="2" t="s">
        <v>41</v>
      </c>
      <c r="B901" s="2">
        <v>0</v>
      </c>
      <c r="C901" s="2">
        <v>104</v>
      </c>
      <c r="D901" s="2">
        <v>2017</v>
      </c>
      <c r="E901" s="2" t="s">
        <v>52</v>
      </c>
      <c r="F901" s="2">
        <v>12</v>
      </c>
      <c r="G901" s="2">
        <v>19</v>
      </c>
      <c r="H901" s="2">
        <v>2</v>
      </c>
      <c r="I901" s="2">
        <v>5</v>
      </c>
      <c r="J901" s="2">
        <v>2</v>
      </c>
      <c r="K901" s="2">
        <v>0</v>
      </c>
      <c r="L901" s="2">
        <v>0</v>
      </c>
      <c r="M901" s="2" t="s">
        <v>34</v>
      </c>
      <c r="N901" s="2" t="s">
        <v>43</v>
      </c>
      <c r="O901" s="2" t="s">
        <v>49</v>
      </c>
      <c r="P901" s="2" t="s">
        <v>45</v>
      </c>
      <c r="Q901" s="2">
        <v>0</v>
      </c>
      <c r="R901" s="2">
        <v>0</v>
      </c>
      <c r="S901" s="2">
        <v>0</v>
      </c>
      <c r="T901" s="2" t="s">
        <v>46</v>
      </c>
      <c r="U901" s="2" t="s">
        <v>46</v>
      </c>
      <c r="V901" s="2">
        <v>0</v>
      </c>
      <c r="W901" s="2" t="s">
        <v>38</v>
      </c>
      <c r="X901" s="2">
        <v>20</v>
      </c>
      <c r="Y901" s="2"/>
      <c r="Z901" s="2">
        <v>0</v>
      </c>
      <c r="AA901" s="2" t="s">
        <v>51</v>
      </c>
      <c r="AB901" s="2">
        <v>75</v>
      </c>
      <c r="AC901" s="2">
        <v>0</v>
      </c>
      <c r="AD901" s="2">
        <v>1</v>
      </c>
      <c r="AE901" s="2" t="s">
        <v>40</v>
      </c>
      <c r="AF901" s="3">
        <v>42820</v>
      </c>
    </row>
    <row r="902" spans="1:32" x14ac:dyDescent="0.25">
      <c r="A902" s="2" t="s">
        <v>41</v>
      </c>
      <c r="B902" s="2">
        <v>1</v>
      </c>
      <c r="C902" s="2">
        <v>56</v>
      </c>
      <c r="D902" s="2">
        <v>2017</v>
      </c>
      <c r="E902" s="2" t="s">
        <v>66</v>
      </c>
      <c r="F902" s="2">
        <v>5</v>
      </c>
      <c r="G902" s="2">
        <v>1</v>
      </c>
      <c r="H902" s="2">
        <v>0</v>
      </c>
      <c r="I902" s="2">
        <v>3</v>
      </c>
      <c r="J902" s="2">
        <v>2</v>
      </c>
      <c r="K902" s="2">
        <v>0</v>
      </c>
      <c r="L902" s="2">
        <v>0</v>
      </c>
      <c r="M902" s="2" t="s">
        <v>34</v>
      </c>
      <c r="N902" s="2" t="s">
        <v>43</v>
      </c>
      <c r="O902" s="2" t="s">
        <v>64</v>
      </c>
      <c r="P902" s="2" t="s">
        <v>45</v>
      </c>
      <c r="Q902" s="2">
        <v>0</v>
      </c>
      <c r="R902" s="2">
        <v>0</v>
      </c>
      <c r="S902" s="2">
        <v>0</v>
      </c>
      <c r="T902" s="2" t="s">
        <v>46</v>
      </c>
      <c r="U902" s="2" t="s">
        <v>46</v>
      </c>
      <c r="V902" s="2">
        <v>0</v>
      </c>
      <c r="W902" s="2" t="s">
        <v>68</v>
      </c>
      <c r="X902" s="2">
        <v>29</v>
      </c>
      <c r="Y902" s="2"/>
      <c r="Z902" s="2">
        <v>0</v>
      </c>
      <c r="AA902" s="2" t="s">
        <v>39</v>
      </c>
      <c r="AB902" s="2">
        <v>60</v>
      </c>
      <c r="AC902" s="2">
        <v>0</v>
      </c>
      <c r="AD902" s="2">
        <v>0</v>
      </c>
      <c r="AE902" s="2" t="s">
        <v>47</v>
      </c>
      <c r="AF902" s="3">
        <v>42711</v>
      </c>
    </row>
    <row r="903" spans="1:32" x14ac:dyDescent="0.25">
      <c r="A903" s="2" t="s">
        <v>41</v>
      </c>
      <c r="B903" s="2">
        <v>0</v>
      </c>
      <c r="C903" s="2">
        <v>9</v>
      </c>
      <c r="D903" s="2">
        <v>2017</v>
      </c>
      <c r="E903" s="2" t="s">
        <v>42</v>
      </c>
      <c r="F903" s="2">
        <v>28</v>
      </c>
      <c r="G903" s="2">
        <v>14</v>
      </c>
      <c r="H903" s="2">
        <v>0</v>
      </c>
      <c r="I903" s="2">
        <v>2</v>
      </c>
      <c r="J903" s="2">
        <v>2</v>
      </c>
      <c r="K903" s="2">
        <v>0</v>
      </c>
      <c r="L903" s="2">
        <v>0</v>
      </c>
      <c r="M903" s="2" t="s">
        <v>34</v>
      </c>
      <c r="N903" s="2" t="s">
        <v>78</v>
      </c>
      <c r="O903" s="2" t="s">
        <v>44</v>
      </c>
      <c r="P903" s="2" t="s">
        <v>45</v>
      </c>
      <c r="Q903" s="2">
        <v>0</v>
      </c>
      <c r="R903" s="2">
        <v>0</v>
      </c>
      <c r="S903" s="2">
        <v>0</v>
      </c>
      <c r="T903" s="2" t="s">
        <v>57</v>
      </c>
      <c r="U903" s="2" t="s">
        <v>57</v>
      </c>
      <c r="V903" s="2">
        <v>0</v>
      </c>
      <c r="W903" s="2" t="s">
        <v>38</v>
      </c>
      <c r="X903" s="2">
        <v>9</v>
      </c>
      <c r="Y903" s="2"/>
      <c r="Z903" s="2">
        <v>0</v>
      </c>
      <c r="AA903" s="2" t="s">
        <v>39</v>
      </c>
      <c r="AB903" s="2">
        <v>149</v>
      </c>
      <c r="AC903" s="2">
        <v>0</v>
      </c>
      <c r="AD903" s="2">
        <v>1</v>
      </c>
      <c r="AE903" s="2" t="s">
        <v>40</v>
      </c>
      <c r="AF903" s="3">
        <v>42932</v>
      </c>
    </row>
    <row r="904" spans="1:32" x14ac:dyDescent="0.25">
      <c r="A904" s="2" t="s">
        <v>41</v>
      </c>
      <c r="B904" s="2">
        <v>0</v>
      </c>
      <c r="C904" s="2">
        <v>14</v>
      </c>
      <c r="D904" s="2">
        <v>2017</v>
      </c>
      <c r="E904" s="2" t="s">
        <v>66</v>
      </c>
      <c r="F904" s="2">
        <v>7</v>
      </c>
      <c r="G904" s="2">
        <v>13</v>
      </c>
      <c r="H904" s="2">
        <v>1</v>
      </c>
      <c r="I904" s="2">
        <v>0</v>
      </c>
      <c r="J904" s="2">
        <v>3</v>
      </c>
      <c r="K904" s="2">
        <v>0</v>
      </c>
      <c r="L904" s="2">
        <v>0</v>
      </c>
      <c r="M904" s="2" t="s">
        <v>34</v>
      </c>
      <c r="N904" s="2" t="s">
        <v>87</v>
      </c>
      <c r="O904" s="2" t="s">
        <v>36</v>
      </c>
      <c r="P904" s="2" t="s">
        <v>36</v>
      </c>
      <c r="Q904" s="2">
        <v>0</v>
      </c>
      <c r="R904" s="2">
        <v>0</v>
      </c>
      <c r="S904" s="2">
        <v>0</v>
      </c>
      <c r="T904" s="2" t="s">
        <v>46</v>
      </c>
      <c r="U904" s="2" t="s">
        <v>57</v>
      </c>
      <c r="V904" s="2">
        <v>2</v>
      </c>
      <c r="W904" s="2" t="s">
        <v>38</v>
      </c>
      <c r="X904" s="2">
        <v>14</v>
      </c>
      <c r="Y904" s="2"/>
      <c r="Z904" s="2">
        <v>0</v>
      </c>
      <c r="AA904" s="2" t="s">
        <v>39</v>
      </c>
      <c r="AB904" s="2">
        <v>98</v>
      </c>
      <c r="AC904" s="2">
        <v>0</v>
      </c>
      <c r="AD904" s="2">
        <v>1</v>
      </c>
      <c r="AE904" s="2" t="s">
        <v>40</v>
      </c>
      <c r="AF904" s="3">
        <v>42780</v>
      </c>
    </row>
    <row r="905" spans="1:32" x14ac:dyDescent="0.25">
      <c r="A905" s="2" t="s">
        <v>41</v>
      </c>
      <c r="B905" s="2">
        <v>0</v>
      </c>
      <c r="C905" s="2">
        <v>0</v>
      </c>
      <c r="D905" s="2">
        <v>2017</v>
      </c>
      <c r="E905" s="2" t="s">
        <v>52</v>
      </c>
      <c r="F905" s="2">
        <v>11</v>
      </c>
      <c r="G905" s="2">
        <v>14</v>
      </c>
      <c r="H905" s="2">
        <v>0</v>
      </c>
      <c r="I905" s="2">
        <v>1</v>
      </c>
      <c r="J905" s="2">
        <v>2</v>
      </c>
      <c r="K905" s="2">
        <v>0</v>
      </c>
      <c r="L905" s="2">
        <v>0</v>
      </c>
      <c r="M905" s="2" t="s">
        <v>34</v>
      </c>
      <c r="N905" s="2" t="s">
        <v>43</v>
      </c>
      <c r="O905" s="2" t="s">
        <v>49</v>
      </c>
      <c r="P905" s="2" t="s">
        <v>45</v>
      </c>
      <c r="Q905" s="2">
        <v>0</v>
      </c>
      <c r="R905" s="2">
        <v>0</v>
      </c>
      <c r="S905" s="2">
        <v>0</v>
      </c>
      <c r="T905" s="2" t="s">
        <v>37</v>
      </c>
      <c r="U905" s="2" t="s">
        <v>37</v>
      </c>
      <c r="V905" s="2">
        <v>0</v>
      </c>
      <c r="W905" s="2" t="s">
        <v>38</v>
      </c>
      <c r="X905" s="2">
        <v>28</v>
      </c>
      <c r="Y905" s="2"/>
      <c r="Z905" s="2">
        <v>0</v>
      </c>
      <c r="AA905" s="2" t="s">
        <v>39</v>
      </c>
      <c r="AB905" s="2">
        <v>65</v>
      </c>
      <c r="AC905" s="2">
        <v>0</v>
      </c>
      <c r="AD905" s="2">
        <v>0</v>
      </c>
      <c r="AE905" s="2" t="s">
        <v>40</v>
      </c>
      <c r="AF905" s="3">
        <v>42809</v>
      </c>
    </row>
    <row r="906" spans="1:32" x14ac:dyDescent="0.25">
      <c r="A906" s="2" t="s">
        <v>32</v>
      </c>
      <c r="B906" s="2">
        <v>1</v>
      </c>
      <c r="C906" s="2">
        <v>31</v>
      </c>
      <c r="D906" s="2">
        <v>2017</v>
      </c>
      <c r="E906" s="2" t="s">
        <v>67</v>
      </c>
      <c r="F906" s="2">
        <v>34</v>
      </c>
      <c r="G906" s="2">
        <v>25</v>
      </c>
      <c r="H906" s="2">
        <v>2</v>
      </c>
      <c r="I906" s="2">
        <v>2</v>
      </c>
      <c r="J906" s="2">
        <v>2</v>
      </c>
      <c r="K906" s="2">
        <v>0</v>
      </c>
      <c r="L906" s="2">
        <v>0</v>
      </c>
      <c r="M906" s="2" t="s">
        <v>34</v>
      </c>
      <c r="N906" s="2" t="s">
        <v>124</v>
      </c>
      <c r="O906" s="2" t="s">
        <v>44</v>
      </c>
      <c r="P906" s="2" t="s">
        <v>45</v>
      </c>
      <c r="Q906" s="2">
        <v>0</v>
      </c>
      <c r="R906" s="2">
        <v>0</v>
      </c>
      <c r="S906" s="2">
        <v>0</v>
      </c>
      <c r="T906" s="2" t="s">
        <v>72</v>
      </c>
      <c r="U906" s="2" t="s">
        <v>72</v>
      </c>
      <c r="V906" s="2">
        <v>1</v>
      </c>
      <c r="W906" s="2" t="s">
        <v>38</v>
      </c>
      <c r="X906" s="2">
        <v>240</v>
      </c>
      <c r="Y906" s="2"/>
      <c r="Z906" s="2">
        <v>0</v>
      </c>
      <c r="AA906" s="2" t="s">
        <v>39</v>
      </c>
      <c r="AB906" s="2">
        <v>250</v>
      </c>
      <c r="AC906" s="2">
        <v>0</v>
      </c>
      <c r="AD906" s="2">
        <v>2</v>
      </c>
      <c r="AE906" s="2" t="s">
        <v>47</v>
      </c>
      <c r="AF906" s="3">
        <v>42960</v>
      </c>
    </row>
    <row r="907" spans="1:32" x14ac:dyDescent="0.25">
      <c r="A907" s="2" t="s">
        <v>32</v>
      </c>
      <c r="B907" s="2">
        <v>0</v>
      </c>
      <c r="C907" s="2">
        <v>89</v>
      </c>
      <c r="D907" s="2">
        <v>2017</v>
      </c>
      <c r="E907" s="2" t="s">
        <v>54</v>
      </c>
      <c r="F907" s="2">
        <v>15</v>
      </c>
      <c r="G907" s="2">
        <v>14</v>
      </c>
      <c r="H907" s="2">
        <v>0</v>
      </c>
      <c r="I907" s="2">
        <v>2</v>
      </c>
      <c r="J907" s="2">
        <v>3</v>
      </c>
      <c r="K907" s="2">
        <v>0</v>
      </c>
      <c r="L907" s="2">
        <v>0</v>
      </c>
      <c r="M907" s="2" t="s">
        <v>34</v>
      </c>
      <c r="N907" s="2" t="s">
        <v>43</v>
      </c>
      <c r="O907" s="2" t="s">
        <v>44</v>
      </c>
      <c r="P907" s="2" t="s">
        <v>45</v>
      </c>
      <c r="Q907" s="2">
        <v>0</v>
      </c>
      <c r="R907" s="2">
        <v>0</v>
      </c>
      <c r="S907" s="2">
        <v>0</v>
      </c>
      <c r="T907" s="2" t="s">
        <v>72</v>
      </c>
      <c r="U907" s="2" t="s">
        <v>72</v>
      </c>
      <c r="V907" s="2">
        <v>1</v>
      </c>
      <c r="W907" s="2" t="s">
        <v>38</v>
      </c>
      <c r="X907" s="2">
        <v>240</v>
      </c>
      <c r="Y907" s="2"/>
      <c r="Z907" s="2">
        <v>0</v>
      </c>
      <c r="AA907" s="2" t="s">
        <v>51</v>
      </c>
      <c r="AB907" s="2">
        <v>122</v>
      </c>
      <c r="AC907" s="2">
        <v>0</v>
      </c>
      <c r="AD907" s="2">
        <v>3</v>
      </c>
      <c r="AE907" s="2" t="s">
        <v>40</v>
      </c>
      <c r="AF907" s="3">
        <v>42841</v>
      </c>
    </row>
    <row r="908" spans="1:32" x14ac:dyDescent="0.25">
      <c r="A908" s="2" t="s">
        <v>41</v>
      </c>
      <c r="B908" s="2">
        <v>1</v>
      </c>
      <c r="C908" s="2">
        <v>88</v>
      </c>
      <c r="D908" s="2">
        <v>2017</v>
      </c>
      <c r="E908" s="2" t="s">
        <v>69</v>
      </c>
      <c r="F908" s="2">
        <v>20</v>
      </c>
      <c r="G908" s="2">
        <v>17</v>
      </c>
      <c r="H908" s="2">
        <v>0</v>
      </c>
      <c r="I908" s="2">
        <v>3</v>
      </c>
      <c r="J908" s="2">
        <v>2</v>
      </c>
      <c r="K908" s="2">
        <v>0</v>
      </c>
      <c r="L908" s="2">
        <v>0</v>
      </c>
      <c r="M908" s="2" t="s">
        <v>55</v>
      </c>
      <c r="N908" s="2" t="s">
        <v>106</v>
      </c>
      <c r="O908" s="2" t="s">
        <v>44</v>
      </c>
      <c r="P908" s="2" t="s">
        <v>45</v>
      </c>
      <c r="Q908" s="2">
        <v>0</v>
      </c>
      <c r="R908" s="2">
        <v>0</v>
      </c>
      <c r="S908" s="2">
        <v>0</v>
      </c>
      <c r="T908" s="2" t="s">
        <v>46</v>
      </c>
      <c r="U908" s="2" t="s">
        <v>46</v>
      </c>
      <c r="V908" s="2">
        <v>0</v>
      </c>
      <c r="W908" s="2" t="s">
        <v>38</v>
      </c>
      <c r="X908" s="2">
        <v>9</v>
      </c>
      <c r="Y908" s="2"/>
      <c r="Z908" s="2">
        <v>0</v>
      </c>
      <c r="AA908" s="2" t="s">
        <v>39</v>
      </c>
      <c r="AB908" s="2">
        <v>117</v>
      </c>
      <c r="AC908" s="2">
        <v>0</v>
      </c>
      <c r="AD908" s="2">
        <v>0</v>
      </c>
      <c r="AE908" s="2" t="s">
        <v>47</v>
      </c>
      <c r="AF908" s="3">
        <v>42784</v>
      </c>
    </row>
    <row r="909" spans="1:32" x14ac:dyDescent="0.25">
      <c r="A909" s="2" t="s">
        <v>41</v>
      </c>
      <c r="B909" s="2">
        <v>0</v>
      </c>
      <c r="C909" s="2">
        <v>225</v>
      </c>
      <c r="D909" s="2">
        <v>2017</v>
      </c>
      <c r="E909" s="2" t="s">
        <v>83</v>
      </c>
      <c r="F909" s="2">
        <v>26</v>
      </c>
      <c r="G909" s="2">
        <v>29</v>
      </c>
      <c r="H909" s="2">
        <v>0</v>
      </c>
      <c r="I909" s="2">
        <v>3</v>
      </c>
      <c r="J909" s="2">
        <v>2</v>
      </c>
      <c r="K909" s="2">
        <v>0</v>
      </c>
      <c r="L909" s="2">
        <v>0</v>
      </c>
      <c r="M909" s="2" t="s">
        <v>55</v>
      </c>
      <c r="N909" s="2" t="s">
        <v>35</v>
      </c>
      <c r="O909" s="2" t="s">
        <v>44</v>
      </c>
      <c r="P909" s="2" t="s">
        <v>45</v>
      </c>
      <c r="Q909" s="2">
        <v>0</v>
      </c>
      <c r="R909" s="2">
        <v>0</v>
      </c>
      <c r="S909" s="2">
        <v>0</v>
      </c>
      <c r="T909" s="2" t="s">
        <v>46</v>
      </c>
      <c r="U909" s="2" t="s">
        <v>46</v>
      </c>
      <c r="V909" s="2">
        <v>0</v>
      </c>
      <c r="W909" s="2" t="s">
        <v>38</v>
      </c>
      <c r="X909" s="2">
        <v>9</v>
      </c>
      <c r="Y909" s="2"/>
      <c r="Z909" s="2">
        <v>0</v>
      </c>
      <c r="AA909" s="2" t="s">
        <v>39</v>
      </c>
      <c r="AB909" s="2">
        <v>95.7</v>
      </c>
      <c r="AC909" s="2">
        <v>0</v>
      </c>
      <c r="AD909" s="2">
        <v>3</v>
      </c>
      <c r="AE909" s="2" t="s">
        <v>40</v>
      </c>
      <c r="AF909" s="3">
        <v>42918</v>
      </c>
    </row>
    <row r="910" spans="1:32" x14ac:dyDescent="0.25">
      <c r="A910" s="2" t="s">
        <v>32</v>
      </c>
      <c r="B910" s="2">
        <v>0</v>
      </c>
      <c r="C910" s="2">
        <v>0</v>
      </c>
      <c r="D910" s="2">
        <v>2017</v>
      </c>
      <c r="E910" s="2" t="s">
        <v>66</v>
      </c>
      <c r="F910" s="2">
        <v>9</v>
      </c>
      <c r="G910" s="2">
        <v>27</v>
      </c>
      <c r="H910" s="2">
        <v>1</v>
      </c>
      <c r="I910" s="2">
        <v>1</v>
      </c>
      <c r="J910" s="2">
        <v>2</v>
      </c>
      <c r="K910" s="2">
        <v>0</v>
      </c>
      <c r="L910" s="2">
        <v>0</v>
      </c>
      <c r="M910" s="2" t="s">
        <v>34</v>
      </c>
      <c r="N910" s="2" t="s">
        <v>43</v>
      </c>
      <c r="O910" s="2" t="s">
        <v>36</v>
      </c>
      <c r="P910" s="2" t="s">
        <v>36</v>
      </c>
      <c r="Q910" s="2">
        <v>0</v>
      </c>
      <c r="R910" s="2">
        <v>0</v>
      </c>
      <c r="S910" s="2">
        <v>0</v>
      </c>
      <c r="T910" s="2" t="s">
        <v>57</v>
      </c>
      <c r="U910" s="2" t="s">
        <v>57</v>
      </c>
      <c r="V910" s="2">
        <v>0</v>
      </c>
      <c r="W910" s="2" t="s">
        <v>38</v>
      </c>
      <c r="X910" s="2"/>
      <c r="Y910" s="2"/>
      <c r="Z910" s="2">
        <v>0</v>
      </c>
      <c r="AA910" s="2" t="s">
        <v>51</v>
      </c>
      <c r="AB910" s="2">
        <v>62</v>
      </c>
      <c r="AC910" s="2">
        <v>1</v>
      </c>
      <c r="AD910" s="2">
        <v>0</v>
      </c>
      <c r="AE910" s="2" t="s">
        <v>40</v>
      </c>
      <c r="AF910" s="3">
        <v>42795</v>
      </c>
    </row>
    <row r="911" spans="1:32" x14ac:dyDescent="0.25">
      <c r="A911" s="2" t="s">
        <v>41</v>
      </c>
      <c r="B911" s="2">
        <v>1</v>
      </c>
      <c r="C911" s="2">
        <v>96</v>
      </c>
      <c r="D911" s="2">
        <v>2017</v>
      </c>
      <c r="E911" s="2" t="s">
        <v>69</v>
      </c>
      <c r="F911" s="2">
        <v>19</v>
      </c>
      <c r="G911" s="2">
        <v>11</v>
      </c>
      <c r="H911" s="2">
        <v>0</v>
      </c>
      <c r="I911" s="2">
        <v>3</v>
      </c>
      <c r="J911" s="2">
        <v>2</v>
      </c>
      <c r="K911" s="2">
        <v>0</v>
      </c>
      <c r="L911" s="2">
        <v>0</v>
      </c>
      <c r="M911" s="2" t="s">
        <v>34</v>
      </c>
      <c r="N911" s="2" t="s">
        <v>95</v>
      </c>
      <c r="O911" s="2" t="s">
        <v>44</v>
      </c>
      <c r="P911" s="2" t="s">
        <v>45</v>
      </c>
      <c r="Q911" s="2">
        <v>0</v>
      </c>
      <c r="R911" s="2">
        <v>0</v>
      </c>
      <c r="S911" s="2">
        <v>0</v>
      </c>
      <c r="T911" s="2" t="s">
        <v>57</v>
      </c>
      <c r="U911" s="2" t="s">
        <v>57</v>
      </c>
      <c r="V911" s="2">
        <v>0</v>
      </c>
      <c r="W911" s="2" t="s">
        <v>38</v>
      </c>
      <c r="X911" s="2">
        <v>9</v>
      </c>
      <c r="Y911" s="2"/>
      <c r="Z911" s="2">
        <v>0</v>
      </c>
      <c r="AA911" s="2" t="s">
        <v>39</v>
      </c>
      <c r="AB911" s="2">
        <v>147</v>
      </c>
      <c r="AC911" s="2">
        <v>0</v>
      </c>
      <c r="AD911" s="2">
        <v>0</v>
      </c>
      <c r="AE911" s="2" t="s">
        <v>47</v>
      </c>
      <c r="AF911" s="3">
        <v>42781</v>
      </c>
    </row>
    <row r="912" spans="1:32" x14ac:dyDescent="0.25">
      <c r="A912" s="2" t="s">
        <v>41</v>
      </c>
      <c r="B912" s="2">
        <v>0</v>
      </c>
      <c r="C912" s="2">
        <v>32</v>
      </c>
      <c r="D912" s="2">
        <v>2017</v>
      </c>
      <c r="E912" s="2" t="s">
        <v>66</v>
      </c>
      <c r="F912" s="2">
        <v>9</v>
      </c>
      <c r="G912" s="2">
        <v>26</v>
      </c>
      <c r="H912" s="2">
        <v>2</v>
      </c>
      <c r="I912" s="2">
        <v>2</v>
      </c>
      <c r="J912" s="2">
        <v>2</v>
      </c>
      <c r="K912" s="2">
        <v>0</v>
      </c>
      <c r="L912" s="2">
        <v>0</v>
      </c>
      <c r="M912" s="2" t="s">
        <v>55</v>
      </c>
      <c r="N912" s="2" t="s">
        <v>65</v>
      </c>
      <c r="O912" s="2" t="s">
        <v>44</v>
      </c>
      <c r="P912" s="2" t="s">
        <v>45</v>
      </c>
      <c r="Q912" s="2">
        <v>0</v>
      </c>
      <c r="R912" s="2">
        <v>0</v>
      </c>
      <c r="S912" s="2">
        <v>0</v>
      </c>
      <c r="T912" s="2" t="s">
        <v>46</v>
      </c>
      <c r="U912" s="2" t="s">
        <v>46</v>
      </c>
      <c r="V912" s="2">
        <v>0</v>
      </c>
      <c r="W912" s="2" t="s">
        <v>38</v>
      </c>
      <c r="X912" s="2">
        <v>9</v>
      </c>
      <c r="Y912" s="2"/>
      <c r="Z912" s="2">
        <v>0</v>
      </c>
      <c r="AA912" s="2" t="s">
        <v>39</v>
      </c>
      <c r="AB912" s="2">
        <v>74.8</v>
      </c>
      <c r="AC912" s="2">
        <v>0</v>
      </c>
      <c r="AD912" s="2">
        <v>2</v>
      </c>
      <c r="AE912" s="2" t="s">
        <v>40</v>
      </c>
      <c r="AF912" s="3">
        <v>42796</v>
      </c>
    </row>
    <row r="913" spans="1:32" x14ac:dyDescent="0.25">
      <c r="A913" s="2" t="s">
        <v>41</v>
      </c>
      <c r="B913" s="2">
        <v>0</v>
      </c>
      <c r="C913" s="2">
        <v>6</v>
      </c>
      <c r="D913" s="2">
        <v>2017</v>
      </c>
      <c r="E913" s="2" t="s">
        <v>66</v>
      </c>
      <c r="F913" s="2">
        <v>5</v>
      </c>
      <c r="G913" s="2">
        <v>4</v>
      </c>
      <c r="H913" s="2">
        <v>2</v>
      </c>
      <c r="I913" s="2">
        <v>3</v>
      </c>
      <c r="J913" s="2">
        <v>2</v>
      </c>
      <c r="K913" s="2">
        <v>0</v>
      </c>
      <c r="L913" s="2">
        <v>0</v>
      </c>
      <c r="M913" s="2" t="s">
        <v>34</v>
      </c>
      <c r="N913" s="2" t="s">
        <v>70</v>
      </c>
      <c r="O913" s="2" t="s">
        <v>44</v>
      </c>
      <c r="P913" s="2" t="s">
        <v>45</v>
      </c>
      <c r="Q913" s="2">
        <v>0</v>
      </c>
      <c r="R913" s="2">
        <v>0</v>
      </c>
      <c r="S913" s="2">
        <v>0</v>
      </c>
      <c r="T913" s="2" t="s">
        <v>57</v>
      </c>
      <c r="U913" s="2" t="s">
        <v>57</v>
      </c>
      <c r="V913" s="2">
        <v>0</v>
      </c>
      <c r="W913" s="2" t="s">
        <v>38</v>
      </c>
      <c r="X913" s="2">
        <v>9</v>
      </c>
      <c r="Y913" s="2"/>
      <c r="Z913" s="2">
        <v>0</v>
      </c>
      <c r="AA913" s="2" t="s">
        <v>39</v>
      </c>
      <c r="AB913" s="2">
        <v>100.3</v>
      </c>
      <c r="AC913" s="2">
        <v>0</v>
      </c>
      <c r="AD913" s="2">
        <v>3</v>
      </c>
      <c r="AE913" s="2" t="s">
        <v>40</v>
      </c>
      <c r="AF913" s="3">
        <v>42775</v>
      </c>
    </row>
    <row r="914" spans="1:32" x14ac:dyDescent="0.25">
      <c r="A914" s="2" t="s">
        <v>41</v>
      </c>
      <c r="B914" s="2">
        <v>1</v>
      </c>
      <c r="C914" s="2">
        <v>396</v>
      </c>
      <c r="D914" s="2">
        <v>2017</v>
      </c>
      <c r="E914" s="2" t="s">
        <v>54</v>
      </c>
      <c r="F914" s="2">
        <v>17</v>
      </c>
      <c r="G914" s="2">
        <v>25</v>
      </c>
      <c r="H914" s="2">
        <v>0</v>
      </c>
      <c r="I914" s="2">
        <v>1</v>
      </c>
      <c r="J914" s="2">
        <v>2</v>
      </c>
      <c r="K914" s="2">
        <v>0</v>
      </c>
      <c r="L914" s="2">
        <v>0</v>
      </c>
      <c r="M914" s="2" t="s">
        <v>34</v>
      </c>
      <c r="N914" s="2" t="s">
        <v>43</v>
      </c>
      <c r="O914" s="2" t="s">
        <v>49</v>
      </c>
      <c r="P914" s="2" t="s">
        <v>45</v>
      </c>
      <c r="Q914" s="2">
        <v>0</v>
      </c>
      <c r="R914" s="2">
        <v>0</v>
      </c>
      <c r="S914" s="2">
        <v>0</v>
      </c>
      <c r="T914" s="2" t="s">
        <v>46</v>
      </c>
      <c r="U914" s="2" t="s">
        <v>46</v>
      </c>
      <c r="V914" s="2">
        <v>0</v>
      </c>
      <c r="W914" s="2" t="s">
        <v>68</v>
      </c>
      <c r="X914" s="2">
        <v>229</v>
      </c>
      <c r="Y914" s="2"/>
      <c r="Z914" s="2">
        <v>0</v>
      </c>
      <c r="AA914" s="2" t="s">
        <v>39</v>
      </c>
      <c r="AB914" s="2">
        <v>90</v>
      </c>
      <c r="AC914" s="2">
        <v>0</v>
      </c>
      <c r="AD914" s="2">
        <v>0</v>
      </c>
      <c r="AE914" s="2" t="s">
        <v>47</v>
      </c>
      <c r="AF914" s="3">
        <v>42477</v>
      </c>
    </row>
    <row r="915" spans="1:32" x14ac:dyDescent="0.25">
      <c r="A915" s="2" t="s">
        <v>41</v>
      </c>
      <c r="B915" s="2">
        <v>1</v>
      </c>
      <c r="C915" s="2">
        <v>4</v>
      </c>
      <c r="D915" s="2">
        <v>2017</v>
      </c>
      <c r="E915" s="2" t="s">
        <v>66</v>
      </c>
      <c r="F915" s="2">
        <v>8</v>
      </c>
      <c r="G915" s="2">
        <v>21</v>
      </c>
      <c r="H915" s="2">
        <v>0</v>
      </c>
      <c r="I915" s="2">
        <v>3</v>
      </c>
      <c r="J915" s="2">
        <v>0</v>
      </c>
      <c r="K915" s="2">
        <v>0</v>
      </c>
      <c r="L915" s="2">
        <v>0</v>
      </c>
      <c r="M915" s="2" t="s">
        <v>55</v>
      </c>
      <c r="N915" s="2" t="s">
        <v>43</v>
      </c>
      <c r="O915" s="2" t="s">
        <v>64</v>
      </c>
      <c r="P915" s="2" t="s">
        <v>45</v>
      </c>
      <c r="Q915" s="2">
        <v>0</v>
      </c>
      <c r="R915" s="2">
        <v>0</v>
      </c>
      <c r="S915" s="2">
        <v>0</v>
      </c>
      <c r="T915" s="2" t="s">
        <v>46</v>
      </c>
      <c r="U915" s="2" t="s">
        <v>46</v>
      </c>
      <c r="V915" s="2">
        <v>0</v>
      </c>
      <c r="W915" s="2" t="s">
        <v>38</v>
      </c>
      <c r="X915" s="2"/>
      <c r="Y915" s="2"/>
      <c r="Z915" s="2">
        <v>0</v>
      </c>
      <c r="AA915" s="2" t="s">
        <v>51</v>
      </c>
      <c r="AB915" s="2">
        <v>0</v>
      </c>
      <c r="AC915" s="2">
        <v>0</v>
      </c>
      <c r="AD915" s="2">
        <v>0</v>
      </c>
      <c r="AE915" s="2" t="s">
        <v>47</v>
      </c>
      <c r="AF915" s="3">
        <v>42783</v>
      </c>
    </row>
    <row r="916" spans="1:32" x14ac:dyDescent="0.25">
      <c r="A916" s="2" t="s">
        <v>41</v>
      </c>
      <c r="B916" s="2">
        <v>0</v>
      </c>
      <c r="C916" s="2">
        <v>111</v>
      </c>
      <c r="D916" s="2">
        <v>2017</v>
      </c>
      <c r="E916" s="2" t="s">
        <v>54</v>
      </c>
      <c r="F916" s="2">
        <v>14</v>
      </c>
      <c r="G916" s="2">
        <v>3</v>
      </c>
      <c r="H916" s="2">
        <v>1</v>
      </c>
      <c r="I916" s="2">
        <v>1</v>
      </c>
      <c r="J916" s="2">
        <v>2</v>
      </c>
      <c r="K916" s="2">
        <v>0</v>
      </c>
      <c r="L916" s="2">
        <v>0</v>
      </c>
      <c r="M916" s="2" t="s">
        <v>34</v>
      </c>
      <c r="N916" s="2" t="s">
        <v>100</v>
      </c>
      <c r="O916" s="2" t="s">
        <v>64</v>
      </c>
      <c r="P916" s="2" t="s">
        <v>45</v>
      </c>
      <c r="Q916" s="2">
        <v>0</v>
      </c>
      <c r="R916" s="2">
        <v>0</v>
      </c>
      <c r="S916" s="2">
        <v>0</v>
      </c>
      <c r="T916" s="2" t="s">
        <v>46</v>
      </c>
      <c r="U916" s="2" t="s">
        <v>46</v>
      </c>
      <c r="V916" s="2">
        <v>0</v>
      </c>
      <c r="W916" s="2" t="s">
        <v>38</v>
      </c>
      <c r="X916" s="2">
        <v>37</v>
      </c>
      <c r="Y916" s="2"/>
      <c r="Z916" s="2">
        <v>0</v>
      </c>
      <c r="AA916" s="2" t="s">
        <v>51</v>
      </c>
      <c r="AB916" s="2">
        <v>95</v>
      </c>
      <c r="AC916" s="2">
        <v>0</v>
      </c>
      <c r="AD916" s="2">
        <v>1</v>
      </c>
      <c r="AE916" s="2" t="s">
        <v>40</v>
      </c>
      <c r="AF916" s="3">
        <v>42830</v>
      </c>
    </row>
    <row r="917" spans="1:32" x14ac:dyDescent="0.25">
      <c r="A917" s="2" t="s">
        <v>32</v>
      </c>
      <c r="B917" s="2">
        <v>1</v>
      </c>
      <c r="C917" s="2">
        <v>233</v>
      </c>
      <c r="D917" s="2">
        <v>2017</v>
      </c>
      <c r="E917" s="2" t="s">
        <v>67</v>
      </c>
      <c r="F917" s="2">
        <v>34</v>
      </c>
      <c r="G917" s="2">
        <v>21</v>
      </c>
      <c r="H917" s="2">
        <v>1</v>
      </c>
      <c r="I917" s="2">
        <v>5</v>
      </c>
      <c r="J917" s="2">
        <v>2</v>
      </c>
      <c r="K917" s="2">
        <v>0</v>
      </c>
      <c r="L917" s="2">
        <v>0</v>
      </c>
      <c r="M917" s="2" t="s">
        <v>34</v>
      </c>
      <c r="N917" s="2" t="s">
        <v>95</v>
      </c>
      <c r="O917" s="2" t="s">
        <v>44</v>
      </c>
      <c r="P917" s="2" t="s">
        <v>45</v>
      </c>
      <c r="Q917" s="2">
        <v>0</v>
      </c>
      <c r="R917" s="2">
        <v>0</v>
      </c>
      <c r="S917" s="2">
        <v>0</v>
      </c>
      <c r="T917" s="2" t="s">
        <v>46</v>
      </c>
      <c r="U917" s="2" t="s">
        <v>46</v>
      </c>
      <c r="V917" s="2">
        <v>0</v>
      </c>
      <c r="W917" s="2" t="s">
        <v>38</v>
      </c>
      <c r="X917" s="2">
        <v>240</v>
      </c>
      <c r="Y917" s="2"/>
      <c r="Z917" s="2">
        <v>0</v>
      </c>
      <c r="AA917" s="2" t="s">
        <v>39</v>
      </c>
      <c r="AB917" s="2">
        <v>153.75</v>
      </c>
      <c r="AC917" s="2">
        <v>0</v>
      </c>
      <c r="AD917" s="2">
        <v>2</v>
      </c>
      <c r="AE917" s="2" t="s">
        <v>47</v>
      </c>
      <c r="AF917" s="3">
        <v>42748</v>
      </c>
    </row>
    <row r="918" spans="1:32" x14ac:dyDescent="0.25">
      <c r="A918" s="2" t="s">
        <v>41</v>
      </c>
      <c r="B918" s="2">
        <v>0</v>
      </c>
      <c r="C918" s="2">
        <v>8</v>
      </c>
      <c r="D918" s="2">
        <v>2017</v>
      </c>
      <c r="E918" s="2" t="s">
        <v>67</v>
      </c>
      <c r="F918" s="2">
        <v>34</v>
      </c>
      <c r="G918" s="2">
        <v>23</v>
      </c>
      <c r="H918" s="2">
        <v>0</v>
      </c>
      <c r="I918" s="2">
        <v>2</v>
      </c>
      <c r="J918" s="2">
        <v>2</v>
      </c>
      <c r="K918" s="2">
        <v>0</v>
      </c>
      <c r="L918" s="2">
        <v>0</v>
      </c>
      <c r="M918" s="2" t="s">
        <v>55</v>
      </c>
      <c r="N918" s="2" t="s">
        <v>91</v>
      </c>
      <c r="O918" s="2" t="s">
        <v>44</v>
      </c>
      <c r="P918" s="2" t="s">
        <v>45</v>
      </c>
      <c r="Q918" s="2">
        <v>0</v>
      </c>
      <c r="R918" s="2">
        <v>0</v>
      </c>
      <c r="S918" s="2">
        <v>0</v>
      </c>
      <c r="T918" s="2" t="s">
        <v>46</v>
      </c>
      <c r="U918" s="2" t="s">
        <v>46</v>
      </c>
      <c r="V918" s="2">
        <v>0</v>
      </c>
      <c r="W918" s="2" t="s">
        <v>38</v>
      </c>
      <c r="X918" s="2">
        <v>9</v>
      </c>
      <c r="Y918" s="2"/>
      <c r="Z918" s="2">
        <v>0</v>
      </c>
      <c r="AA918" s="2" t="s">
        <v>39</v>
      </c>
      <c r="AB918" s="2">
        <v>129.5</v>
      </c>
      <c r="AC918" s="2">
        <v>0</v>
      </c>
      <c r="AD918" s="2">
        <v>0</v>
      </c>
      <c r="AE918" s="2" t="s">
        <v>40</v>
      </c>
      <c r="AF918" s="3">
        <v>42972</v>
      </c>
    </row>
    <row r="919" spans="1:32" x14ac:dyDescent="0.25">
      <c r="A919" s="2" t="s">
        <v>41</v>
      </c>
      <c r="B919" s="2">
        <v>0</v>
      </c>
      <c r="C919" s="2">
        <v>206</v>
      </c>
      <c r="D919" s="2">
        <v>2017</v>
      </c>
      <c r="E919" s="2" t="s">
        <v>67</v>
      </c>
      <c r="F919" s="2">
        <v>31</v>
      </c>
      <c r="G919" s="2">
        <v>3</v>
      </c>
      <c r="H919" s="2">
        <v>1</v>
      </c>
      <c r="I919" s="2">
        <v>3</v>
      </c>
      <c r="J919" s="2">
        <v>2</v>
      </c>
      <c r="K919" s="2">
        <v>0</v>
      </c>
      <c r="L919" s="2">
        <v>0</v>
      </c>
      <c r="M919" s="2" t="s">
        <v>34</v>
      </c>
      <c r="N919" s="2" t="s">
        <v>56</v>
      </c>
      <c r="O919" s="2" t="s">
        <v>44</v>
      </c>
      <c r="P919" s="2" t="s">
        <v>45</v>
      </c>
      <c r="Q919" s="2">
        <v>0</v>
      </c>
      <c r="R919" s="2">
        <v>0</v>
      </c>
      <c r="S919" s="2">
        <v>0</v>
      </c>
      <c r="T919" s="2" t="s">
        <v>57</v>
      </c>
      <c r="U919" s="2" t="s">
        <v>57</v>
      </c>
      <c r="V919" s="2">
        <v>0</v>
      </c>
      <c r="W919" s="2" t="s">
        <v>38</v>
      </c>
      <c r="X919" s="2">
        <v>9</v>
      </c>
      <c r="Y919" s="2"/>
      <c r="Z919" s="2">
        <v>0</v>
      </c>
      <c r="AA919" s="2" t="s">
        <v>39</v>
      </c>
      <c r="AB919" s="2">
        <v>144</v>
      </c>
      <c r="AC919" s="2">
        <v>0</v>
      </c>
      <c r="AD919" s="2">
        <v>0</v>
      </c>
      <c r="AE919" s="2" t="s">
        <v>40</v>
      </c>
      <c r="AF919" s="3">
        <v>42954</v>
      </c>
    </row>
    <row r="920" spans="1:32" x14ac:dyDescent="0.25">
      <c r="A920" s="2" t="s">
        <v>41</v>
      </c>
      <c r="B920" s="2">
        <v>0</v>
      </c>
      <c r="C920" s="2">
        <v>12</v>
      </c>
      <c r="D920" s="2">
        <v>2017</v>
      </c>
      <c r="E920" s="2" t="s">
        <v>66</v>
      </c>
      <c r="F920" s="2">
        <v>8</v>
      </c>
      <c r="G920" s="2">
        <v>20</v>
      </c>
      <c r="H920" s="2">
        <v>1</v>
      </c>
      <c r="I920" s="2">
        <v>1</v>
      </c>
      <c r="J920" s="2">
        <v>1</v>
      </c>
      <c r="K920" s="2">
        <v>0</v>
      </c>
      <c r="L920" s="2">
        <v>0</v>
      </c>
      <c r="M920" s="2" t="s">
        <v>34</v>
      </c>
      <c r="N920" s="2" t="s">
        <v>63</v>
      </c>
      <c r="O920" s="2" t="s">
        <v>44</v>
      </c>
      <c r="P920" s="2" t="s">
        <v>114</v>
      </c>
      <c r="Q920" s="2">
        <v>0</v>
      </c>
      <c r="R920" s="2">
        <v>0</v>
      </c>
      <c r="S920" s="2">
        <v>0</v>
      </c>
      <c r="T920" s="2" t="s">
        <v>46</v>
      </c>
      <c r="U920" s="2" t="s">
        <v>46</v>
      </c>
      <c r="V920" s="2">
        <v>0</v>
      </c>
      <c r="W920" s="2" t="s">
        <v>38</v>
      </c>
      <c r="X920" s="2">
        <v>195</v>
      </c>
      <c r="Y920" s="2"/>
      <c r="Z920" s="2">
        <v>0</v>
      </c>
      <c r="AA920" s="2" t="s">
        <v>39</v>
      </c>
      <c r="AB920" s="2">
        <v>90</v>
      </c>
      <c r="AC920" s="2">
        <v>0</v>
      </c>
      <c r="AD920" s="2">
        <v>0</v>
      </c>
      <c r="AE920" s="2" t="s">
        <v>40</v>
      </c>
      <c r="AF920" s="3">
        <v>42788</v>
      </c>
    </row>
    <row r="921" spans="1:32" x14ac:dyDescent="0.25">
      <c r="A921" s="2" t="s">
        <v>32</v>
      </c>
      <c r="B921" s="2">
        <v>0</v>
      </c>
      <c r="C921" s="2">
        <v>84</v>
      </c>
      <c r="D921" s="2">
        <v>2017</v>
      </c>
      <c r="E921" s="2" t="s">
        <v>54</v>
      </c>
      <c r="F921" s="2">
        <v>16</v>
      </c>
      <c r="G921" s="2">
        <v>18</v>
      </c>
      <c r="H921" s="2">
        <v>1</v>
      </c>
      <c r="I921" s="2">
        <v>5</v>
      </c>
      <c r="J921" s="2">
        <v>1</v>
      </c>
      <c r="K921" s="2">
        <v>0</v>
      </c>
      <c r="L921" s="2">
        <v>0</v>
      </c>
      <c r="M921" s="2" t="s">
        <v>34</v>
      </c>
      <c r="N921" s="2" t="s">
        <v>106</v>
      </c>
      <c r="O921" s="2" t="s">
        <v>36</v>
      </c>
      <c r="P921" s="2" t="s">
        <v>36</v>
      </c>
      <c r="Q921" s="2">
        <v>0</v>
      </c>
      <c r="R921" s="2">
        <v>0</v>
      </c>
      <c r="S921" s="2">
        <v>0</v>
      </c>
      <c r="T921" s="2" t="s">
        <v>72</v>
      </c>
      <c r="U921" s="2" t="s">
        <v>72</v>
      </c>
      <c r="V921" s="2">
        <v>1</v>
      </c>
      <c r="W921" s="2" t="s">
        <v>38</v>
      </c>
      <c r="X921" s="2"/>
      <c r="Y921" s="2"/>
      <c r="Z921" s="2">
        <v>0</v>
      </c>
      <c r="AA921" s="2" t="s">
        <v>51</v>
      </c>
      <c r="AB921" s="2">
        <v>74.599999999999994</v>
      </c>
      <c r="AC921" s="2">
        <v>0</v>
      </c>
      <c r="AD921" s="2">
        <v>0</v>
      </c>
      <c r="AE921" s="2" t="s">
        <v>40</v>
      </c>
      <c r="AF921" s="3">
        <v>42849</v>
      </c>
    </row>
    <row r="922" spans="1:32" x14ac:dyDescent="0.25">
      <c r="A922" s="2" t="s">
        <v>32</v>
      </c>
      <c r="B922" s="2">
        <v>0</v>
      </c>
      <c r="C922" s="2">
        <v>83</v>
      </c>
      <c r="D922" s="2">
        <v>2017</v>
      </c>
      <c r="E922" s="2" t="s">
        <v>74</v>
      </c>
      <c r="F922" s="2">
        <v>2</v>
      </c>
      <c r="G922" s="2">
        <v>10</v>
      </c>
      <c r="H922" s="2">
        <v>4</v>
      </c>
      <c r="I922" s="2">
        <v>10</v>
      </c>
      <c r="J922" s="2">
        <v>1</v>
      </c>
      <c r="K922" s="2">
        <v>0</v>
      </c>
      <c r="L922" s="2">
        <v>0</v>
      </c>
      <c r="M922" s="2" t="s">
        <v>60</v>
      </c>
      <c r="N922" s="2" t="s">
        <v>35</v>
      </c>
      <c r="O922" s="2" t="s">
        <v>44</v>
      </c>
      <c r="P922" s="2" t="s">
        <v>45</v>
      </c>
      <c r="Q922" s="2">
        <v>0</v>
      </c>
      <c r="R922" s="2">
        <v>0</v>
      </c>
      <c r="S922" s="2">
        <v>0</v>
      </c>
      <c r="T922" s="2" t="s">
        <v>57</v>
      </c>
      <c r="U922" s="2" t="s">
        <v>57</v>
      </c>
      <c r="V922" s="2">
        <v>1</v>
      </c>
      <c r="W922" s="2" t="s">
        <v>38</v>
      </c>
      <c r="X922" s="2">
        <v>147</v>
      </c>
      <c r="Y922" s="2"/>
      <c r="Z922" s="2">
        <v>0</v>
      </c>
      <c r="AA922" s="2" t="s">
        <v>39</v>
      </c>
      <c r="AB922" s="2">
        <v>50.96</v>
      </c>
      <c r="AC922" s="2">
        <v>0</v>
      </c>
      <c r="AD922" s="2">
        <v>0</v>
      </c>
      <c r="AE922" s="2" t="s">
        <v>40</v>
      </c>
      <c r="AF922" s="3">
        <v>42759</v>
      </c>
    </row>
    <row r="923" spans="1:32" x14ac:dyDescent="0.25">
      <c r="A923" s="2" t="s">
        <v>41</v>
      </c>
      <c r="B923" s="2">
        <v>1</v>
      </c>
      <c r="C923" s="2">
        <v>111</v>
      </c>
      <c r="D923" s="2">
        <v>2017</v>
      </c>
      <c r="E923" s="2" t="s">
        <v>83</v>
      </c>
      <c r="F923" s="2">
        <v>26</v>
      </c>
      <c r="G923" s="2">
        <v>29</v>
      </c>
      <c r="H923" s="2">
        <v>0</v>
      </c>
      <c r="I923" s="2">
        <v>1</v>
      </c>
      <c r="J923" s="2">
        <v>2</v>
      </c>
      <c r="K923" s="2">
        <v>2</v>
      </c>
      <c r="L923" s="2">
        <v>0</v>
      </c>
      <c r="M923" s="2" t="s">
        <v>34</v>
      </c>
      <c r="N923" s="2" t="s">
        <v>70</v>
      </c>
      <c r="O923" s="2" t="s">
        <v>44</v>
      </c>
      <c r="P923" s="2" t="s">
        <v>45</v>
      </c>
      <c r="Q923" s="2">
        <v>0</v>
      </c>
      <c r="R923" s="2">
        <v>0</v>
      </c>
      <c r="S923" s="2">
        <v>0</v>
      </c>
      <c r="T923" s="2" t="s">
        <v>37</v>
      </c>
      <c r="U923" s="2" t="s">
        <v>37</v>
      </c>
      <c r="V923" s="2">
        <v>0</v>
      </c>
      <c r="W923" s="2" t="s">
        <v>38</v>
      </c>
      <c r="X923" s="2">
        <v>9</v>
      </c>
      <c r="Y923" s="2"/>
      <c r="Z923" s="2">
        <v>0</v>
      </c>
      <c r="AA923" s="2" t="s">
        <v>39</v>
      </c>
      <c r="AB923" s="2">
        <v>230</v>
      </c>
      <c r="AC923" s="2">
        <v>0</v>
      </c>
      <c r="AD923" s="2">
        <v>0</v>
      </c>
      <c r="AE923" s="2" t="s">
        <v>47</v>
      </c>
      <c r="AF923" s="3">
        <v>42808</v>
      </c>
    </row>
    <row r="924" spans="1:32" x14ac:dyDescent="0.25">
      <c r="A924" s="2" t="s">
        <v>41</v>
      </c>
      <c r="B924" s="2">
        <v>0</v>
      </c>
      <c r="C924" s="2">
        <v>93</v>
      </c>
      <c r="D924" s="2">
        <v>2017</v>
      </c>
      <c r="E924" s="2" t="s">
        <v>54</v>
      </c>
      <c r="F924" s="2">
        <v>16</v>
      </c>
      <c r="G924" s="2">
        <v>21</v>
      </c>
      <c r="H924" s="2">
        <v>2</v>
      </c>
      <c r="I924" s="2">
        <v>6</v>
      </c>
      <c r="J924" s="2">
        <v>2</v>
      </c>
      <c r="K924" s="2">
        <v>1</v>
      </c>
      <c r="L924" s="2">
        <v>0</v>
      </c>
      <c r="M924" s="2" t="s">
        <v>60</v>
      </c>
      <c r="N924" s="2" t="s">
        <v>80</v>
      </c>
      <c r="O924" s="2" t="s">
        <v>44</v>
      </c>
      <c r="P924" s="2" t="s">
        <v>45</v>
      </c>
      <c r="Q924" s="2">
        <v>0</v>
      </c>
      <c r="R924" s="2">
        <v>0</v>
      </c>
      <c r="S924" s="2">
        <v>0</v>
      </c>
      <c r="T924" s="2" t="s">
        <v>46</v>
      </c>
      <c r="U924" s="2" t="s">
        <v>46</v>
      </c>
      <c r="V924" s="2">
        <v>0</v>
      </c>
      <c r="W924" s="2" t="s">
        <v>38</v>
      </c>
      <c r="X924" s="2">
        <v>9</v>
      </c>
      <c r="Y924" s="2"/>
      <c r="Z924" s="2">
        <v>0</v>
      </c>
      <c r="AA924" s="2" t="s">
        <v>39</v>
      </c>
      <c r="AB924" s="2">
        <v>184.5</v>
      </c>
      <c r="AC924" s="2">
        <v>0</v>
      </c>
      <c r="AD924" s="2">
        <v>1</v>
      </c>
      <c r="AE924" s="2" t="s">
        <v>40</v>
      </c>
      <c r="AF924" s="3">
        <v>42854</v>
      </c>
    </row>
    <row r="925" spans="1:32" x14ac:dyDescent="0.25">
      <c r="A925" s="2" t="s">
        <v>41</v>
      </c>
      <c r="B925" s="2">
        <v>0</v>
      </c>
      <c r="C925" s="2">
        <v>53</v>
      </c>
      <c r="D925" s="2">
        <v>2017</v>
      </c>
      <c r="E925" s="2" t="s">
        <v>83</v>
      </c>
      <c r="F925" s="2">
        <v>26</v>
      </c>
      <c r="G925" s="2">
        <v>25</v>
      </c>
      <c r="H925" s="2">
        <v>1</v>
      </c>
      <c r="I925" s="2">
        <v>0</v>
      </c>
      <c r="J925" s="2">
        <v>1</v>
      </c>
      <c r="K925" s="2">
        <v>0</v>
      </c>
      <c r="L925" s="2">
        <v>0</v>
      </c>
      <c r="M925" s="2" t="s">
        <v>55</v>
      </c>
      <c r="N925" s="2" t="s">
        <v>48</v>
      </c>
      <c r="O925" s="2" t="s">
        <v>44</v>
      </c>
      <c r="P925" s="2" t="s">
        <v>45</v>
      </c>
      <c r="Q925" s="2">
        <v>0</v>
      </c>
      <c r="R925" s="2">
        <v>0</v>
      </c>
      <c r="S925" s="2">
        <v>0</v>
      </c>
      <c r="T925" s="2" t="s">
        <v>46</v>
      </c>
      <c r="U925" s="2" t="s">
        <v>46</v>
      </c>
      <c r="V925" s="2">
        <v>1</v>
      </c>
      <c r="W925" s="2" t="s">
        <v>38</v>
      </c>
      <c r="X925" s="2">
        <v>9</v>
      </c>
      <c r="Y925" s="2"/>
      <c r="Z925" s="2">
        <v>0</v>
      </c>
      <c r="AA925" s="2" t="s">
        <v>39</v>
      </c>
      <c r="AB925" s="2">
        <v>120</v>
      </c>
      <c r="AC925" s="2">
        <v>0</v>
      </c>
      <c r="AD925" s="2">
        <v>1</v>
      </c>
      <c r="AE925" s="2" t="s">
        <v>40</v>
      </c>
      <c r="AF925" s="3">
        <v>42912</v>
      </c>
    </row>
    <row r="926" spans="1:32" x14ac:dyDescent="0.25">
      <c r="A926" s="2" t="s">
        <v>41</v>
      </c>
      <c r="B926" s="2">
        <v>0</v>
      </c>
      <c r="C926" s="2">
        <v>52</v>
      </c>
      <c r="D926" s="2">
        <v>2017</v>
      </c>
      <c r="E926" s="2" t="s">
        <v>54</v>
      </c>
      <c r="F926" s="2">
        <v>17</v>
      </c>
      <c r="G926" s="2">
        <v>28</v>
      </c>
      <c r="H926" s="2">
        <v>0</v>
      </c>
      <c r="I926" s="2">
        <v>1</v>
      </c>
      <c r="J926" s="2">
        <v>2</v>
      </c>
      <c r="K926" s="2">
        <v>0</v>
      </c>
      <c r="L926" s="2">
        <v>0</v>
      </c>
      <c r="M926" s="2" t="s">
        <v>34</v>
      </c>
      <c r="N926" s="2" t="s">
        <v>99</v>
      </c>
      <c r="O926" s="2" t="s">
        <v>76</v>
      </c>
      <c r="P926" s="2" t="s">
        <v>76</v>
      </c>
      <c r="Q926" s="2">
        <v>0</v>
      </c>
      <c r="R926" s="2">
        <v>0</v>
      </c>
      <c r="S926" s="2">
        <v>0</v>
      </c>
      <c r="T926" s="2" t="s">
        <v>46</v>
      </c>
      <c r="U926" s="2" t="s">
        <v>46</v>
      </c>
      <c r="V926" s="2">
        <v>1</v>
      </c>
      <c r="W926" s="2" t="s">
        <v>120</v>
      </c>
      <c r="X926" s="2"/>
      <c r="Y926" s="2">
        <v>40</v>
      </c>
      <c r="Z926" s="2">
        <v>0</v>
      </c>
      <c r="AA926" s="2" t="s">
        <v>51</v>
      </c>
      <c r="AB926" s="2">
        <v>77</v>
      </c>
      <c r="AC926" s="2">
        <v>1</v>
      </c>
      <c r="AD926" s="2">
        <v>1</v>
      </c>
      <c r="AE926" s="2" t="s">
        <v>40</v>
      </c>
      <c r="AF926" s="3">
        <v>42854</v>
      </c>
    </row>
    <row r="927" spans="1:32" x14ac:dyDescent="0.25">
      <c r="A927" s="2" t="s">
        <v>41</v>
      </c>
      <c r="B927" s="2">
        <v>0</v>
      </c>
      <c r="C927" s="2">
        <v>0</v>
      </c>
      <c r="D927" s="2">
        <v>2017</v>
      </c>
      <c r="E927" s="2" t="s">
        <v>52</v>
      </c>
      <c r="F927" s="2">
        <v>12</v>
      </c>
      <c r="G927" s="2">
        <v>21</v>
      </c>
      <c r="H927" s="2">
        <v>0</v>
      </c>
      <c r="I927" s="2">
        <v>2</v>
      </c>
      <c r="J927" s="2">
        <v>1</v>
      </c>
      <c r="K927" s="2">
        <v>0</v>
      </c>
      <c r="L927" s="2">
        <v>0</v>
      </c>
      <c r="M927" s="2" t="s">
        <v>34</v>
      </c>
      <c r="N927" s="2" t="s">
        <v>43</v>
      </c>
      <c r="O927" s="2" t="s">
        <v>116</v>
      </c>
      <c r="P927" s="2" t="s">
        <v>36</v>
      </c>
      <c r="Q927" s="2">
        <v>1</v>
      </c>
      <c r="R927" s="2">
        <v>0</v>
      </c>
      <c r="S927" s="2">
        <v>1</v>
      </c>
      <c r="T927" s="2" t="s">
        <v>46</v>
      </c>
      <c r="U927" s="2" t="s">
        <v>57</v>
      </c>
      <c r="V927" s="2">
        <v>1</v>
      </c>
      <c r="W927" s="2" t="s">
        <v>38</v>
      </c>
      <c r="X927" s="2"/>
      <c r="Y927" s="2">
        <v>45</v>
      </c>
      <c r="Z927" s="2">
        <v>0</v>
      </c>
      <c r="AA927" s="2" t="s">
        <v>39</v>
      </c>
      <c r="AB927" s="2">
        <v>0</v>
      </c>
      <c r="AC927" s="2">
        <v>0</v>
      </c>
      <c r="AD927" s="2">
        <v>1</v>
      </c>
      <c r="AE927" s="2" t="s">
        <v>40</v>
      </c>
      <c r="AF927" s="3">
        <v>42817</v>
      </c>
    </row>
    <row r="928" spans="1:32" x14ac:dyDescent="0.25">
      <c r="A928" s="2" t="s">
        <v>41</v>
      </c>
      <c r="B928" s="2">
        <v>0</v>
      </c>
      <c r="C928" s="2">
        <v>28</v>
      </c>
      <c r="D928" s="2">
        <v>2017</v>
      </c>
      <c r="E928" s="2" t="s">
        <v>54</v>
      </c>
      <c r="F928" s="2">
        <v>17</v>
      </c>
      <c r="G928" s="2">
        <v>29</v>
      </c>
      <c r="H928" s="2">
        <v>0</v>
      </c>
      <c r="I928" s="2">
        <v>1</v>
      </c>
      <c r="J928" s="2">
        <v>2</v>
      </c>
      <c r="K928" s="2">
        <v>0</v>
      </c>
      <c r="L928" s="2">
        <v>0</v>
      </c>
      <c r="M928" s="2" t="s">
        <v>55</v>
      </c>
      <c r="N928" s="2" t="s">
        <v>95</v>
      </c>
      <c r="O928" s="2" t="s">
        <v>44</v>
      </c>
      <c r="P928" s="2" t="s">
        <v>45</v>
      </c>
      <c r="Q928" s="2">
        <v>0</v>
      </c>
      <c r="R928" s="2">
        <v>0</v>
      </c>
      <c r="S928" s="2">
        <v>0</v>
      </c>
      <c r="T928" s="2" t="s">
        <v>46</v>
      </c>
      <c r="U928" s="2" t="s">
        <v>46</v>
      </c>
      <c r="V928" s="2">
        <v>0</v>
      </c>
      <c r="W928" s="2" t="s">
        <v>38</v>
      </c>
      <c r="X928" s="2">
        <v>9</v>
      </c>
      <c r="Y928" s="2"/>
      <c r="Z928" s="2">
        <v>0</v>
      </c>
      <c r="AA928" s="2" t="s">
        <v>39</v>
      </c>
      <c r="AB928" s="2">
        <v>115</v>
      </c>
      <c r="AC928" s="2">
        <v>0</v>
      </c>
      <c r="AD928" s="2">
        <v>1</v>
      </c>
      <c r="AE928" s="2" t="s">
        <v>40</v>
      </c>
      <c r="AF928" s="3">
        <v>42855</v>
      </c>
    </row>
    <row r="929" spans="1:32" x14ac:dyDescent="0.25">
      <c r="A929" s="2" t="s">
        <v>32</v>
      </c>
      <c r="B929" s="2">
        <v>0</v>
      </c>
      <c r="C929" s="2">
        <v>4</v>
      </c>
      <c r="D929" s="2">
        <v>2017</v>
      </c>
      <c r="E929" s="2" t="s">
        <v>66</v>
      </c>
      <c r="F929" s="2">
        <v>6</v>
      </c>
      <c r="G929" s="2">
        <v>7</v>
      </c>
      <c r="H929" s="2">
        <v>0</v>
      </c>
      <c r="I929" s="2">
        <v>3</v>
      </c>
      <c r="J929" s="2">
        <v>1</v>
      </c>
      <c r="K929" s="2">
        <v>0</v>
      </c>
      <c r="L929" s="2">
        <v>0</v>
      </c>
      <c r="M929" s="2" t="s">
        <v>34</v>
      </c>
      <c r="N929" s="2" t="s">
        <v>43</v>
      </c>
      <c r="O929" s="2" t="s">
        <v>76</v>
      </c>
      <c r="P929" s="2" t="s">
        <v>76</v>
      </c>
      <c r="Q929" s="2">
        <v>0</v>
      </c>
      <c r="R929" s="2">
        <v>0</v>
      </c>
      <c r="S929" s="2">
        <v>0</v>
      </c>
      <c r="T929" s="2" t="s">
        <v>46</v>
      </c>
      <c r="U929" s="2" t="s">
        <v>46</v>
      </c>
      <c r="V929" s="2">
        <v>0</v>
      </c>
      <c r="W929" s="2" t="s">
        <v>38</v>
      </c>
      <c r="X929" s="2"/>
      <c r="Y929" s="2">
        <v>154</v>
      </c>
      <c r="Z929" s="2">
        <v>0</v>
      </c>
      <c r="AA929" s="2" t="s">
        <v>39</v>
      </c>
      <c r="AB929" s="2">
        <v>35</v>
      </c>
      <c r="AC929" s="2">
        <v>0</v>
      </c>
      <c r="AD929" s="2">
        <v>0</v>
      </c>
      <c r="AE929" s="2" t="s">
        <v>40</v>
      </c>
      <c r="AF929" s="3">
        <v>42776</v>
      </c>
    </row>
    <row r="930" spans="1:32" x14ac:dyDescent="0.25">
      <c r="A930" s="2" t="s">
        <v>32</v>
      </c>
      <c r="B930" s="2">
        <v>0</v>
      </c>
      <c r="C930" s="2">
        <v>312</v>
      </c>
      <c r="D930" s="2">
        <v>2017</v>
      </c>
      <c r="E930" s="2" t="s">
        <v>52</v>
      </c>
      <c r="F930" s="2">
        <v>10</v>
      </c>
      <c r="G930" s="2">
        <v>5</v>
      </c>
      <c r="H930" s="2">
        <v>2</v>
      </c>
      <c r="I930" s="2">
        <v>5</v>
      </c>
      <c r="J930" s="2">
        <v>2</v>
      </c>
      <c r="K930" s="2">
        <v>0</v>
      </c>
      <c r="L930" s="2">
        <v>0</v>
      </c>
      <c r="M930" s="2" t="s">
        <v>60</v>
      </c>
      <c r="N930" s="2" t="s">
        <v>56</v>
      </c>
      <c r="O930" s="2" t="s">
        <v>64</v>
      </c>
      <c r="P930" s="2" t="s">
        <v>45</v>
      </c>
      <c r="Q930" s="2">
        <v>0</v>
      </c>
      <c r="R930" s="2">
        <v>0</v>
      </c>
      <c r="S930" s="2">
        <v>0</v>
      </c>
      <c r="T930" s="2" t="s">
        <v>46</v>
      </c>
      <c r="U930" s="2" t="s">
        <v>46</v>
      </c>
      <c r="V930" s="2">
        <v>0</v>
      </c>
      <c r="W930" s="2" t="s">
        <v>38</v>
      </c>
      <c r="X930" s="2">
        <v>298</v>
      </c>
      <c r="Y930" s="2"/>
      <c r="Z930" s="2">
        <v>0</v>
      </c>
      <c r="AA930" s="2" t="s">
        <v>51</v>
      </c>
      <c r="AB930" s="2">
        <v>56</v>
      </c>
      <c r="AC930" s="2">
        <v>0</v>
      </c>
      <c r="AD930" s="2">
        <v>0</v>
      </c>
      <c r="AE930" s="2" t="s">
        <v>40</v>
      </c>
      <c r="AF930" s="3">
        <v>42806</v>
      </c>
    </row>
    <row r="931" spans="1:32" x14ac:dyDescent="0.25">
      <c r="A931" s="2" t="s">
        <v>41</v>
      </c>
      <c r="B931" s="2">
        <v>1</v>
      </c>
      <c r="C931" s="2">
        <v>108</v>
      </c>
      <c r="D931" s="2">
        <v>2017</v>
      </c>
      <c r="E931" s="2" t="s">
        <v>67</v>
      </c>
      <c r="F931" s="2">
        <v>34</v>
      </c>
      <c r="G931" s="2">
        <v>20</v>
      </c>
      <c r="H931" s="2">
        <v>2</v>
      </c>
      <c r="I931" s="2">
        <v>3</v>
      </c>
      <c r="J931" s="2">
        <v>1</v>
      </c>
      <c r="K931" s="2">
        <v>0</v>
      </c>
      <c r="L931" s="2">
        <v>0</v>
      </c>
      <c r="M931" s="2" t="s">
        <v>34</v>
      </c>
      <c r="N931" s="2" t="s">
        <v>43</v>
      </c>
      <c r="O931" s="2" t="s">
        <v>49</v>
      </c>
      <c r="P931" s="2" t="s">
        <v>45</v>
      </c>
      <c r="Q931" s="2">
        <v>0</v>
      </c>
      <c r="R931" s="2">
        <v>0</v>
      </c>
      <c r="S931" s="2">
        <v>0</v>
      </c>
      <c r="T931" s="2" t="s">
        <v>46</v>
      </c>
      <c r="U931" s="2" t="s">
        <v>46</v>
      </c>
      <c r="V931" s="2">
        <v>0</v>
      </c>
      <c r="W931" s="2" t="s">
        <v>38</v>
      </c>
      <c r="X931" s="2">
        <v>52</v>
      </c>
      <c r="Y931" s="2"/>
      <c r="Z931" s="2">
        <v>0</v>
      </c>
      <c r="AA931" s="2" t="s">
        <v>39</v>
      </c>
      <c r="AB931" s="2">
        <v>71.099999999999994</v>
      </c>
      <c r="AC931" s="2">
        <v>0</v>
      </c>
      <c r="AD931" s="2">
        <v>0</v>
      </c>
      <c r="AE931" s="2" t="s">
        <v>47</v>
      </c>
      <c r="AF931" s="3">
        <v>42927</v>
      </c>
    </row>
    <row r="932" spans="1:32" x14ac:dyDescent="0.25">
      <c r="A932" s="2" t="s">
        <v>32</v>
      </c>
      <c r="B932" s="2">
        <v>0</v>
      </c>
      <c r="C932" s="2">
        <v>7</v>
      </c>
      <c r="D932" s="2">
        <v>2017</v>
      </c>
      <c r="E932" s="2" t="s">
        <v>66</v>
      </c>
      <c r="F932" s="2">
        <v>6</v>
      </c>
      <c r="G932" s="2">
        <v>10</v>
      </c>
      <c r="H932" s="2">
        <v>0</v>
      </c>
      <c r="I932" s="2">
        <v>2</v>
      </c>
      <c r="J932" s="2">
        <v>2</v>
      </c>
      <c r="K932" s="2">
        <v>0</v>
      </c>
      <c r="L932" s="2">
        <v>0</v>
      </c>
      <c r="M932" s="2" t="s">
        <v>34</v>
      </c>
      <c r="N932" s="2" t="s">
        <v>63</v>
      </c>
      <c r="O932" s="2" t="s">
        <v>36</v>
      </c>
      <c r="P932" s="2" t="s">
        <v>36</v>
      </c>
      <c r="Q932" s="2">
        <v>0</v>
      </c>
      <c r="R932" s="2">
        <v>0</v>
      </c>
      <c r="S932" s="2">
        <v>0</v>
      </c>
      <c r="T932" s="2" t="s">
        <v>57</v>
      </c>
      <c r="U932" s="2" t="s">
        <v>57</v>
      </c>
      <c r="V932" s="2">
        <v>1</v>
      </c>
      <c r="W932" s="2" t="s">
        <v>38</v>
      </c>
      <c r="X932" s="2">
        <v>250</v>
      </c>
      <c r="Y932" s="2"/>
      <c r="Z932" s="2">
        <v>0</v>
      </c>
      <c r="AA932" s="2" t="s">
        <v>39</v>
      </c>
      <c r="AB932" s="2">
        <v>66</v>
      </c>
      <c r="AC932" s="2">
        <v>0</v>
      </c>
      <c r="AD932" s="2">
        <v>2</v>
      </c>
      <c r="AE932" s="2" t="s">
        <v>40</v>
      </c>
      <c r="AF932" s="3">
        <v>42778</v>
      </c>
    </row>
    <row r="933" spans="1:32" x14ac:dyDescent="0.25">
      <c r="A933" s="2" t="s">
        <v>41</v>
      </c>
      <c r="B933" s="2">
        <v>1</v>
      </c>
      <c r="C933" s="2">
        <v>274</v>
      </c>
      <c r="D933" s="2">
        <v>2017</v>
      </c>
      <c r="E933" s="2" t="s">
        <v>67</v>
      </c>
      <c r="F933" s="2">
        <v>33</v>
      </c>
      <c r="G933" s="2">
        <v>16</v>
      </c>
      <c r="H933" s="2">
        <v>0</v>
      </c>
      <c r="I933" s="2">
        <v>4</v>
      </c>
      <c r="J933" s="2">
        <v>2</v>
      </c>
      <c r="K933" s="2">
        <v>2</v>
      </c>
      <c r="L933" s="2">
        <v>0</v>
      </c>
      <c r="M933" s="2" t="s">
        <v>34</v>
      </c>
      <c r="N933" s="2" t="s">
        <v>65</v>
      </c>
      <c r="O933" s="2" t="s">
        <v>44</v>
      </c>
      <c r="P933" s="2" t="s">
        <v>45</v>
      </c>
      <c r="Q933" s="2">
        <v>0</v>
      </c>
      <c r="R933" s="2">
        <v>0</v>
      </c>
      <c r="S933" s="2">
        <v>0</v>
      </c>
      <c r="T933" s="2" t="s">
        <v>37</v>
      </c>
      <c r="U933" s="2" t="s">
        <v>37</v>
      </c>
      <c r="V933" s="2">
        <v>0</v>
      </c>
      <c r="W933" s="2" t="s">
        <v>38</v>
      </c>
      <c r="X933" s="2">
        <v>9</v>
      </c>
      <c r="Y933" s="2"/>
      <c r="Z933" s="2">
        <v>0</v>
      </c>
      <c r="AA933" s="2" t="s">
        <v>39</v>
      </c>
      <c r="AB933" s="2">
        <v>179.1</v>
      </c>
      <c r="AC933" s="2">
        <v>0</v>
      </c>
      <c r="AD933" s="2">
        <v>1</v>
      </c>
      <c r="AE933" s="2" t="s">
        <v>47</v>
      </c>
      <c r="AF933" s="3">
        <v>42690</v>
      </c>
    </row>
    <row r="934" spans="1:32" x14ac:dyDescent="0.25">
      <c r="A934" s="2" t="s">
        <v>32</v>
      </c>
      <c r="B934" s="2">
        <v>0</v>
      </c>
      <c r="C934" s="2">
        <v>155</v>
      </c>
      <c r="D934" s="2">
        <v>2017</v>
      </c>
      <c r="E934" s="2" t="s">
        <v>66</v>
      </c>
      <c r="F934" s="2">
        <v>7</v>
      </c>
      <c r="G934" s="2">
        <v>15</v>
      </c>
      <c r="H934" s="2">
        <v>6</v>
      </c>
      <c r="I934" s="2">
        <v>15</v>
      </c>
      <c r="J934" s="2">
        <v>2</v>
      </c>
      <c r="K934" s="2">
        <v>0</v>
      </c>
      <c r="L934" s="2">
        <v>0</v>
      </c>
      <c r="M934" s="2" t="s">
        <v>34</v>
      </c>
      <c r="N934" s="2" t="s">
        <v>98</v>
      </c>
      <c r="O934" s="2" t="s">
        <v>49</v>
      </c>
      <c r="P934" s="2" t="s">
        <v>45</v>
      </c>
      <c r="Q934" s="2">
        <v>0</v>
      </c>
      <c r="R934" s="2">
        <v>0</v>
      </c>
      <c r="S934" s="2">
        <v>0</v>
      </c>
      <c r="T934" s="2" t="s">
        <v>72</v>
      </c>
      <c r="U934" s="2" t="s">
        <v>72</v>
      </c>
      <c r="V934" s="2">
        <v>0</v>
      </c>
      <c r="W934" s="2" t="s">
        <v>38</v>
      </c>
      <c r="X934" s="2">
        <v>96</v>
      </c>
      <c r="Y934" s="2"/>
      <c r="Z934" s="2">
        <v>0</v>
      </c>
      <c r="AA934" s="2" t="s">
        <v>39</v>
      </c>
      <c r="AB934" s="2">
        <v>45</v>
      </c>
      <c r="AC934" s="2">
        <v>0</v>
      </c>
      <c r="AD934" s="2">
        <v>1</v>
      </c>
      <c r="AE934" s="2" t="s">
        <v>40</v>
      </c>
      <c r="AF934" s="3">
        <v>42802</v>
      </c>
    </row>
    <row r="935" spans="1:32" x14ac:dyDescent="0.25">
      <c r="A935" s="2" t="s">
        <v>41</v>
      </c>
      <c r="B935" s="2">
        <v>0</v>
      </c>
      <c r="C935" s="2">
        <v>4</v>
      </c>
      <c r="D935" s="2">
        <v>2017</v>
      </c>
      <c r="E935" s="2" t="s">
        <v>74</v>
      </c>
      <c r="F935" s="2">
        <v>3</v>
      </c>
      <c r="G935" s="2">
        <v>17</v>
      </c>
      <c r="H935" s="2">
        <v>0</v>
      </c>
      <c r="I935" s="2">
        <v>3</v>
      </c>
      <c r="J935" s="2">
        <v>2</v>
      </c>
      <c r="K935" s="2">
        <v>0</v>
      </c>
      <c r="L935" s="2">
        <v>0</v>
      </c>
      <c r="M935" s="2" t="s">
        <v>34</v>
      </c>
      <c r="N935" s="2" t="s">
        <v>43</v>
      </c>
      <c r="O935" s="2" t="s">
        <v>44</v>
      </c>
      <c r="P935" s="2" t="s">
        <v>45</v>
      </c>
      <c r="Q935" s="2">
        <v>0</v>
      </c>
      <c r="R935" s="2">
        <v>0</v>
      </c>
      <c r="S935" s="2">
        <v>0</v>
      </c>
      <c r="T935" s="2" t="s">
        <v>46</v>
      </c>
      <c r="U935" s="2" t="s">
        <v>46</v>
      </c>
      <c r="V935" s="2">
        <v>0</v>
      </c>
      <c r="W935" s="2" t="s">
        <v>38</v>
      </c>
      <c r="X935" s="2">
        <v>9</v>
      </c>
      <c r="Y935" s="2"/>
      <c r="Z935" s="2">
        <v>0</v>
      </c>
      <c r="AA935" s="2" t="s">
        <v>39</v>
      </c>
      <c r="AB935" s="2">
        <v>108</v>
      </c>
      <c r="AC935" s="2">
        <v>0</v>
      </c>
      <c r="AD935" s="2">
        <v>1</v>
      </c>
      <c r="AE935" s="2" t="s">
        <v>40</v>
      </c>
      <c r="AF935" s="3">
        <v>42755</v>
      </c>
    </row>
    <row r="936" spans="1:32" x14ac:dyDescent="0.25">
      <c r="A936" s="2" t="s">
        <v>32</v>
      </c>
      <c r="B936" s="2">
        <v>0</v>
      </c>
      <c r="C936" s="2">
        <v>94</v>
      </c>
      <c r="D936" s="2">
        <v>2017</v>
      </c>
      <c r="E936" s="2" t="s">
        <v>66</v>
      </c>
      <c r="F936" s="2">
        <v>7</v>
      </c>
      <c r="G936" s="2">
        <v>13</v>
      </c>
      <c r="H936" s="2">
        <v>1</v>
      </c>
      <c r="I936" s="2">
        <v>3</v>
      </c>
      <c r="J936" s="2">
        <v>3</v>
      </c>
      <c r="K936" s="2">
        <v>0</v>
      </c>
      <c r="L936" s="2">
        <v>0</v>
      </c>
      <c r="M936" s="2" t="s">
        <v>60</v>
      </c>
      <c r="N936" s="2" t="s">
        <v>35</v>
      </c>
      <c r="O936" s="2" t="s">
        <v>64</v>
      </c>
      <c r="P936" s="2" t="s">
        <v>45</v>
      </c>
      <c r="Q936" s="2">
        <v>0</v>
      </c>
      <c r="R936" s="2">
        <v>0</v>
      </c>
      <c r="S936" s="2">
        <v>0</v>
      </c>
      <c r="T936" s="2" t="s">
        <v>46</v>
      </c>
      <c r="U936" s="2" t="s">
        <v>46</v>
      </c>
      <c r="V936" s="2">
        <v>0</v>
      </c>
      <c r="W936" s="2" t="s">
        <v>38</v>
      </c>
      <c r="X936" s="2">
        <v>152</v>
      </c>
      <c r="Y936" s="2"/>
      <c r="Z936" s="2">
        <v>0</v>
      </c>
      <c r="AA936" s="2" t="s">
        <v>51</v>
      </c>
      <c r="AB936" s="2">
        <v>88</v>
      </c>
      <c r="AC936" s="2">
        <v>0</v>
      </c>
      <c r="AD936" s="2">
        <v>0</v>
      </c>
      <c r="AE936" s="2" t="s">
        <v>40</v>
      </c>
      <c r="AF936" s="3">
        <v>42783</v>
      </c>
    </row>
    <row r="937" spans="1:32" x14ac:dyDescent="0.25">
      <c r="A937" s="2" t="s">
        <v>41</v>
      </c>
      <c r="B937" s="2">
        <v>1</v>
      </c>
      <c r="C937" s="2">
        <v>215</v>
      </c>
      <c r="D937" s="2">
        <v>2017</v>
      </c>
      <c r="E937" s="2" t="s">
        <v>83</v>
      </c>
      <c r="F937" s="2">
        <v>26</v>
      </c>
      <c r="G937" s="2">
        <v>28</v>
      </c>
      <c r="H937" s="2">
        <v>0</v>
      </c>
      <c r="I937" s="2">
        <v>4</v>
      </c>
      <c r="J937" s="2">
        <v>2</v>
      </c>
      <c r="K937" s="2">
        <v>0</v>
      </c>
      <c r="L937" s="2">
        <v>0</v>
      </c>
      <c r="M937" s="2" t="s">
        <v>34</v>
      </c>
      <c r="N937" s="2" t="s">
        <v>43</v>
      </c>
      <c r="O937" s="2" t="s">
        <v>64</v>
      </c>
      <c r="P937" s="2" t="s">
        <v>45</v>
      </c>
      <c r="Q937" s="2">
        <v>0</v>
      </c>
      <c r="R937" s="2">
        <v>0</v>
      </c>
      <c r="S937" s="2">
        <v>0</v>
      </c>
      <c r="T937" s="2" t="s">
        <v>46</v>
      </c>
      <c r="U937" s="2" t="s">
        <v>46</v>
      </c>
      <c r="V937" s="2">
        <v>0</v>
      </c>
      <c r="W937" s="2" t="s">
        <v>68</v>
      </c>
      <c r="X937" s="2"/>
      <c r="Y937" s="2"/>
      <c r="Z937" s="2">
        <v>0</v>
      </c>
      <c r="AA937" s="2" t="s">
        <v>39</v>
      </c>
      <c r="AB937" s="2">
        <v>110</v>
      </c>
      <c r="AC937" s="2">
        <v>0</v>
      </c>
      <c r="AD937" s="2">
        <v>0</v>
      </c>
      <c r="AE937" s="2" t="s">
        <v>47</v>
      </c>
      <c r="AF937" s="3">
        <v>42699</v>
      </c>
    </row>
    <row r="938" spans="1:32" x14ac:dyDescent="0.25">
      <c r="A938" s="2" t="s">
        <v>41</v>
      </c>
      <c r="B938" s="2">
        <v>1</v>
      </c>
      <c r="C938" s="2">
        <v>115</v>
      </c>
      <c r="D938" s="2">
        <v>2017</v>
      </c>
      <c r="E938" s="2" t="s">
        <v>67</v>
      </c>
      <c r="F938" s="2">
        <v>34</v>
      </c>
      <c r="G938" s="2">
        <v>25</v>
      </c>
      <c r="H938" s="2">
        <v>0</v>
      </c>
      <c r="I938" s="2">
        <v>2</v>
      </c>
      <c r="J938" s="2">
        <v>3</v>
      </c>
      <c r="K938" s="2">
        <v>0</v>
      </c>
      <c r="L938" s="2">
        <v>0</v>
      </c>
      <c r="M938" s="2" t="s">
        <v>34</v>
      </c>
      <c r="N938" s="2" t="s">
        <v>43</v>
      </c>
      <c r="O938" s="2" t="s">
        <v>44</v>
      </c>
      <c r="P938" s="2" t="s">
        <v>45</v>
      </c>
      <c r="Q938" s="2">
        <v>0</v>
      </c>
      <c r="R938" s="2">
        <v>0</v>
      </c>
      <c r="S938" s="2">
        <v>0</v>
      </c>
      <c r="T938" s="2" t="s">
        <v>57</v>
      </c>
      <c r="U938" s="2" t="s">
        <v>57</v>
      </c>
      <c r="V938" s="2">
        <v>0</v>
      </c>
      <c r="W938" s="2" t="s">
        <v>38</v>
      </c>
      <c r="X938" s="2">
        <v>8</v>
      </c>
      <c r="Y938" s="2"/>
      <c r="Z938" s="2">
        <v>0</v>
      </c>
      <c r="AA938" s="2" t="s">
        <v>39</v>
      </c>
      <c r="AB938" s="2">
        <v>195</v>
      </c>
      <c r="AC938" s="2">
        <v>0</v>
      </c>
      <c r="AD938" s="2">
        <v>2</v>
      </c>
      <c r="AE938" s="2" t="s">
        <v>47</v>
      </c>
      <c r="AF938" s="3">
        <v>42962</v>
      </c>
    </row>
    <row r="939" spans="1:32" x14ac:dyDescent="0.25">
      <c r="A939" s="2" t="s">
        <v>41</v>
      </c>
      <c r="B939" s="2">
        <v>0</v>
      </c>
      <c r="C939" s="2">
        <v>22</v>
      </c>
      <c r="D939" s="2">
        <v>2017</v>
      </c>
      <c r="E939" s="2" t="s">
        <v>52</v>
      </c>
      <c r="F939" s="2">
        <v>11</v>
      </c>
      <c r="G939" s="2">
        <v>15</v>
      </c>
      <c r="H939" s="2">
        <v>0</v>
      </c>
      <c r="I939" s="2">
        <v>1</v>
      </c>
      <c r="J939" s="2">
        <v>1</v>
      </c>
      <c r="K939" s="2">
        <v>0</v>
      </c>
      <c r="L939" s="2">
        <v>0</v>
      </c>
      <c r="M939" s="2" t="s">
        <v>34</v>
      </c>
      <c r="N939" s="2" t="s">
        <v>43</v>
      </c>
      <c r="O939" s="2" t="s">
        <v>76</v>
      </c>
      <c r="P939" s="2" t="s">
        <v>76</v>
      </c>
      <c r="Q939" s="2">
        <v>0</v>
      </c>
      <c r="R939" s="2">
        <v>0</v>
      </c>
      <c r="S939" s="2">
        <v>0</v>
      </c>
      <c r="T939" s="2" t="s">
        <v>57</v>
      </c>
      <c r="U939" s="2" t="s">
        <v>57</v>
      </c>
      <c r="V939" s="2">
        <v>0</v>
      </c>
      <c r="W939" s="2" t="s">
        <v>38</v>
      </c>
      <c r="X939" s="2"/>
      <c r="Y939" s="2">
        <v>433</v>
      </c>
      <c r="Z939" s="2">
        <v>0</v>
      </c>
      <c r="AA939" s="2" t="s">
        <v>39</v>
      </c>
      <c r="AB939" s="2">
        <v>65</v>
      </c>
      <c r="AC939" s="2">
        <v>0</v>
      </c>
      <c r="AD939" s="2">
        <v>0</v>
      </c>
      <c r="AE939" s="2" t="s">
        <v>40</v>
      </c>
      <c r="AF939" s="3">
        <v>42810</v>
      </c>
    </row>
    <row r="940" spans="1:32" x14ac:dyDescent="0.25">
      <c r="A940" s="2" t="s">
        <v>41</v>
      </c>
      <c r="B940" s="2">
        <v>1</v>
      </c>
      <c r="C940" s="2">
        <v>57</v>
      </c>
      <c r="D940" s="2">
        <v>2017</v>
      </c>
      <c r="E940" s="2" t="s">
        <v>52</v>
      </c>
      <c r="F940" s="2">
        <v>13</v>
      </c>
      <c r="G940" s="2">
        <v>29</v>
      </c>
      <c r="H940" s="2">
        <v>0</v>
      </c>
      <c r="I940" s="2">
        <v>2</v>
      </c>
      <c r="J940" s="2">
        <v>2</v>
      </c>
      <c r="K940" s="2">
        <v>1</v>
      </c>
      <c r="L940" s="2">
        <v>0</v>
      </c>
      <c r="M940" s="2" t="s">
        <v>34</v>
      </c>
      <c r="N940" s="2" t="s">
        <v>106</v>
      </c>
      <c r="O940" s="2" t="s">
        <v>44</v>
      </c>
      <c r="P940" s="2" t="s">
        <v>45</v>
      </c>
      <c r="Q940" s="2">
        <v>0</v>
      </c>
      <c r="R940" s="2">
        <v>0</v>
      </c>
      <c r="S940" s="2">
        <v>0</v>
      </c>
      <c r="T940" s="2" t="s">
        <v>46</v>
      </c>
      <c r="U940" s="2" t="s">
        <v>46</v>
      </c>
      <c r="V940" s="2">
        <v>0</v>
      </c>
      <c r="W940" s="2" t="s">
        <v>38</v>
      </c>
      <c r="X940" s="2">
        <v>9</v>
      </c>
      <c r="Y940" s="2"/>
      <c r="Z940" s="2">
        <v>0</v>
      </c>
      <c r="AA940" s="2" t="s">
        <v>39</v>
      </c>
      <c r="AB940" s="2">
        <v>115.2</v>
      </c>
      <c r="AC940" s="2">
        <v>0</v>
      </c>
      <c r="AD940" s="2">
        <v>0</v>
      </c>
      <c r="AE940" s="2" t="s">
        <v>47</v>
      </c>
      <c r="AF940" s="3">
        <v>42779</v>
      </c>
    </row>
    <row r="941" spans="1:32" x14ac:dyDescent="0.25">
      <c r="A941" s="2" t="s">
        <v>32</v>
      </c>
      <c r="B941" s="2">
        <v>1</v>
      </c>
      <c r="C941" s="2">
        <v>170</v>
      </c>
      <c r="D941" s="2">
        <v>2017</v>
      </c>
      <c r="E941" s="2" t="s">
        <v>83</v>
      </c>
      <c r="F941" s="2">
        <v>26</v>
      </c>
      <c r="G941" s="2">
        <v>26</v>
      </c>
      <c r="H941" s="2">
        <v>1</v>
      </c>
      <c r="I941" s="2">
        <v>5</v>
      </c>
      <c r="J941" s="2">
        <v>2</v>
      </c>
      <c r="K941" s="2">
        <v>2</v>
      </c>
      <c r="L941" s="2">
        <v>0</v>
      </c>
      <c r="M941" s="2" t="s">
        <v>34</v>
      </c>
      <c r="N941" s="2" t="s">
        <v>43</v>
      </c>
      <c r="O941" s="2" t="s">
        <v>44</v>
      </c>
      <c r="P941" s="2" t="s">
        <v>45</v>
      </c>
      <c r="Q941" s="2">
        <v>0</v>
      </c>
      <c r="R941" s="2">
        <v>0</v>
      </c>
      <c r="S941" s="2">
        <v>0</v>
      </c>
      <c r="T941" s="2" t="s">
        <v>104</v>
      </c>
      <c r="U941" s="2" t="s">
        <v>104</v>
      </c>
      <c r="V941" s="2">
        <v>3</v>
      </c>
      <c r="W941" s="2" t="s">
        <v>38</v>
      </c>
      <c r="X941" s="2">
        <v>314</v>
      </c>
      <c r="Y941" s="2"/>
      <c r="Z941" s="2">
        <v>0</v>
      </c>
      <c r="AA941" s="2" t="s">
        <v>39</v>
      </c>
      <c r="AB941" s="2">
        <v>118.4</v>
      </c>
      <c r="AC941" s="2">
        <v>0</v>
      </c>
      <c r="AD941" s="2">
        <v>0</v>
      </c>
      <c r="AE941" s="2" t="s">
        <v>47</v>
      </c>
      <c r="AF941" s="3">
        <v>42860</v>
      </c>
    </row>
    <row r="942" spans="1:32" x14ac:dyDescent="0.25">
      <c r="A942" s="2" t="s">
        <v>32</v>
      </c>
      <c r="B942" s="2">
        <v>0</v>
      </c>
      <c r="C942" s="2">
        <v>307</v>
      </c>
      <c r="D942" s="2">
        <v>2017</v>
      </c>
      <c r="E942" s="2" t="s">
        <v>83</v>
      </c>
      <c r="F942" s="2">
        <v>23</v>
      </c>
      <c r="G942" s="2">
        <v>8</v>
      </c>
      <c r="H942" s="2">
        <v>4</v>
      </c>
      <c r="I942" s="2">
        <v>10</v>
      </c>
      <c r="J942" s="2">
        <v>2</v>
      </c>
      <c r="K942" s="2">
        <v>0</v>
      </c>
      <c r="L942" s="2">
        <v>0</v>
      </c>
      <c r="M942" s="2" t="s">
        <v>60</v>
      </c>
      <c r="N942" s="2" t="s">
        <v>35</v>
      </c>
      <c r="O942" s="2" t="s">
        <v>49</v>
      </c>
      <c r="P942" s="2" t="s">
        <v>45</v>
      </c>
      <c r="Q942" s="2">
        <v>0</v>
      </c>
      <c r="R942" s="2">
        <v>0</v>
      </c>
      <c r="S942" s="2">
        <v>0</v>
      </c>
      <c r="T942" s="2" t="s">
        <v>57</v>
      </c>
      <c r="U942" s="2" t="s">
        <v>57</v>
      </c>
      <c r="V942" s="2">
        <v>0</v>
      </c>
      <c r="W942" s="2" t="s">
        <v>38</v>
      </c>
      <c r="X942" s="2">
        <v>243</v>
      </c>
      <c r="Y942" s="2"/>
      <c r="Z942" s="2">
        <v>0</v>
      </c>
      <c r="AA942" s="2" t="s">
        <v>73</v>
      </c>
      <c r="AB942" s="2">
        <v>98.4</v>
      </c>
      <c r="AC942" s="2">
        <v>0</v>
      </c>
      <c r="AD942" s="2">
        <v>0</v>
      </c>
      <c r="AE942" s="2" t="s">
        <v>40</v>
      </c>
      <c r="AF942" s="3">
        <v>42908</v>
      </c>
    </row>
    <row r="943" spans="1:32" x14ac:dyDescent="0.25">
      <c r="A943" s="2" t="s">
        <v>41</v>
      </c>
      <c r="B943" s="2">
        <v>1</v>
      </c>
      <c r="C943" s="2">
        <v>177</v>
      </c>
      <c r="D943" s="2">
        <v>2017</v>
      </c>
      <c r="E943" s="2" t="s">
        <v>67</v>
      </c>
      <c r="F943" s="2">
        <v>35</v>
      </c>
      <c r="G943" s="2">
        <v>31</v>
      </c>
      <c r="H943" s="2">
        <v>0</v>
      </c>
      <c r="I943" s="2">
        <v>3</v>
      </c>
      <c r="J943" s="2">
        <v>2</v>
      </c>
      <c r="K943" s="2">
        <v>0</v>
      </c>
      <c r="L943" s="2">
        <v>0</v>
      </c>
      <c r="M943" s="2" t="s">
        <v>34</v>
      </c>
      <c r="N943" s="2" t="s">
        <v>43</v>
      </c>
      <c r="O943" s="2" t="s">
        <v>49</v>
      </c>
      <c r="P943" s="2" t="s">
        <v>45</v>
      </c>
      <c r="Q943" s="2">
        <v>0</v>
      </c>
      <c r="R943" s="2">
        <v>0</v>
      </c>
      <c r="S943" s="2">
        <v>0</v>
      </c>
      <c r="T943" s="2" t="s">
        <v>57</v>
      </c>
      <c r="U943" s="2" t="s">
        <v>57</v>
      </c>
      <c r="V943" s="2">
        <v>0</v>
      </c>
      <c r="W943" s="2" t="s">
        <v>38</v>
      </c>
      <c r="X943" s="2">
        <v>52</v>
      </c>
      <c r="Y943" s="2"/>
      <c r="Z943" s="2">
        <v>0</v>
      </c>
      <c r="AA943" s="2" t="s">
        <v>39</v>
      </c>
      <c r="AB943" s="2">
        <v>95.1</v>
      </c>
      <c r="AC943" s="2">
        <v>0</v>
      </c>
      <c r="AD943" s="2">
        <v>1</v>
      </c>
      <c r="AE943" s="2" t="s">
        <v>47</v>
      </c>
      <c r="AF943" s="3">
        <v>42942</v>
      </c>
    </row>
    <row r="944" spans="1:32" x14ac:dyDescent="0.25">
      <c r="A944" s="2" t="s">
        <v>41</v>
      </c>
      <c r="B944" s="2">
        <v>0</v>
      </c>
      <c r="C944" s="2">
        <v>1</v>
      </c>
      <c r="D944" s="2">
        <v>2017</v>
      </c>
      <c r="E944" s="2" t="s">
        <v>69</v>
      </c>
      <c r="F944" s="2">
        <v>19</v>
      </c>
      <c r="G944" s="2">
        <v>9</v>
      </c>
      <c r="H944" s="2">
        <v>0</v>
      </c>
      <c r="I944" s="2">
        <v>1</v>
      </c>
      <c r="J944" s="2">
        <v>1</v>
      </c>
      <c r="K944" s="2">
        <v>0</v>
      </c>
      <c r="L944" s="2">
        <v>0</v>
      </c>
      <c r="M944" s="2" t="s">
        <v>34</v>
      </c>
      <c r="N944" s="2" t="s">
        <v>43</v>
      </c>
      <c r="O944" s="2" t="s">
        <v>49</v>
      </c>
      <c r="P944" s="2" t="s">
        <v>76</v>
      </c>
      <c r="Q944" s="2">
        <v>0</v>
      </c>
      <c r="R944" s="2">
        <v>0</v>
      </c>
      <c r="S944" s="2">
        <v>0</v>
      </c>
      <c r="T944" s="2" t="s">
        <v>46</v>
      </c>
      <c r="U944" s="2" t="s">
        <v>46</v>
      </c>
      <c r="V944" s="2">
        <v>0</v>
      </c>
      <c r="W944" s="2" t="s">
        <v>38</v>
      </c>
      <c r="X944" s="2">
        <v>191</v>
      </c>
      <c r="Y944" s="2"/>
      <c r="Z944" s="2">
        <v>0</v>
      </c>
      <c r="AA944" s="2" t="s">
        <v>39</v>
      </c>
      <c r="AB944" s="2">
        <v>110.5</v>
      </c>
      <c r="AC944" s="2">
        <v>0</v>
      </c>
      <c r="AD944" s="2">
        <v>0</v>
      </c>
      <c r="AE944" s="2" t="s">
        <v>40</v>
      </c>
      <c r="AF944" s="3">
        <v>42865</v>
      </c>
    </row>
    <row r="945" spans="1:32" x14ac:dyDescent="0.25">
      <c r="A945" s="2" t="s">
        <v>41</v>
      </c>
      <c r="B945" s="2">
        <v>1</v>
      </c>
      <c r="C945" s="2">
        <v>181</v>
      </c>
      <c r="D945" s="2">
        <v>2017</v>
      </c>
      <c r="E945" s="2" t="s">
        <v>69</v>
      </c>
      <c r="F945" s="2">
        <v>21</v>
      </c>
      <c r="G945" s="2">
        <v>25</v>
      </c>
      <c r="H945" s="2">
        <v>0</v>
      </c>
      <c r="I945" s="2">
        <v>2</v>
      </c>
      <c r="J945" s="2">
        <v>2</v>
      </c>
      <c r="K945" s="2">
        <v>0</v>
      </c>
      <c r="L945" s="2">
        <v>0</v>
      </c>
      <c r="M945" s="2" t="s">
        <v>34</v>
      </c>
      <c r="N945" s="2" t="s">
        <v>43</v>
      </c>
      <c r="O945" s="2" t="s">
        <v>64</v>
      </c>
      <c r="P945" s="2" t="s">
        <v>36</v>
      </c>
      <c r="Q945" s="2">
        <v>0</v>
      </c>
      <c r="R945" s="2">
        <v>0</v>
      </c>
      <c r="S945" s="2">
        <v>0</v>
      </c>
      <c r="T945" s="2" t="s">
        <v>46</v>
      </c>
      <c r="U945" s="2" t="s">
        <v>46</v>
      </c>
      <c r="V945" s="2">
        <v>0</v>
      </c>
      <c r="W945" s="2" t="s">
        <v>68</v>
      </c>
      <c r="X945" s="2"/>
      <c r="Y945" s="2"/>
      <c r="Z945" s="2">
        <v>0</v>
      </c>
      <c r="AA945" s="2" t="s">
        <v>39</v>
      </c>
      <c r="AB945" s="2">
        <v>130</v>
      </c>
      <c r="AC945" s="2">
        <v>0</v>
      </c>
      <c r="AD945" s="2">
        <v>0</v>
      </c>
      <c r="AE945" s="2" t="s">
        <v>47</v>
      </c>
      <c r="AF945" s="3">
        <v>42699</v>
      </c>
    </row>
    <row r="946" spans="1:32" x14ac:dyDescent="0.25">
      <c r="A946" s="2" t="s">
        <v>32</v>
      </c>
      <c r="B946" s="2">
        <v>0</v>
      </c>
      <c r="C946" s="2">
        <v>7</v>
      </c>
      <c r="D946" s="2">
        <v>2017</v>
      </c>
      <c r="E946" s="2" t="s">
        <v>69</v>
      </c>
      <c r="F946" s="2">
        <v>18</v>
      </c>
      <c r="G946" s="2">
        <v>6</v>
      </c>
      <c r="H946" s="2">
        <v>0</v>
      </c>
      <c r="I946" s="2">
        <v>1</v>
      </c>
      <c r="J946" s="2">
        <v>3</v>
      </c>
      <c r="K946" s="2">
        <v>1</v>
      </c>
      <c r="L946" s="2">
        <v>0</v>
      </c>
      <c r="M946" s="2" t="s">
        <v>60</v>
      </c>
      <c r="N946" s="2" t="s">
        <v>63</v>
      </c>
      <c r="O946" s="2" t="s">
        <v>44</v>
      </c>
      <c r="P946" s="2" t="s">
        <v>45</v>
      </c>
      <c r="Q946" s="2">
        <v>0</v>
      </c>
      <c r="R946" s="2">
        <v>0</v>
      </c>
      <c r="S946" s="2">
        <v>0</v>
      </c>
      <c r="T946" s="2" t="s">
        <v>92</v>
      </c>
      <c r="U946" s="2" t="s">
        <v>92</v>
      </c>
      <c r="V946" s="2">
        <v>0</v>
      </c>
      <c r="W946" s="2" t="s">
        <v>38</v>
      </c>
      <c r="X946" s="2">
        <v>240</v>
      </c>
      <c r="Y946" s="2"/>
      <c r="Z946" s="2">
        <v>0</v>
      </c>
      <c r="AA946" s="2" t="s">
        <v>39</v>
      </c>
      <c r="AB946" s="2">
        <v>200.7</v>
      </c>
      <c r="AC946" s="2">
        <v>1</v>
      </c>
      <c r="AD946" s="2">
        <v>1</v>
      </c>
      <c r="AE946" s="2" t="s">
        <v>40</v>
      </c>
      <c r="AF946" s="3">
        <v>42862</v>
      </c>
    </row>
    <row r="947" spans="1:32" x14ac:dyDescent="0.25">
      <c r="A947" s="2" t="s">
        <v>32</v>
      </c>
      <c r="B947" s="2">
        <v>0</v>
      </c>
      <c r="C947" s="2">
        <v>7</v>
      </c>
      <c r="D947" s="2">
        <v>2017</v>
      </c>
      <c r="E947" s="2" t="s">
        <v>54</v>
      </c>
      <c r="F947" s="2">
        <v>15</v>
      </c>
      <c r="G947" s="2">
        <v>11</v>
      </c>
      <c r="H947" s="2">
        <v>0</v>
      </c>
      <c r="I947" s="2">
        <v>1</v>
      </c>
      <c r="J947" s="2">
        <v>1</v>
      </c>
      <c r="K947" s="2">
        <v>0</v>
      </c>
      <c r="L947" s="2">
        <v>0</v>
      </c>
      <c r="M947" s="2" t="s">
        <v>34</v>
      </c>
      <c r="N947" s="2" t="s">
        <v>43</v>
      </c>
      <c r="O947" s="2" t="s">
        <v>44</v>
      </c>
      <c r="P947" s="2" t="s">
        <v>45</v>
      </c>
      <c r="Q947" s="2">
        <v>0</v>
      </c>
      <c r="R947" s="2">
        <v>0</v>
      </c>
      <c r="S947" s="2">
        <v>0</v>
      </c>
      <c r="T947" s="2" t="s">
        <v>57</v>
      </c>
      <c r="U947" s="2" t="s">
        <v>72</v>
      </c>
      <c r="V947" s="2">
        <v>1</v>
      </c>
      <c r="W947" s="2" t="s">
        <v>38</v>
      </c>
      <c r="X947" s="2">
        <v>240</v>
      </c>
      <c r="Y947" s="2"/>
      <c r="Z947" s="2">
        <v>0</v>
      </c>
      <c r="AA947" s="2" t="s">
        <v>51</v>
      </c>
      <c r="AB947" s="2">
        <v>105</v>
      </c>
      <c r="AC947" s="2">
        <v>0</v>
      </c>
      <c r="AD947" s="2">
        <v>1</v>
      </c>
      <c r="AE947" s="2" t="s">
        <v>40</v>
      </c>
      <c r="AF947" s="3">
        <v>42837</v>
      </c>
    </row>
    <row r="948" spans="1:32" x14ac:dyDescent="0.25">
      <c r="A948" s="2" t="s">
        <v>41</v>
      </c>
      <c r="B948" s="2">
        <v>0</v>
      </c>
      <c r="C948" s="2">
        <v>26</v>
      </c>
      <c r="D948" s="2">
        <v>2017</v>
      </c>
      <c r="E948" s="2" t="s">
        <v>54</v>
      </c>
      <c r="F948" s="2">
        <v>17</v>
      </c>
      <c r="G948" s="2">
        <v>29</v>
      </c>
      <c r="H948" s="2">
        <v>0</v>
      </c>
      <c r="I948" s="2">
        <v>1</v>
      </c>
      <c r="J948" s="2">
        <v>2</v>
      </c>
      <c r="K948" s="2">
        <v>0</v>
      </c>
      <c r="L948" s="2">
        <v>0</v>
      </c>
      <c r="M948" s="2" t="s">
        <v>55</v>
      </c>
      <c r="N948" s="2" t="s">
        <v>63</v>
      </c>
      <c r="O948" s="2" t="s">
        <v>44</v>
      </c>
      <c r="P948" s="2" t="s">
        <v>45</v>
      </c>
      <c r="Q948" s="2">
        <v>0</v>
      </c>
      <c r="R948" s="2">
        <v>0</v>
      </c>
      <c r="S948" s="2">
        <v>0</v>
      </c>
      <c r="T948" s="2" t="s">
        <v>46</v>
      </c>
      <c r="U948" s="2" t="s">
        <v>57</v>
      </c>
      <c r="V948" s="2">
        <v>0</v>
      </c>
      <c r="W948" s="2" t="s">
        <v>38</v>
      </c>
      <c r="X948" s="2">
        <v>9</v>
      </c>
      <c r="Y948" s="2"/>
      <c r="Z948" s="2">
        <v>0</v>
      </c>
      <c r="AA948" s="2" t="s">
        <v>39</v>
      </c>
      <c r="AB948" s="2">
        <v>115</v>
      </c>
      <c r="AC948" s="2">
        <v>0</v>
      </c>
      <c r="AD948" s="2">
        <v>1</v>
      </c>
      <c r="AE948" s="2" t="s">
        <v>40</v>
      </c>
      <c r="AF948" s="3">
        <v>42855</v>
      </c>
    </row>
    <row r="949" spans="1:32" x14ac:dyDescent="0.25">
      <c r="A949" s="2" t="s">
        <v>41</v>
      </c>
      <c r="B949" s="2">
        <v>0</v>
      </c>
      <c r="C949" s="2">
        <v>90</v>
      </c>
      <c r="D949" s="2">
        <v>2017</v>
      </c>
      <c r="E949" s="2" t="s">
        <v>69</v>
      </c>
      <c r="F949" s="2">
        <v>21</v>
      </c>
      <c r="G949" s="2">
        <v>21</v>
      </c>
      <c r="H949" s="2">
        <v>2</v>
      </c>
      <c r="I949" s="2">
        <v>1</v>
      </c>
      <c r="J949" s="2">
        <v>2</v>
      </c>
      <c r="K949" s="2">
        <v>0</v>
      </c>
      <c r="L949" s="2">
        <v>0</v>
      </c>
      <c r="M949" s="2" t="s">
        <v>34</v>
      </c>
      <c r="N949" s="2" t="s">
        <v>70</v>
      </c>
      <c r="O949" s="2" t="s">
        <v>36</v>
      </c>
      <c r="P949" s="2" t="s">
        <v>36</v>
      </c>
      <c r="Q949" s="2">
        <v>0</v>
      </c>
      <c r="R949" s="2">
        <v>0</v>
      </c>
      <c r="S949" s="2">
        <v>0</v>
      </c>
      <c r="T949" s="2" t="s">
        <v>46</v>
      </c>
      <c r="U949" s="2" t="s">
        <v>46</v>
      </c>
      <c r="V949" s="2">
        <v>0</v>
      </c>
      <c r="W949" s="2" t="s">
        <v>38</v>
      </c>
      <c r="X949" s="2">
        <v>14</v>
      </c>
      <c r="Y949" s="2"/>
      <c r="Z949" s="2">
        <v>0</v>
      </c>
      <c r="AA949" s="2" t="s">
        <v>39</v>
      </c>
      <c r="AB949" s="2">
        <v>117</v>
      </c>
      <c r="AC949" s="2">
        <v>0</v>
      </c>
      <c r="AD949" s="2">
        <v>1</v>
      </c>
      <c r="AE949" s="2" t="s">
        <v>40</v>
      </c>
      <c r="AF949" s="3">
        <v>42879</v>
      </c>
    </row>
    <row r="950" spans="1:32" x14ac:dyDescent="0.25">
      <c r="A950" s="2" t="s">
        <v>41</v>
      </c>
      <c r="B950" s="2">
        <v>1</v>
      </c>
      <c r="C950" s="2">
        <v>186</v>
      </c>
      <c r="D950" s="2">
        <v>2017</v>
      </c>
      <c r="E950" s="2" t="s">
        <v>69</v>
      </c>
      <c r="F950" s="2">
        <v>22</v>
      </c>
      <c r="G950" s="2">
        <v>30</v>
      </c>
      <c r="H950" s="2">
        <v>0</v>
      </c>
      <c r="I950" s="2">
        <v>2</v>
      </c>
      <c r="J950" s="2">
        <v>2</v>
      </c>
      <c r="K950" s="2">
        <v>0</v>
      </c>
      <c r="L950" s="2">
        <v>0</v>
      </c>
      <c r="M950" s="2" t="s">
        <v>34</v>
      </c>
      <c r="N950" s="2" t="s">
        <v>43</v>
      </c>
      <c r="O950" s="2" t="s">
        <v>64</v>
      </c>
      <c r="P950" s="2" t="s">
        <v>45</v>
      </c>
      <c r="Q950" s="2">
        <v>0</v>
      </c>
      <c r="R950" s="2">
        <v>0</v>
      </c>
      <c r="S950" s="2">
        <v>0</v>
      </c>
      <c r="T950" s="2" t="s">
        <v>46</v>
      </c>
      <c r="U950" s="2" t="s">
        <v>46</v>
      </c>
      <c r="V950" s="2">
        <v>0</v>
      </c>
      <c r="W950" s="2" t="s">
        <v>68</v>
      </c>
      <c r="X950" s="2">
        <v>19</v>
      </c>
      <c r="Y950" s="2"/>
      <c r="Z950" s="2">
        <v>0</v>
      </c>
      <c r="AA950" s="2" t="s">
        <v>39</v>
      </c>
      <c r="AB950" s="2">
        <v>130</v>
      </c>
      <c r="AC950" s="2">
        <v>0</v>
      </c>
      <c r="AD950" s="2">
        <v>0</v>
      </c>
      <c r="AE950" s="2" t="s">
        <v>47</v>
      </c>
      <c r="AF950" s="3">
        <v>42699</v>
      </c>
    </row>
    <row r="951" spans="1:32" x14ac:dyDescent="0.25">
      <c r="A951" s="2" t="s">
        <v>32</v>
      </c>
      <c r="B951" s="2">
        <v>0</v>
      </c>
      <c r="C951" s="2">
        <v>56</v>
      </c>
      <c r="D951" s="2">
        <v>2017</v>
      </c>
      <c r="E951" s="2" t="s">
        <v>69</v>
      </c>
      <c r="F951" s="2">
        <v>21</v>
      </c>
      <c r="G951" s="2">
        <v>24</v>
      </c>
      <c r="H951" s="2">
        <v>0</v>
      </c>
      <c r="I951" s="2">
        <v>1</v>
      </c>
      <c r="J951" s="2">
        <v>2</v>
      </c>
      <c r="K951" s="2">
        <v>0</v>
      </c>
      <c r="L951" s="2">
        <v>0</v>
      </c>
      <c r="M951" s="2" t="s">
        <v>34</v>
      </c>
      <c r="N951" s="2" t="s">
        <v>56</v>
      </c>
      <c r="O951" s="2" t="s">
        <v>49</v>
      </c>
      <c r="P951" s="2" t="s">
        <v>45</v>
      </c>
      <c r="Q951" s="2">
        <v>0</v>
      </c>
      <c r="R951" s="2">
        <v>0</v>
      </c>
      <c r="S951" s="2">
        <v>0</v>
      </c>
      <c r="T951" s="2" t="s">
        <v>57</v>
      </c>
      <c r="U951" s="2" t="s">
        <v>57</v>
      </c>
      <c r="V951" s="2">
        <v>0</v>
      </c>
      <c r="W951" s="2" t="s">
        <v>38</v>
      </c>
      <c r="X951" s="2"/>
      <c r="Y951" s="2">
        <v>251</v>
      </c>
      <c r="Z951" s="2">
        <v>0</v>
      </c>
      <c r="AA951" s="2" t="s">
        <v>39</v>
      </c>
      <c r="AB951" s="2">
        <v>62</v>
      </c>
      <c r="AC951" s="2">
        <v>0</v>
      </c>
      <c r="AD951" s="2">
        <v>0</v>
      </c>
      <c r="AE951" s="2" t="s">
        <v>40</v>
      </c>
      <c r="AF951" s="3">
        <v>42880</v>
      </c>
    </row>
    <row r="952" spans="1:32" x14ac:dyDescent="0.25">
      <c r="A952" s="2" t="s">
        <v>41</v>
      </c>
      <c r="B952" s="2">
        <v>1</v>
      </c>
      <c r="C952" s="2">
        <v>72</v>
      </c>
      <c r="D952" s="2">
        <v>2017</v>
      </c>
      <c r="E952" s="2" t="s">
        <v>67</v>
      </c>
      <c r="F952" s="2">
        <v>33</v>
      </c>
      <c r="G952" s="2">
        <v>17</v>
      </c>
      <c r="H952" s="2">
        <v>0</v>
      </c>
      <c r="I952" s="2">
        <v>3</v>
      </c>
      <c r="J952" s="2">
        <v>2</v>
      </c>
      <c r="K952" s="2">
        <v>1</v>
      </c>
      <c r="L952" s="2">
        <v>0</v>
      </c>
      <c r="M952" s="2" t="s">
        <v>34</v>
      </c>
      <c r="N952" s="2" t="s">
        <v>70</v>
      </c>
      <c r="O952" s="2" t="s">
        <v>36</v>
      </c>
      <c r="P952" s="2" t="s">
        <v>36</v>
      </c>
      <c r="Q952" s="2">
        <v>0</v>
      </c>
      <c r="R952" s="2">
        <v>0</v>
      </c>
      <c r="S952" s="2">
        <v>0</v>
      </c>
      <c r="T952" s="2" t="s">
        <v>86</v>
      </c>
      <c r="U952" s="2" t="s">
        <v>86</v>
      </c>
      <c r="V952" s="2">
        <v>0</v>
      </c>
      <c r="W952" s="2" t="s">
        <v>38</v>
      </c>
      <c r="X952" s="2">
        <v>14</v>
      </c>
      <c r="Y952" s="2"/>
      <c r="Z952" s="2">
        <v>0</v>
      </c>
      <c r="AA952" s="2" t="s">
        <v>39</v>
      </c>
      <c r="AB952" s="2">
        <v>138.02000000000001</v>
      </c>
      <c r="AC952" s="2">
        <v>0</v>
      </c>
      <c r="AD952" s="2">
        <v>2</v>
      </c>
      <c r="AE952" s="2" t="s">
        <v>47</v>
      </c>
      <c r="AF952" s="3">
        <v>42892</v>
      </c>
    </row>
    <row r="953" spans="1:32" x14ac:dyDescent="0.25">
      <c r="A953" s="2" t="s">
        <v>41</v>
      </c>
      <c r="B953" s="2">
        <v>1</v>
      </c>
      <c r="C953" s="2">
        <v>161</v>
      </c>
      <c r="D953" s="2">
        <v>2017</v>
      </c>
      <c r="E953" s="2" t="s">
        <v>69</v>
      </c>
      <c r="F953" s="2">
        <v>18</v>
      </c>
      <c r="G953" s="2">
        <v>5</v>
      </c>
      <c r="H953" s="2">
        <v>0</v>
      </c>
      <c r="I953" s="2">
        <v>2</v>
      </c>
      <c r="J953" s="2">
        <v>2</v>
      </c>
      <c r="K953" s="2">
        <v>0</v>
      </c>
      <c r="L953" s="2">
        <v>0</v>
      </c>
      <c r="M953" s="2" t="s">
        <v>34</v>
      </c>
      <c r="N953" s="2" t="s">
        <v>43</v>
      </c>
      <c r="O953" s="2" t="s">
        <v>64</v>
      </c>
      <c r="P953" s="2" t="s">
        <v>45</v>
      </c>
      <c r="Q953" s="2">
        <v>0</v>
      </c>
      <c r="R953" s="2">
        <v>0</v>
      </c>
      <c r="S953" s="2">
        <v>0</v>
      </c>
      <c r="T953" s="2" t="s">
        <v>46</v>
      </c>
      <c r="U953" s="2" t="s">
        <v>46</v>
      </c>
      <c r="V953" s="2">
        <v>0</v>
      </c>
      <c r="W953" s="2" t="s">
        <v>68</v>
      </c>
      <c r="X953" s="2">
        <v>30</v>
      </c>
      <c r="Y953" s="2"/>
      <c r="Z953" s="2">
        <v>0</v>
      </c>
      <c r="AA953" s="2" t="s">
        <v>39</v>
      </c>
      <c r="AB953" s="2">
        <v>120</v>
      </c>
      <c r="AC953" s="2">
        <v>0</v>
      </c>
      <c r="AD953" s="2">
        <v>0</v>
      </c>
      <c r="AE953" s="2" t="s">
        <v>47</v>
      </c>
      <c r="AF953" s="3">
        <v>42699</v>
      </c>
    </row>
    <row r="954" spans="1:32" x14ac:dyDescent="0.25">
      <c r="A954" s="2" t="s">
        <v>32</v>
      </c>
      <c r="B954" s="2">
        <v>0</v>
      </c>
      <c r="C954" s="2">
        <v>217</v>
      </c>
      <c r="D954" s="2">
        <v>2017</v>
      </c>
      <c r="E954" s="2" t="s">
        <v>67</v>
      </c>
      <c r="F954" s="2">
        <v>35</v>
      </c>
      <c r="G954" s="2">
        <v>29</v>
      </c>
      <c r="H954" s="2">
        <v>0</v>
      </c>
      <c r="I954" s="2">
        <v>4</v>
      </c>
      <c r="J954" s="2">
        <v>2</v>
      </c>
      <c r="K954" s="2">
        <v>0</v>
      </c>
      <c r="L954" s="2">
        <v>0</v>
      </c>
      <c r="M954" s="2" t="s">
        <v>34</v>
      </c>
      <c r="N954" s="2" t="s">
        <v>99</v>
      </c>
      <c r="O954" s="2" t="s">
        <v>49</v>
      </c>
      <c r="P954" s="2" t="s">
        <v>45</v>
      </c>
      <c r="Q954" s="2">
        <v>0</v>
      </c>
      <c r="R954" s="2">
        <v>0</v>
      </c>
      <c r="S954" s="2">
        <v>0</v>
      </c>
      <c r="T954" s="2" t="s">
        <v>46</v>
      </c>
      <c r="U954" s="2" t="s">
        <v>46</v>
      </c>
      <c r="V954" s="2">
        <v>2</v>
      </c>
      <c r="W954" s="2" t="s">
        <v>38</v>
      </c>
      <c r="X954" s="2">
        <v>410</v>
      </c>
      <c r="Y954" s="2"/>
      <c r="Z954" s="2">
        <v>0</v>
      </c>
      <c r="AA954" s="2" t="s">
        <v>39</v>
      </c>
      <c r="AB954" s="2">
        <v>106.35</v>
      </c>
      <c r="AC954" s="2">
        <v>0</v>
      </c>
      <c r="AD954" s="2">
        <v>1</v>
      </c>
      <c r="AE954" s="2" t="s">
        <v>40</v>
      </c>
      <c r="AF954" s="3">
        <v>42980</v>
      </c>
    </row>
    <row r="955" spans="1:32" x14ac:dyDescent="0.25">
      <c r="A955" s="2" t="s">
        <v>32</v>
      </c>
      <c r="B955" s="2">
        <v>0</v>
      </c>
      <c r="C955" s="2">
        <v>73</v>
      </c>
      <c r="D955" s="2">
        <v>2017</v>
      </c>
      <c r="E955" s="2" t="s">
        <v>66</v>
      </c>
      <c r="F955" s="2">
        <v>7</v>
      </c>
      <c r="G955" s="2">
        <v>17</v>
      </c>
      <c r="H955" s="2">
        <v>1</v>
      </c>
      <c r="I955" s="2">
        <v>2</v>
      </c>
      <c r="J955" s="2">
        <v>2</v>
      </c>
      <c r="K955" s="2">
        <v>0</v>
      </c>
      <c r="L955" s="2">
        <v>0</v>
      </c>
      <c r="M955" s="2" t="s">
        <v>34</v>
      </c>
      <c r="N955" s="2" t="s">
        <v>35</v>
      </c>
      <c r="O955" s="2" t="s">
        <v>76</v>
      </c>
      <c r="P955" s="2" t="s">
        <v>76</v>
      </c>
      <c r="Q955" s="2">
        <v>0</v>
      </c>
      <c r="R955" s="2">
        <v>0</v>
      </c>
      <c r="S955" s="2">
        <v>0</v>
      </c>
      <c r="T955" s="2" t="s">
        <v>46</v>
      </c>
      <c r="U955" s="2" t="s">
        <v>46</v>
      </c>
      <c r="V955" s="2">
        <v>0</v>
      </c>
      <c r="W955" s="2" t="s">
        <v>38</v>
      </c>
      <c r="X955" s="2"/>
      <c r="Y955" s="2">
        <v>498</v>
      </c>
      <c r="Z955" s="2">
        <v>0</v>
      </c>
      <c r="AA955" s="2" t="s">
        <v>51</v>
      </c>
      <c r="AB955" s="2">
        <v>40</v>
      </c>
      <c r="AC955" s="2">
        <v>0</v>
      </c>
      <c r="AD955" s="2">
        <v>0</v>
      </c>
      <c r="AE955" s="2" t="s">
        <v>40</v>
      </c>
      <c r="AF955" s="3">
        <v>42786</v>
      </c>
    </row>
    <row r="956" spans="1:32" x14ac:dyDescent="0.25">
      <c r="A956" s="2" t="s">
        <v>32</v>
      </c>
      <c r="B956" s="2">
        <v>1</v>
      </c>
      <c r="C956" s="2">
        <v>126</v>
      </c>
      <c r="D956" s="2">
        <v>2017</v>
      </c>
      <c r="E956" s="2" t="s">
        <v>83</v>
      </c>
      <c r="F956" s="2">
        <v>25</v>
      </c>
      <c r="G956" s="2">
        <v>20</v>
      </c>
      <c r="H956" s="2">
        <v>0</v>
      </c>
      <c r="I956" s="2">
        <v>4</v>
      </c>
      <c r="J956" s="2">
        <v>2</v>
      </c>
      <c r="K956" s="2">
        <v>0</v>
      </c>
      <c r="L956" s="2">
        <v>0</v>
      </c>
      <c r="M956" s="2" t="s">
        <v>34</v>
      </c>
      <c r="N956" s="2" t="s">
        <v>43</v>
      </c>
      <c r="O956" s="2" t="s">
        <v>49</v>
      </c>
      <c r="P956" s="2" t="s">
        <v>45</v>
      </c>
      <c r="Q956" s="2">
        <v>0</v>
      </c>
      <c r="R956" s="2">
        <v>0</v>
      </c>
      <c r="S956" s="2">
        <v>0</v>
      </c>
      <c r="T956" s="2" t="s">
        <v>46</v>
      </c>
      <c r="U956" s="2" t="s">
        <v>46</v>
      </c>
      <c r="V956" s="2">
        <v>0</v>
      </c>
      <c r="W956" s="2" t="s">
        <v>38</v>
      </c>
      <c r="X956" s="2">
        <v>410</v>
      </c>
      <c r="Y956" s="2"/>
      <c r="Z956" s="2">
        <v>0</v>
      </c>
      <c r="AA956" s="2" t="s">
        <v>39</v>
      </c>
      <c r="AB956" s="2">
        <v>63</v>
      </c>
      <c r="AC956" s="2">
        <v>0</v>
      </c>
      <c r="AD956" s="2">
        <v>0</v>
      </c>
      <c r="AE956" s="2" t="s">
        <v>47</v>
      </c>
      <c r="AF956" s="3">
        <v>42780</v>
      </c>
    </row>
    <row r="957" spans="1:32" x14ac:dyDescent="0.25">
      <c r="A957" s="2" t="s">
        <v>41</v>
      </c>
      <c r="B957" s="2">
        <v>1</v>
      </c>
      <c r="C957" s="2">
        <v>226</v>
      </c>
      <c r="D957" s="2">
        <v>2017</v>
      </c>
      <c r="E957" s="2" t="s">
        <v>83</v>
      </c>
      <c r="F957" s="2">
        <v>24</v>
      </c>
      <c r="G957" s="2">
        <v>16</v>
      </c>
      <c r="H957" s="2">
        <v>1</v>
      </c>
      <c r="I957" s="2">
        <v>2</v>
      </c>
      <c r="J957" s="2">
        <v>2</v>
      </c>
      <c r="K957" s="2">
        <v>0</v>
      </c>
      <c r="L957" s="2">
        <v>0</v>
      </c>
      <c r="M957" s="2" t="s">
        <v>34</v>
      </c>
      <c r="N957" s="2" t="s">
        <v>43</v>
      </c>
      <c r="O957" s="2" t="s">
        <v>49</v>
      </c>
      <c r="P957" s="2" t="s">
        <v>45</v>
      </c>
      <c r="Q957" s="2">
        <v>0</v>
      </c>
      <c r="R957" s="2">
        <v>0</v>
      </c>
      <c r="S957" s="2">
        <v>0</v>
      </c>
      <c r="T957" s="2" t="s">
        <v>46</v>
      </c>
      <c r="U957" s="2" t="s">
        <v>46</v>
      </c>
      <c r="V957" s="2">
        <v>0</v>
      </c>
      <c r="W957" s="2" t="s">
        <v>68</v>
      </c>
      <c r="X957" s="2">
        <v>20</v>
      </c>
      <c r="Y957" s="2"/>
      <c r="Z957" s="2">
        <v>0</v>
      </c>
      <c r="AA957" s="2" t="s">
        <v>39</v>
      </c>
      <c r="AB957" s="2">
        <v>105</v>
      </c>
      <c r="AC957" s="2">
        <v>0</v>
      </c>
      <c r="AD957" s="2">
        <v>0</v>
      </c>
      <c r="AE957" s="2" t="s">
        <v>47</v>
      </c>
      <c r="AF957" s="3">
        <v>42846</v>
      </c>
    </row>
    <row r="958" spans="1:32" x14ac:dyDescent="0.25">
      <c r="A958" s="2" t="s">
        <v>32</v>
      </c>
      <c r="B958" s="2">
        <v>0</v>
      </c>
      <c r="C958" s="2">
        <v>63</v>
      </c>
      <c r="D958" s="2">
        <v>2017</v>
      </c>
      <c r="E958" s="2" t="s">
        <v>54</v>
      </c>
      <c r="F958" s="2">
        <v>15</v>
      </c>
      <c r="G958" s="2">
        <v>10</v>
      </c>
      <c r="H958" s="2">
        <v>1</v>
      </c>
      <c r="I958" s="2">
        <v>2</v>
      </c>
      <c r="J958" s="2">
        <v>1</v>
      </c>
      <c r="K958" s="2">
        <v>0</v>
      </c>
      <c r="L958" s="2">
        <v>0</v>
      </c>
      <c r="M958" s="2" t="s">
        <v>60</v>
      </c>
      <c r="N958" s="2" t="s">
        <v>35</v>
      </c>
      <c r="O958" s="2" t="s">
        <v>49</v>
      </c>
      <c r="P958" s="2" t="s">
        <v>45</v>
      </c>
      <c r="Q958" s="2">
        <v>0</v>
      </c>
      <c r="R958" s="2">
        <v>0</v>
      </c>
      <c r="S958" s="2">
        <v>0</v>
      </c>
      <c r="T958" s="2" t="s">
        <v>46</v>
      </c>
      <c r="U958" s="2" t="s">
        <v>46</v>
      </c>
      <c r="V958" s="2">
        <v>0</v>
      </c>
      <c r="W958" s="2" t="s">
        <v>38</v>
      </c>
      <c r="X958" s="2">
        <v>40</v>
      </c>
      <c r="Y958" s="2"/>
      <c r="Z958" s="2">
        <v>0</v>
      </c>
      <c r="AA958" s="2" t="s">
        <v>73</v>
      </c>
      <c r="AB958" s="2">
        <v>63.95</v>
      </c>
      <c r="AC958" s="2">
        <v>0</v>
      </c>
      <c r="AD958" s="2">
        <v>0</v>
      </c>
      <c r="AE958" s="2" t="s">
        <v>40</v>
      </c>
      <c r="AF958" s="3">
        <v>42838</v>
      </c>
    </row>
    <row r="959" spans="1:32" x14ac:dyDescent="0.25">
      <c r="A959" s="2" t="s">
        <v>41</v>
      </c>
      <c r="B959" s="2">
        <v>1</v>
      </c>
      <c r="C959" s="2">
        <v>87</v>
      </c>
      <c r="D959" s="2">
        <v>2017</v>
      </c>
      <c r="E959" s="2" t="s">
        <v>54</v>
      </c>
      <c r="F959" s="2">
        <v>15</v>
      </c>
      <c r="G959" s="2">
        <v>15</v>
      </c>
      <c r="H959" s="2">
        <v>2</v>
      </c>
      <c r="I959" s="2">
        <v>2</v>
      </c>
      <c r="J959" s="2">
        <v>2</v>
      </c>
      <c r="K959" s="2">
        <v>0</v>
      </c>
      <c r="L959" s="2">
        <v>0</v>
      </c>
      <c r="M959" s="2" t="s">
        <v>34</v>
      </c>
      <c r="N959" s="2" t="s">
        <v>43</v>
      </c>
      <c r="O959" s="2" t="s">
        <v>64</v>
      </c>
      <c r="P959" s="2" t="s">
        <v>45</v>
      </c>
      <c r="Q959" s="2">
        <v>0</v>
      </c>
      <c r="R959" s="2">
        <v>0</v>
      </c>
      <c r="S959" s="2">
        <v>0</v>
      </c>
      <c r="T959" s="2" t="s">
        <v>46</v>
      </c>
      <c r="U959" s="2" t="s">
        <v>46</v>
      </c>
      <c r="V959" s="2">
        <v>0</v>
      </c>
      <c r="W959" s="2" t="s">
        <v>68</v>
      </c>
      <c r="X959" s="2">
        <v>1</v>
      </c>
      <c r="Y959" s="2"/>
      <c r="Z959" s="2">
        <v>0</v>
      </c>
      <c r="AA959" s="2" t="s">
        <v>39</v>
      </c>
      <c r="AB959" s="2">
        <v>95</v>
      </c>
      <c r="AC959" s="2">
        <v>0</v>
      </c>
      <c r="AD959" s="2">
        <v>0</v>
      </c>
      <c r="AE959" s="2" t="s">
        <v>47</v>
      </c>
      <c r="AF959" s="3">
        <v>42753</v>
      </c>
    </row>
    <row r="960" spans="1:32" x14ac:dyDescent="0.25">
      <c r="A960" s="2" t="s">
        <v>41</v>
      </c>
      <c r="B960" s="2">
        <v>0</v>
      </c>
      <c r="C960" s="2">
        <v>21</v>
      </c>
      <c r="D960" s="2">
        <v>2017</v>
      </c>
      <c r="E960" s="2" t="s">
        <v>66</v>
      </c>
      <c r="F960" s="2">
        <v>8</v>
      </c>
      <c r="G960" s="2">
        <v>20</v>
      </c>
      <c r="H960" s="2">
        <v>1</v>
      </c>
      <c r="I960" s="2">
        <v>1</v>
      </c>
      <c r="J960" s="2">
        <v>2</v>
      </c>
      <c r="K960" s="2">
        <v>0</v>
      </c>
      <c r="L960" s="2">
        <v>0</v>
      </c>
      <c r="M960" s="2" t="s">
        <v>55</v>
      </c>
      <c r="N960" s="2" t="s">
        <v>70</v>
      </c>
      <c r="O960" s="2" t="s">
        <v>44</v>
      </c>
      <c r="P960" s="2" t="s">
        <v>45</v>
      </c>
      <c r="Q960" s="2">
        <v>0</v>
      </c>
      <c r="R960" s="2">
        <v>0</v>
      </c>
      <c r="S960" s="2">
        <v>0</v>
      </c>
      <c r="T960" s="2" t="s">
        <v>46</v>
      </c>
      <c r="U960" s="2" t="s">
        <v>46</v>
      </c>
      <c r="V960" s="2">
        <v>0</v>
      </c>
      <c r="W960" s="2" t="s">
        <v>38</v>
      </c>
      <c r="X960" s="2">
        <v>9</v>
      </c>
      <c r="Y960" s="2"/>
      <c r="Z960" s="2">
        <v>0</v>
      </c>
      <c r="AA960" s="2" t="s">
        <v>39</v>
      </c>
      <c r="AB960" s="2">
        <v>80</v>
      </c>
      <c r="AC960" s="2">
        <v>0</v>
      </c>
      <c r="AD960" s="2">
        <v>0</v>
      </c>
      <c r="AE960" s="2" t="s">
        <v>40</v>
      </c>
      <c r="AF960" s="3">
        <v>42788</v>
      </c>
    </row>
    <row r="961" spans="1:32" x14ac:dyDescent="0.25">
      <c r="A961" s="2" t="s">
        <v>41</v>
      </c>
      <c r="B961" s="2">
        <v>1</v>
      </c>
      <c r="C961" s="2">
        <v>169</v>
      </c>
      <c r="D961" s="2">
        <v>2017</v>
      </c>
      <c r="E961" s="2" t="s">
        <v>54</v>
      </c>
      <c r="F961" s="2">
        <v>16</v>
      </c>
      <c r="G961" s="2">
        <v>21</v>
      </c>
      <c r="H961" s="2">
        <v>2</v>
      </c>
      <c r="I961" s="2">
        <v>3</v>
      </c>
      <c r="J961" s="2">
        <v>2</v>
      </c>
      <c r="K961" s="2">
        <v>1</v>
      </c>
      <c r="L961" s="2">
        <v>0</v>
      </c>
      <c r="M961" s="2" t="s">
        <v>34</v>
      </c>
      <c r="N961" s="2" t="s">
        <v>70</v>
      </c>
      <c r="O961" s="2" t="s">
        <v>44</v>
      </c>
      <c r="P961" s="2" t="s">
        <v>45</v>
      </c>
      <c r="Q961" s="2">
        <v>0</v>
      </c>
      <c r="R961" s="2">
        <v>0</v>
      </c>
      <c r="S961" s="2">
        <v>0</v>
      </c>
      <c r="T961" s="2" t="s">
        <v>46</v>
      </c>
      <c r="U961" s="2" t="s">
        <v>46</v>
      </c>
      <c r="V961" s="2">
        <v>0</v>
      </c>
      <c r="W961" s="2" t="s">
        <v>38</v>
      </c>
      <c r="X961" s="2">
        <v>9</v>
      </c>
      <c r="Y961" s="2"/>
      <c r="Z961" s="2">
        <v>0</v>
      </c>
      <c r="AA961" s="2" t="s">
        <v>39</v>
      </c>
      <c r="AB961" s="2">
        <v>117</v>
      </c>
      <c r="AC961" s="2">
        <v>0</v>
      </c>
      <c r="AD961" s="2">
        <v>1</v>
      </c>
      <c r="AE961" s="2" t="s">
        <v>47</v>
      </c>
      <c r="AF961" s="3">
        <v>42682</v>
      </c>
    </row>
    <row r="962" spans="1:32" x14ac:dyDescent="0.25">
      <c r="A962" s="2" t="s">
        <v>32</v>
      </c>
      <c r="B962" s="2">
        <v>1</v>
      </c>
      <c r="C962" s="2">
        <v>95</v>
      </c>
      <c r="D962" s="2">
        <v>2017</v>
      </c>
      <c r="E962" s="2" t="s">
        <v>54</v>
      </c>
      <c r="F962" s="2">
        <v>14</v>
      </c>
      <c r="G962" s="2">
        <v>8</v>
      </c>
      <c r="H962" s="2">
        <v>2</v>
      </c>
      <c r="I962" s="2">
        <v>3</v>
      </c>
      <c r="J962" s="2">
        <v>3</v>
      </c>
      <c r="K962" s="2">
        <v>1</v>
      </c>
      <c r="L962" s="2">
        <v>0</v>
      </c>
      <c r="M962" s="2" t="s">
        <v>34</v>
      </c>
      <c r="N962" s="2" t="s">
        <v>43</v>
      </c>
      <c r="O962" s="2" t="s">
        <v>44</v>
      </c>
      <c r="P962" s="2" t="s">
        <v>45</v>
      </c>
      <c r="Q962" s="2">
        <v>0</v>
      </c>
      <c r="R962" s="2">
        <v>0</v>
      </c>
      <c r="S962" s="2">
        <v>0</v>
      </c>
      <c r="T962" s="2" t="s">
        <v>92</v>
      </c>
      <c r="U962" s="2" t="s">
        <v>92</v>
      </c>
      <c r="V962" s="2">
        <v>0</v>
      </c>
      <c r="W962" s="2" t="s">
        <v>38</v>
      </c>
      <c r="X962" s="2">
        <v>240</v>
      </c>
      <c r="Y962" s="2"/>
      <c r="Z962" s="2">
        <v>0</v>
      </c>
      <c r="AA962" s="2" t="s">
        <v>39</v>
      </c>
      <c r="AB962" s="2">
        <v>150</v>
      </c>
      <c r="AC962" s="2">
        <v>0</v>
      </c>
      <c r="AD962" s="2">
        <v>0</v>
      </c>
      <c r="AE962" s="2" t="s">
        <v>47</v>
      </c>
      <c r="AF962" s="3">
        <v>42754</v>
      </c>
    </row>
    <row r="963" spans="1:32" x14ac:dyDescent="0.25">
      <c r="A963" s="2" t="s">
        <v>41</v>
      </c>
      <c r="B963" s="2">
        <v>0</v>
      </c>
      <c r="C963" s="2">
        <v>27</v>
      </c>
      <c r="D963" s="2">
        <v>2017</v>
      </c>
      <c r="E963" s="2" t="s">
        <v>66</v>
      </c>
      <c r="F963" s="2">
        <v>6</v>
      </c>
      <c r="G963" s="2">
        <v>5</v>
      </c>
      <c r="H963" s="2">
        <v>2</v>
      </c>
      <c r="I963" s="2">
        <v>2</v>
      </c>
      <c r="J963" s="2">
        <v>1</v>
      </c>
      <c r="K963" s="2">
        <v>0</v>
      </c>
      <c r="L963" s="2">
        <v>0</v>
      </c>
      <c r="M963" s="2" t="s">
        <v>34</v>
      </c>
      <c r="N963" s="2" t="s">
        <v>110</v>
      </c>
      <c r="O963" s="2" t="s">
        <v>44</v>
      </c>
      <c r="P963" s="2" t="s">
        <v>45</v>
      </c>
      <c r="Q963" s="2">
        <v>0</v>
      </c>
      <c r="R963" s="2">
        <v>0</v>
      </c>
      <c r="S963" s="2">
        <v>0</v>
      </c>
      <c r="T963" s="2" t="s">
        <v>46</v>
      </c>
      <c r="U963" s="2" t="s">
        <v>46</v>
      </c>
      <c r="V963" s="2">
        <v>0</v>
      </c>
      <c r="W963" s="2" t="s">
        <v>38</v>
      </c>
      <c r="X963" s="2">
        <v>9</v>
      </c>
      <c r="Y963" s="2"/>
      <c r="Z963" s="2">
        <v>0</v>
      </c>
      <c r="AA963" s="2" t="s">
        <v>39</v>
      </c>
      <c r="AB963" s="2">
        <v>68</v>
      </c>
      <c r="AC963" s="2">
        <v>0</v>
      </c>
      <c r="AD963" s="2">
        <v>1</v>
      </c>
      <c r="AE963" s="2" t="s">
        <v>40</v>
      </c>
      <c r="AF963" s="3">
        <v>42775</v>
      </c>
    </row>
    <row r="964" spans="1:32" x14ac:dyDescent="0.25">
      <c r="A964" s="2" t="s">
        <v>41</v>
      </c>
      <c r="B964" s="2">
        <v>0</v>
      </c>
      <c r="C964" s="2">
        <v>14</v>
      </c>
      <c r="D964" s="2">
        <v>2017</v>
      </c>
      <c r="E964" s="2" t="s">
        <v>69</v>
      </c>
      <c r="F964" s="2">
        <v>18</v>
      </c>
      <c r="G964" s="2">
        <v>2</v>
      </c>
      <c r="H964" s="2">
        <v>0</v>
      </c>
      <c r="I964" s="2">
        <v>4</v>
      </c>
      <c r="J964" s="2">
        <v>2</v>
      </c>
      <c r="K964" s="2">
        <v>0</v>
      </c>
      <c r="L964" s="2">
        <v>0</v>
      </c>
      <c r="M964" s="2" t="s">
        <v>55</v>
      </c>
      <c r="N964" s="2" t="s">
        <v>106</v>
      </c>
      <c r="O964" s="2" t="s">
        <v>44</v>
      </c>
      <c r="P964" s="2" t="s">
        <v>45</v>
      </c>
      <c r="Q964" s="2">
        <v>0</v>
      </c>
      <c r="R964" s="2">
        <v>0</v>
      </c>
      <c r="S964" s="2">
        <v>0</v>
      </c>
      <c r="T964" s="2" t="s">
        <v>46</v>
      </c>
      <c r="U964" s="2" t="s">
        <v>46</v>
      </c>
      <c r="V964" s="2">
        <v>0</v>
      </c>
      <c r="W964" s="2" t="s">
        <v>38</v>
      </c>
      <c r="X964" s="2">
        <v>9</v>
      </c>
      <c r="Y964" s="2"/>
      <c r="Z964" s="2">
        <v>0</v>
      </c>
      <c r="AA964" s="2" t="s">
        <v>39</v>
      </c>
      <c r="AB964" s="2">
        <v>127.5</v>
      </c>
      <c r="AC964" s="2">
        <v>0</v>
      </c>
      <c r="AD964" s="2">
        <v>1</v>
      </c>
      <c r="AE964" s="2" t="s">
        <v>40</v>
      </c>
      <c r="AF964" s="3">
        <v>42861</v>
      </c>
    </row>
    <row r="965" spans="1:32" x14ac:dyDescent="0.25">
      <c r="A965" s="2" t="s">
        <v>32</v>
      </c>
      <c r="B965" s="2">
        <v>0</v>
      </c>
      <c r="C965" s="2">
        <v>0</v>
      </c>
      <c r="D965" s="2">
        <v>2017</v>
      </c>
      <c r="E965" s="2" t="s">
        <v>42</v>
      </c>
      <c r="F965" s="2">
        <v>28</v>
      </c>
      <c r="G965" s="2">
        <v>12</v>
      </c>
      <c r="H965" s="2">
        <v>0</v>
      </c>
      <c r="I965" s="2">
        <v>1</v>
      </c>
      <c r="J965" s="2">
        <v>2</v>
      </c>
      <c r="K965" s="2">
        <v>0</v>
      </c>
      <c r="L965" s="2">
        <v>0</v>
      </c>
      <c r="M965" s="2" t="s">
        <v>34</v>
      </c>
      <c r="N965" s="2" t="s">
        <v>43</v>
      </c>
      <c r="O965" s="2" t="s">
        <v>44</v>
      </c>
      <c r="P965" s="2" t="s">
        <v>45</v>
      </c>
      <c r="Q965" s="2">
        <v>0</v>
      </c>
      <c r="R965" s="2">
        <v>0</v>
      </c>
      <c r="S965" s="2">
        <v>0</v>
      </c>
      <c r="T965" s="2" t="s">
        <v>46</v>
      </c>
      <c r="U965" s="2" t="s">
        <v>46</v>
      </c>
      <c r="V965" s="2">
        <v>1</v>
      </c>
      <c r="W965" s="2" t="s">
        <v>38</v>
      </c>
      <c r="X965" s="2">
        <v>240</v>
      </c>
      <c r="Y965" s="2"/>
      <c r="Z965" s="2">
        <v>0</v>
      </c>
      <c r="AA965" s="2" t="s">
        <v>39</v>
      </c>
      <c r="AB965" s="2">
        <v>8</v>
      </c>
      <c r="AC965" s="2">
        <v>0</v>
      </c>
      <c r="AD965" s="2">
        <v>0</v>
      </c>
      <c r="AE965" s="2" t="s">
        <v>40</v>
      </c>
      <c r="AF965" s="3">
        <v>42929</v>
      </c>
    </row>
    <row r="966" spans="1:32" x14ac:dyDescent="0.25">
      <c r="A966" s="2" t="s">
        <v>41</v>
      </c>
      <c r="B966" s="2">
        <v>1</v>
      </c>
      <c r="C966" s="2">
        <v>46</v>
      </c>
      <c r="D966" s="2">
        <v>2017</v>
      </c>
      <c r="E966" s="2" t="s">
        <v>52</v>
      </c>
      <c r="F966" s="2">
        <v>13</v>
      </c>
      <c r="G966" s="2">
        <v>27</v>
      </c>
      <c r="H966" s="2">
        <v>1</v>
      </c>
      <c r="I966" s="2">
        <v>2</v>
      </c>
      <c r="J966" s="2">
        <v>2</v>
      </c>
      <c r="K966" s="2">
        <v>0</v>
      </c>
      <c r="L966" s="2">
        <v>0</v>
      </c>
      <c r="M966" s="2" t="s">
        <v>34</v>
      </c>
      <c r="N966" s="2" t="s">
        <v>95</v>
      </c>
      <c r="O966" s="2" t="s">
        <v>44</v>
      </c>
      <c r="P966" s="2" t="s">
        <v>45</v>
      </c>
      <c r="Q966" s="2">
        <v>0</v>
      </c>
      <c r="R966" s="2">
        <v>0</v>
      </c>
      <c r="S966" s="2">
        <v>0</v>
      </c>
      <c r="T966" s="2" t="s">
        <v>46</v>
      </c>
      <c r="U966" s="2" t="s">
        <v>46</v>
      </c>
      <c r="V966" s="2">
        <v>0</v>
      </c>
      <c r="W966" s="2" t="s">
        <v>38</v>
      </c>
      <c r="X966" s="2">
        <v>9</v>
      </c>
      <c r="Y966" s="2"/>
      <c r="Z966" s="2">
        <v>0</v>
      </c>
      <c r="AA966" s="2" t="s">
        <v>39</v>
      </c>
      <c r="AB966" s="2">
        <v>106.2</v>
      </c>
      <c r="AC966" s="2">
        <v>0</v>
      </c>
      <c r="AD966" s="2">
        <v>0</v>
      </c>
      <c r="AE966" s="2" t="s">
        <v>47</v>
      </c>
      <c r="AF966" s="3">
        <v>42776</v>
      </c>
    </row>
    <row r="967" spans="1:32" x14ac:dyDescent="0.25">
      <c r="A967" s="2" t="s">
        <v>41</v>
      </c>
      <c r="B967" s="2">
        <v>0</v>
      </c>
      <c r="C967" s="2">
        <v>263</v>
      </c>
      <c r="D967" s="2">
        <v>2017</v>
      </c>
      <c r="E967" s="2" t="s">
        <v>83</v>
      </c>
      <c r="F967" s="2">
        <v>25</v>
      </c>
      <c r="G967" s="2">
        <v>23</v>
      </c>
      <c r="H967" s="2">
        <v>2</v>
      </c>
      <c r="I967" s="2">
        <v>2</v>
      </c>
      <c r="J967" s="2">
        <v>2</v>
      </c>
      <c r="K967" s="2">
        <v>0</v>
      </c>
      <c r="L967" s="2">
        <v>0</v>
      </c>
      <c r="M967" s="2" t="s">
        <v>34</v>
      </c>
      <c r="N967" s="2" t="s">
        <v>43</v>
      </c>
      <c r="O967" s="2" t="s">
        <v>64</v>
      </c>
      <c r="P967" s="2" t="s">
        <v>45</v>
      </c>
      <c r="Q967" s="2">
        <v>0</v>
      </c>
      <c r="R967" s="2">
        <v>0</v>
      </c>
      <c r="S967" s="2">
        <v>0</v>
      </c>
      <c r="T967" s="2" t="s">
        <v>46</v>
      </c>
      <c r="U967" s="2" t="s">
        <v>46</v>
      </c>
      <c r="V967" s="2">
        <v>0</v>
      </c>
      <c r="W967" s="2" t="s">
        <v>38</v>
      </c>
      <c r="X967" s="2">
        <v>37</v>
      </c>
      <c r="Y967" s="2"/>
      <c r="Z967" s="2">
        <v>0</v>
      </c>
      <c r="AA967" s="2" t="s">
        <v>51</v>
      </c>
      <c r="AB967" s="2">
        <v>105</v>
      </c>
      <c r="AC967" s="2">
        <v>0</v>
      </c>
      <c r="AD967" s="2">
        <v>1</v>
      </c>
      <c r="AE967" s="2" t="s">
        <v>40</v>
      </c>
      <c r="AF967" s="3">
        <v>42913</v>
      </c>
    </row>
    <row r="968" spans="1:32" x14ac:dyDescent="0.25">
      <c r="A968" s="2" t="s">
        <v>41</v>
      </c>
      <c r="B968" s="2">
        <v>1</v>
      </c>
      <c r="C968" s="2">
        <v>112</v>
      </c>
      <c r="D968" s="2">
        <v>2017</v>
      </c>
      <c r="E968" s="2" t="s">
        <v>54</v>
      </c>
      <c r="F968" s="2">
        <v>15</v>
      </c>
      <c r="G968" s="2">
        <v>12</v>
      </c>
      <c r="H968" s="2">
        <v>0</v>
      </c>
      <c r="I968" s="2">
        <v>3</v>
      </c>
      <c r="J968" s="2">
        <v>3</v>
      </c>
      <c r="K968" s="2">
        <v>0</v>
      </c>
      <c r="L968" s="2">
        <v>0</v>
      </c>
      <c r="M968" s="2" t="s">
        <v>34</v>
      </c>
      <c r="N968" s="2" t="s">
        <v>56</v>
      </c>
      <c r="O968" s="2" t="s">
        <v>44</v>
      </c>
      <c r="P968" s="2" t="s">
        <v>45</v>
      </c>
      <c r="Q968" s="2">
        <v>0</v>
      </c>
      <c r="R968" s="2">
        <v>0</v>
      </c>
      <c r="S968" s="2">
        <v>0</v>
      </c>
      <c r="T968" s="2" t="s">
        <v>57</v>
      </c>
      <c r="U968" s="2" t="s">
        <v>57</v>
      </c>
      <c r="V968" s="2">
        <v>0</v>
      </c>
      <c r="W968" s="2" t="s">
        <v>38</v>
      </c>
      <c r="X968" s="2">
        <v>9</v>
      </c>
      <c r="Y968" s="2"/>
      <c r="Z968" s="2">
        <v>0</v>
      </c>
      <c r="AA968" s="2" t="s">
        <v>39</v>
      </c>
      <c r="AB968" s="2">
        <v>172.5</v>
      </c>
      <c r="AC968" s="2">
        <v>0</v>
      </c>
      <c r="AD968" s="2">
        <v>1</v>
      </c>
      <c r="AE968" s="2" t="s">
        <v>47</v>
      </c>
      <c r="AF968" s="3">
        <v>42743</v>
      </c>
    </row>
    <row r="969" spans="1:32" x14ac:dyDescent="0.25">
      <c r="A969" s="2" t="s">
        <v>41</v>
      </c>
      <c r="B969" s="2">
        <v>0</v>
      </c>
      <c r="C969" s="2">
        <v>3</v>
      </c>
      <c r="D969" s="2">
        <v>2017</v>
      </c>
      <c r="E969" s="2" t="s">
        <v>74</v>
      </c>
      <c r="F969" s="2">
        <v>1</v>
      </c>
      <c r="G969" s="2">
        <v>5</v>
      </c>
      <c r="H969" s="2">
        <v>0</v>
      </c>
      <c r="I969" s="2">
        <v>3</v>
      </c>
      <c r="J969" s="2">
        <v>1</v>
      </c>
      <c r="K969" s="2">
        <v>0</v>
      </c>
      <c r="L969" s="2">
        <v>0</v>
      </c>
      <c r="M969" s="2" t="s">
        <v>34</v>
      </c>
      <c r="N969" s="2" t="s">
        <v>71</v>
      </c>
      <c r="O969" s="2" t="s">
        <v>44</v>
      </c>
      <c r="P969" s="2" t="s">
        <v>45</v>
      </c>
      <c r="Q969" s="2">
        <v>0</v>
      </c>
      <c r="R969" s="2">
        <v>0</v>
      </c>
      <c r="S969" s="2">
        <v>0</v>
      </c>
      <c r="T969" s="2" t="s">
        <v>46</v>
      </c>
      <c r="U969" s="2" t="s">
        <v>46</v>
      </c>
      <c r="V969" s="2">
        <v>0</v>
      </c>
      <c r="W969" s="2" t="s">
        <v>38</v>
      </c>
      <c r="X969" s="2">
        <v>9</v>
      </c>
      <c r="Y969" s="2"/>
      <c r="Z969" s="2">
        <v>0</v>
      </c>
      <c r="AA969" s="2" t="s">
        <v>39</v>
      </c>
      <c r="AB969" s="2">
        <v>90.1</v>
      </c>
      <c r="AC969" s="2">
        <v>0</v>
      </c>
      <c r="AD969" s="2">
        <v>1</v>
      </c>
      <c r="AE969" s="2" t="s">
        <v>40</v>
      </c>
      <c r="AF969" s="3">
        <v>42743</v>
      </c>
    </row>
    <row r="970" spans="1:32" x14ac:dyDescent="0.25">
      <c r="A970" s="2" t="s">
        <v>32</v>
      </c>
      <c r="B970" s="2">
        <v>0</v>
      </c>
      <c r="C970" s="2">
        <v>222</v>
      </c>
      <c r="D970" s="2">
        <v>2017</v>
      </c>
      <c r="E970" s="2" t="s">
        <v>83</v>
      </c>
      <c r="F970" s="2">
        <v>25</v>
      </c>
      <c r="G970" s="2">
        <v>23</v>
      </c>
      <c r="H970" s="2">
        <v>2</v>
      </c>
      <c r="I970" s="2">
        <v>3</v>
      </c>
      <c r="J970" s="2">
        <v>2</v>
      </c>
      <c r="K970" s="2">
        <v>0</v>
      </c>
      <c r="L970" s="2">
        <v>0</v>
      </c>
      <c r="M970" s="2" t="s">
        <v>34</v>
      </c>
      <c r="N970" s="2" t="s">
        <v>35</v>
      </c>
      <c r="O970" s="2" t="s">
        <v>44</v>
      </c>
      <c r="P970" s="2" t="s">
        <v>45</v>
      </c>
      <c r="Q970" s="2">
        <v>0</v>
      </c>
      <c r="R970" s="2">
        <v>0</v>
      </c>
      <c r="S970" s="2">
        <v>0</v>
      </c>
      <c r="T970" s="2" t="s">
        <v>46</v>
      </c>
      <c r="U970" s="2" t="s">
        <v>46</v>
      </c>
      <c r="V970" s="2">
        <v>0</v>
      </c>
      <c r="W970" s="2" t="s">
        <v>38</v>
      </c>
      <c r="X970" s="2">
        <v>241</v>
      </c>
      <c r="Y970" s="2"/>
      <c r="Z970" s="2">
        <v>0</v>
      </c>
      <c r="AA970" s="2" t="s">
        <v>39</v>
      </c>
      <c r="AB970" s="2">
        <v>76.23</v>
      </c>
      <c r="AC970" s="2">
        <v>0</v>
      </c>
      <c r="AD970" s="2">
        <v>1</v>
      </c>
      <c r="AE970" s="2" t="s">
        <v>40</v>
      </c>
      <c r="AF970" s="3">
        <v>42914</v>
      </c>
    </row>
    <row r="971" spans="1:32" x14ac:dyDescent="0.25">
      <c r="A971" s="2" t="s">
        <v>41</v>
      </c>
      <c r="B971" s="2">
        <v>1</v>
      </c>
      <c r="C971" s="2">
        <v>128</v>
      </c>
      <c r="D971" s="2">
        <v>2017</v>
      </c>
      <c r="E971" s="2" t="s">
        <v>67</v>
      </c>
      <c r="F971" s="2">
        <v>31</v>
      </c>
      <c r="G971" s="2">
        <v>4</v>
      </c>
      <c r="H971" s="2">
        <v>0</v>
      </c>
      <c r="I971" s="2">
        <v>1</v>
      </c>
      <c r="J971" s="2">
        <v>3</v>
      </c>
      <c r="K971" s="2">
        <v>0</v>
      </c>
      <c r="L971" s="2">
        <v>0</v>
      </c>
      <c r="M971" s="2" t="s">
        <v>34</v>
      </c>
      <c r="N971" s="2" t="s">
        <v>35</v>
      </c>
      <c r="O971" s="2" t="s">
        <v>44</v>
      </c>
      <c r="P971" s="2" t="s">
        <v>45</v>
      </c>
      <c r="Q971" s="2">
        <v>0</v>
      </c>
      <c r="R971" s="2">
        <v>0</v>
      </c>
      <c r="S971" s="2">
        <v>0</v>
      </c>
      <c r="T971" s="2" t="s">
        <v>57</v>
      </c>
      <c r="U971" s="2" t="s">
        <v>57</v>
      </c>
      <c r="V971" s="2">
        <v>0</v>
      </c>
      <c r="W971" s="2" t="s">
        <v>38</v>
      </c>
      <c r="X971" s="2">
        <v>9</v>
      </c>
      <c r="Y971" s="2"/>
      <c r="Z971" s="2">
        <v>0</v>
      </c>
      <c r="AA971" s="2" t="s">
        <v>39</v>
      </c>
      <c r="AB971" s="2">
        <v>195</v>
      </c>
      <c r="AC971" s="2">
        <v>0</v>
      </c>
      <c r="AD971" s="2">
        <v>0</v>
      </c>
      <c r="AE971" s="2" t="s">
        <v>47</v>
      </c>
      <c r="AF971" s="3">
        <v>42928</v>
      </c>
    </row>
    <row r="972" spans="1:32" x14ac:dyDescent="0.25">
      <c r="A972" s="2" t="s">
        <v>41</v>
      </c>
      <c r="B972" s="2">
        <v>1</v>
      </c>
      <c r="C972" s="2">
        <v>40</v>
      </c>
      <c r="D972" s="2">
        <v>2017</v>
      </c>
      <c r="E972" s="2" t="s">
        <v>52</v>
      </c>
      <c r="F972" s="2">
        <v>13</v>
      </c>
      <c r="G972" s="2">
        <v>29</v>
      </c>
      <c r="H972" s="2">
        <v>0</v>
      </c>
      <c r="I972" s="2">
        <v>3</v>
      </c>
      <c r="J972" s="2">
        <v>2</v>
      </c>
      <c r="K972" s="2">
        <v>0</v>
      </c>
      <c r="L972" s="2">
        <v>0</v>
      </c>
      <c r="M972" s="2" t="s">
        <v>34</v>
      </c>
      <c r="N972" s="2" t="s">
        <v>70</v>
      </c>
      <c r="O972" s="2" t="s">
        <v>44</v>
      </c>
      <c r="P972" s="2" t="s">
        <v>45</v>
      </c>
      <c r="Q972" s="2">
        <v>0</v>
      </c>
      <c r="R972" s="2">
        <v>0</v>
      </c>
      <c r="S972" s="2">
        <v>0</v>
      </c>
      <c r="T972" s="2" t="s">
        <v>72</v>
      </c>
      <c r="U972" s="2" t="s">
        <v>72</v>
      </c>
      <c r="V972" s="2">
        <v>0</v>
      </c>
      <c r="W972" s="2" t="s">
        <v>38</v>
      </c>
      <c r="X972" s="2">
        <v>9</v>
      </c>
      <c r="Y972" s="2"/>
      <c r="Z972" s="2">
        <v>0</v>
      </c>
      <c r="AA972" s="2" t="s">
        <v>39</v>
      </c>
      <c r="AB972" s="2">
        <v>158</v>
      </c>
      <c r="AC972" s="2">
        <v>0</v>
      </c>
      <c r="AD972" s="2">
        <v>0</v>
      </c>
      <c r="AE972" s="2" t="s">
        <v>47</v>
      </c>
      <c r="AF972" s="3">
        <v>42813</v>
      </c>
    </row>
    <row r="973" spans="1:32" x14ac:dyDescent="0.25">
      <c r="A973" s="2" t="s">
        <v>32</v>
      </c>
      <c r="B973" s="2">
        <v>0</v>
      </c>
      <c r="C973" s="2">
        <v>274</v>
      </c>
      <c r="D973" s="2">
        <v>2017</v>
      </c>
      <c r="E973" s="2" t="s">
        <v>67</v>
      </c>
      <c r="F973" s="2">
        <v>33</v>
      </c>
      <c r="G973" s="2">
        <v>16</v>
      </c>
      <c r="H973" s="2">
        <v>2</v>
      </c>
      <c r="I973" s="2">
        <v>4</v>
      </c>
      <c r="J973" s="2">
        <v>2</v>
      </c>
      <c r="K973" s="2">
        <v>1</v>
      </c>
      <c r="L973" s="2">
        <v>0</v>
      </c>
      <c r="M973" s="2" t="s">
        <v>60</v>
      </c>
      <c r="N973" s="2" t="s">
        <v>43</v>
      </c>
      <c r="O973" s="2" t="s">
        <v>36</v>
      </c>
      <c r="P973" s="2" t="s">
        <v>36</v>
      </c>
      <c r="Q973" s="2">
        <v>0</v>
      </c>
      <c r="R973" s="2">
        <v>0</v>
      </c>
      <c r="S973" s="2">
        <v>0</v>
      </c>
      <c r="T973" s="2" t="s">
        <v>104</v>
      </c>
      <c r="U973" s="2" t="s">
        <v>104</v>
      </c>
      <c r="V973" s="2">
        <v>0</v>
      </c>
      <c r="W973" s="2" t="s">
        <v>38</v>
      </c>
      <c r="X973" s="2">
        <v>250</v>
      </c>
      <c r="Y973" s="2"/>
      <c r="Z973" s="2">
        <v>0</v>
      </c>
      <c r="AA973" s="2" t="s">
        <v>39</v>
      </c>
      <c r="AB973" s="2">
        <v>224.1</v>
      </c>
      <c r="AC973" s="2">
        <v>1</v>
      </c>
      <c r="AD973" s="2">
        <v>3</v>
      </c>
      <c r="AE973" s="2" t="s">
        <v>40</v>
      </c>
      <c r="AF973" s="3">
        <v>42969</v>
      </c>
    </row>
    <row r="974" spans="1:32" x14ac:dyDescent="0.25">
      <c r="A974" s="2" t="s">
        <v>41</v>
      </c>
      <c r="B974" s="2">
        <v>0</v>
      </c>
      <c r="C974" s="2">
        <v>219</v>
      </c>
      <c r="D974" s="2">
        <v>2017</v>
      </c>
      <c r="E974" s="2" t="s">
        <v>83</v>
      </c>
      <c r="F974" s="2">
        <v>25</v>
      </c>
      <c r="G974" s="2">
        <v>18</v>
      </c>
      <c r="H974" s="2">
        <v>2</v>
      </c>
      <c r="I974" s="2">
        <v>3</v>
      </c>
      <c r="J974" s="2">
        <v>2</v>
      </c>
      <c r="K974" s="2">
        <v>0</v>
      </c>
      <c r="L974" s="2">
        <v>0</v>
      </c>
      <c r="M974" s="2" t="s">
        <v>34</v>
      </c>
      <c r="N974" s="2" t="s">
        <v>35</v>
      </c>
      <c r="O974" s="2" t="s">
        <v>44</v>
      </c>
      <c r="P974" s="2" t="s">
        <v>45</v>
      </c>
      <c r="Q974" s="2">
        <v>0</v>
      </c>
      <c r="R974" s="2">
        <v>0</v>
      </c>
      <c r="S974" s="2">
        <v>0</v>
      </c>
      <c r="T974" s="2" t="s">
        <v>46</v>
      </c>
      <c r="U974" s="2" t="s">
        <v>46</v>
      </c>
      <c r="V974" s="2">
        <v>0</v>
      </c>
      <c r="W974" s="2" t="s">
        <v>38</v>
      </c>
      <c r="X974" s="2">
        <v>9</v>
      </c>
      <c r="Y974" s="2"/>
      <c r="Z974" s="2">
        <v>0</v>
      </c>
      <c r="AA974" s="2" t="s">
        <v>39</v>
      </c>
      <c r="AB974" s="2">
        <v>117</v>
      </c>
      <c r="AC974" s="2">
        <v>0</v>
      </c>
      <c r="AD974" s="2">
        <v>1</v>
      </c>
      <c r="AE974" s="2" t="s">
        <v>40</v>
      </c>
      <c r="AF974" s="3">
        <v>42909</v>
      </c>
    </row>
    <row r="975" spans="1:32" x14ac:dyDescent="0.25">
      <c r="A975" s="2" t="s">
        <v>32</v>
      </c>
      <c r="B975" s="2">
        <v>0</v>
      </c>
      <c r="C975" s="2">
        <v>1</v>
      </c>
      <c r="D975" s="2">
        <v>2017</v>
      </c>
      <c r="E975" s="2" t="s">
        <v>66</v>
      </c>
      <c r="F975" s="2">
        <v>6</v>
      </c>
      <c r="G975" s="2">
        <v>11</v>
      </c>
      <c r="H975" s="2">
        <v>0</v>
      </c>
      <c r="I975" s="2">
        <v>1</v>
      </c>
      <c r="J975" s="2">
        <v>2</v>
      </c>
      <c r="K975" s="2">
        <v>0</v>
      </c>
      <c r="L975" s="2">
        <v>0</v>
      </c>
      <c r="M975" s="2" t="s">
        <v>34</v>
      </c>
      <c r="N975" s="2" t="s">
        <v>43</v>
      </c>
      <c r="O975" s="2" t="s">
        <v>44</v>
      </c>
      <c r="P975" s="2" t="s">
        <v>45</v>
      </c>
      <c r="Q975" s="2">
        <v>1</v>
      </c>
      <c r="R975" s="2">
        <v>0</v>
      </c>
      <c r="S975" s="2">
        <v>1</v>
      </c>
      <c r="T975" s="2" t="s">
        <v>46</v>
      </c>
      <c r="U975" s="2" t="s">
        <v>46</v>
      </c>
      <c r="V975" s="2">
        <v>0</v>
      </c>
      <c r="W975" s="2" t="s">
        <v>38</v>
      </c>
      <c r="X975" s="2">
        <v>240</v>
      </c>
      <c r="Y975" s="2"/>
      <c r="Z975" s="2">
        <v>0</v>
      </c>
      <c r="AA975" s="2" t="s">
        <v>39</v>
      </c>
      <c r="AB975" s="2">
        <v>48</v>
      </c>
      <c r="AC975" s="2">
        <v>0</v>
      </c>
      <c r="AD975" s="2">
        <v>1</v>
      </c>
      <c r="AE975" s="2" t="s">
        <v>40</v>
      </c>
      <c r="AF975" s="3">
        <v>42778</v>
      </c>
    </row>
    <row r="976" spans="1:32" x14ac:dyDescent="0.25">
      <c r="A976" s="2" t="s">
        <v>41</v>
      </c>
      <c r="B976" s="2">
        <v>0</v>
      </c>
      <c r="C976" s="2">
        <v>0</v>
      </c>
      <c r="D976" s="2">
        <v>2017</v>
      </c>
      <c r="E976" s="2" t="s">
        <v>83</v>
      </c>
      <c r="F976" s="2">
        <v>22</v>
      </c>
      <c r="G976" s="2">
        <v>1</v>
      </c>
      <c r="H976" s="2">
        <v>0</v>
      </c>
      <c r="I976" s="2">
        <v>1</v>
      </c>
      <c r="J976" s="2">
        <v>2</v>
      </c>
      <c r="K976" s="2">
        <v>0</v>
      </c>
      <c r="L976" s="2">
        <v>0</v>
      </c>
      <c r="M976" s="2" t="s">
        <v>55</v>
      </c>
      <c r="N976" s="2" t="s">
        <v>71</v>
      </c>
      <c r="O976" s="2" t="s">
        <v>44</v>
      </c>
      <c r="P976" s="2" t="s">
        <v>45</v>
      </c>
      <c r="Q976" s="2">
        <v>0</v>
      </c>
      <c r="R976" s="2">
        <v>0</v>
      </c>
      <c r="S976" s="2">
        <v>0</v>
      </c>
      <c r="T976" s="2" t="s">
        <v>46</v>
      </c>
      <c r="U976" s="2" t="s">
        <v>46</v>
      </c>
      <c r="V976" s="2">
        <v>0</v>
      </c>
      <c r="W976" s="2" t="s">
        <v>38</v>
      </c>
      <c r="X976" s="2">
        <v>152</v>
      </c>
      <c r="Y976" s="2"/>
      <c r="Z976" s="2">
        <v>0</v>
      </c>
      <c r="AA976" s="2" t="s">
        <v>39</v>
      </c>
      <c r="AB976" s="2">
        <v>92.98</v>
      </c>
      <c r="AC976" s="2">
        <v>0</v>
      </c>
      <c r="AD976" s="2">
        <v>0</v>
      </c>
      <c r="AE976" s="2" t="s">
        <v>40</v>
      </c>
      <c r="AF976" s="3">
        <v>42888</v>
      </c>
    </row>
    <row r="977" spans="1:32" x14ac:dyDescent="0.25">
      <c r="A977" s="2" t="s">
        <v>41</v>
      </c>
      <c r="B977" s="2">
        <v>0</v>
      </c>
      <c r="C977" s="2">
        <v>10</v>
      </c>
      <c r="D977" s="2">
        <v>2017</v>
      </c>
      <c r="E977" s="2" t="s">
        <v>42</v>
      </c>
      <c r="F977" s="2">
        <v>27</v>
      </c>
      <c r="G977" s="2">
        <v>6</v>
      </c>
      <c r="H977" s="2">
        <v>0</v>
      </c>
      <c r="I977" s="2">
        <v>1</v>
      </c>
      <c r="J977" s="2">
        <v>1</v>
      </c>
      <c r="K977" s="2">
        <v>0</v>
      </c>
      <c r="L977" s="2">
        <v>0</v>
      </c>
      <c r="M977" s="2" t="s">
        <v>34</v>
      </c>
      <c r="N977" s="2" t="s">
        <v>43</v>
      </c>
      <c r="O977" s="2" t="s">
        <v>76</v>
      </c>
      <c r="P977" s="2" t="s">
        <v>76</v>
      </c>
      <c r="Q977" s="2">
        <v>0</v>
      </c>
      <c r="R977" s="2">
        <v>0</v>
      </c>
      <c r="S977" s="2">
        <v>0</v>
      </c>
      <c r="T977" s="2" t="s">
        <v>46</v>
      </c>
      <c r="U977" s="2" t="s">
        <v>46</v>
      </c>
      <c r="V977" s="2">
        <v>0</v>
      </c>
      <c r="W977" s="2" t="s">
        <v>38</v>
      </c>
      <c r="X977" s="2">
        <v>219</v>
      </c>
      <c r="Y977" s="2"/>
      <c r="Z977" s="2">
        <v>0</v>
      </c>
      <c r="AA977" s="2" t="s">
        <v>51</v>
      </c>
      <c r="AB977" s="2">
        <v>95</v>
      </c>
      <c r="AC977" s="2">
        <v>0</v>
      </c>
      <c r="AD977" s="2">
        <v>0</v>
      </c>
      <c r="AE977" s="2" t="s">
        <v>40</v>
      </c>
      <c r="AF977" s="3">
        <v>42923</v>
      </c>
    </row>
    <row r="978" spans="1:32" x14ac:dyDescent="0.25">
      <c r="A978" s="2" t="s">
        <v>32</v>
      </c>
      <c r="B978" s="2">
        <v>0</v>
      </c>
      <c r="C978" s="2">
        <v>295</v>
      </c>
      <c r="D978" s="2">
        <v>2017</v>
      </c>
      <c r="E978" s="2" t="s">
        <v>52</v>
      </c>
      <c r="F978" s="2">
        <v>11</v>
      </c>
      <c r="G978" s="2">
        <v>15</v>
      </c>
      <c r="H978" s="2">
        <v>2</v>
      </c>
      <c r="I978" s="2">
        <v>4</v>
      </c>
      <c r="J978" s="2">
        <v>1</v>
      </c>
      <c r="K978" s="2">
        <v>0</v>
      </c>
      <c r="L978" s="2">
        <v>0</v>
      </c>
      <c r="M978" s="2" t="s">
        <v>34</v>
      </c>
      <c r="N978" s="2" t="s">
        <v>56</v>
      </c>
      <c r="O978" s="2" t="s">
        <v>44</v>
      </c>
      <c r="P978" s="2" t="s">
        <v>45</v>
      </c>
      <c r="Q978" s="2">
        <v>0</v>
      </c>
      <c r="R978" s="2">
        <v>0</v>
      </c>
      <c r="S978" s="2">
        <v>0</v>
      </c>
      <c r="T978" s="2" t="s">
        <v>46</v>
      </c>
      <c r="U978" s="2" t="s">
        <v>46</v>
      </c>
      <c r="V978" s="2">
        <v>0</v>
      </c>
      <c r="W978" s="2" t="s">
        <v>38</v>
      </c>
      <c r="X978" s="2">
        <v>314</v>
      </c>
      <c r="Y978" s="2"/>
      <c r="Z978" s="2">
        <v>0</v>
      </c>
      <c r="AA978" s="2" t="s">
        <v>39</v>
      </c>
      <c r="AB978" s="2">
        <v>26.64</v>
      </c>
      <c r="AC978" s="2">
        <v>0</v>
      </c>
      <c r="AD978" s="2">
        <v>1</v>
      </c>
      <c r="AE978" s="2" t="s">
        <v>40</v>
      </c>
      <c r="AF978" s="3">
        <v>42815</v>
      </c>
    </row>
    <row r="979" spans="1:32" x14ac:dyDescent="0.25">
      <c r="A979" s="2" t="s">
        <v>32</v>
      </c>
      <c r="B979" s="2">
        <v>1</v>
      </c>
      <c r="C979" s="2">
        <v>22</v>
      </c>
      <c r="D979" s="2">
        <v>2017</v>
      </c>
      <c r="E979" s="2" t="s">
        <v>54</v>
      </c>
      <c r="F979" s="2">
        <v>14</v>
      </c>
      <c r="G979" s="2">
        <v>6</v>
      </c>
      <c r="H979" s="2">
        <v>0</v>
      </c>
      <c r="I979" s="2">
        <v>3</v>
      </c>
      <c r="J979" s="2">
        <v>2</v>
      </c>
      <c r="K979" s="2">
        <v>0</v>
      </c>
      <c r="L979" s="2">
        <v>0</v>
      </c>
      <c r="M979" s="2" t="s">
        <v>34</v>
      </c>
      <c r="N979" s="2" t="s">
        <v>43</v>
      </c>
      <c r="O979" s="2" t="s">
        <v>44</v>
      </c>
      <c r="P979" s="2" t="s">
        <v>45</v>
      </c>
      <c r="Q979" s="2">
        <v>0</v>
      </c>
      <c r="R979" s="2">
        <v>0</v>
      </c>
      <c r="S979" s="2">
        <v>0</v>
      </c>
      <c r="T979" s="2" t="s">
        <v>72</v>
      </c>
      <c r="U979" s="2" t="s">
        <v>72</v>
      </c>
      <c r="V979" s="2">
        <v>0</v>
      </c>
      <c r="W979" s="2" t="s">
        <v>38</v>
      </c>
      <c r="X979" s="2">
        <v>240</v>
      </c>
      <c r="Y979" s="2"/>
      <c r="Z979" s="2">
        <v>0</v>
      </c>
      <c r="AA979" s="2" t="s">
        <v>39</v>
      </c>
      <c r="AB979" s="2">
        <v>115</v>
      </c>
      <c r="AC979" s="2">
        <v>0</v>
      </c>
      <c r="AD979" s="2">
        <v>0</v>
      </c>
      <c r="AE979" s="2" t="s">
        <v>47</v>
      </c>
      <c r="AF979" s="3">
        <v>42809</v>
      </c>
    </row>
    <row r="980" spans="1:32" x14ac:dyDescent="0.25">
      <c r="A980" s="2" t="s">
        <v>41</v>
      </c>
      <c r="B980" s="2">
        <v>1</v>
      </c>
      <c r="C980" s="2">
        <v>97</v>
      </c>
      <c r="D980" s="2">
        <v>2017</v>
      </c>
      <c r="E980" s="2" t="s">
        <v>52</v>
      </c>
      <c r="F980" s="2">
        <v>11</v>
      </c>
      <c r="G980" s="2">
        <v>14</v>
      </c>
      <c r="H980" s="2">
        <v>0</v>
      </c>
      <c r="I980" s="2">
        <v>2</v>
      </c>
      <c r="J980" s="2">
        <v>2</v>
      </c>
      <c r="K980" s="2">
        <v>0</v>
      </c>
      <c r="L980" s="2">
        <v>0</v>
      </c>
      <c r="M980" s="2" t="s">
        <v>34</v>
      </c>
      <c r="N980" s="2" t="s">
        <v>43</v>
      </c>
      <c r="O980" s="2" t="s">
        <v>49</v>
      </c>
      <c r="P980" s="2" t="s">
        <v>45</v>
      </c>
      <c r="Q980" s="2">
        <v>0</v>
      </c>
      <c r="R980" s="2">
        <v>0</v>
      </c>
      <c r="S980" s="2">
        <v>0</v>
      </c>
      <c r="T980" s="2" t="s">
        <v>46</v>
      </c>
      <c r="U980" s="2" t="s">
        <v>46</v>
      </c>
      <c r="V980" s="2">
        <v>0</v>
      </c>
      <c r="W980" s="2" t="s">
        <v>68</v>
      </c>
      <c r="X980" s="2">
        <v>31</v>
      </c>
      <c r="Y980" s="2"/>
      <c r="Z980" s="2">
        <v>0</v>
      </c>
      <c r="AA980" s="2" t="s">
        <v>39</v>
      </c>
      <c r="AB980" s="2">
        <v>85</v>
      </c>
      <c r="AC980" s="2">
        <v>0</v>
      </c>
      <c r="AD980" s="2">
        <v>0</v>
      </c>
      <c r="AE980" s="2" t="s">
        <v>47</v>
      </c>
      <c r="AF980" s="3">
        <v>42711</v>
      </c>
    </row>
    <row r="981" spans="1:32" x14ac:dyDescent="0.25">
      <c r="A981" s="2" t="s">
        <v>41</v>
      </c>
      <c r="B981" s="2">
        <v>1</v>
      </c>
      <c r="C981" s="2">
        <v>95</v>
      </c>
      <c r="D981" s="2">
        <v>2017</v>
      </c>
      <c r="E981" s="2" t="s">
        <v>42</v>
      </c>
      <c r="F981" s="2">
        <v>30</v>
      </c>
      <c r="G981" s="2">
        <v>28</v>
      </c>
      <c r="H981" s="2">
        <v>0</v>
      </c>
      <c r="I981" s="2">
        <v>2</v>
      </c>
      <c r="J981" s="2">
        <v>2</v>
      </c>
      <c r="K981" s="2">
        <v>0</v>
      </c>
      <c r="L981" s="2">
        <v>0</v>
      </c>
      <c r="M981" s="2" t="s">
        <v>55</v>
      </c>
      <c r="N981" s="2" t="s">
        <v>35</v>
      </c>
      <c r="O981" s="2" t="s">
        <v>44</v>
      </c>
      <c r="P981" s="2" t="s">
        <v>45</v>
      </c>
      <c r="Q981" s="2">
        <v>0</v>
      </c>
      <c r="R981" s="2">
        <v>0</v>
      </c>
      <c r="S981" s="2">
        <v>0</v>
      </c>
      <c r="T981" s="2" t="s">
        <v>46</v>
      </c>
      <c r="U981" s="2" t="s">
        <v>46</v>
      </c>
      <c r="V981" s="2">
        <v>0</v>
      </c>
      <c r="W981" s="2" t="s">
        <v>38</v>
      </c>
      <c r="X981" s="2">
        <v>9</v>
      </c>
      <c r="Y981" s="2"/>
      <c r="Z981" s="2">
        <v>0</v>
      </c>
      <c r="AA981" s="2" t="s">
        <v>39</v>
      </c>
      <c r="AB981" s="2">
        <v>125</v>
      </c>
      <c r="AC981" s="2">
        <v>0</v>
      </c>
      <c r="AD981" s="2">
        <v>1</v>
      </c>
      <c r="AE981" s="2" t="s">
        <v>47</v>
      </c>
      <c r="AF981" s="3">
        <v>42849</v>
      </c>
    </row>
    <row r="982" spans="1:32" x14ac:dyDescent="0.25">
      <c r="A982" s="2" t="s">
        <v>41</v>
      </c>
      <c r="B982" s="2">
        <v>1</v>
      </c>
      <c r="C982" s="2">
        <v>88</v>
      </c>
      <c r="D982" s="2">
        <v>2017</v>
      </c>
      <c r="E982" s="2" t="s">
        <v>67</v>
      </c>
      <c r="F982" s="2">
        <v>32</v>
      </c>
      <c r="G982" s="2">
        <v>12</v>
      </c>
      <c r="H982" s="2">
        <v>2</v>
      </c>
      <c r="I982" s="2">
        <v>5</v>
      </c>
      <c r="J982" s="2">
        <v>3</v>
      </c>
      <c r="K982" s="2">
        <v>0</v>
      </c>
      <c r="L982" s="2">
        <v>0</v>
      </c>
      <c r="M982" s="2" t="s">
        <v>34</v>
      </c>
      <c r="N982" s="2" t="s">
        <v>126</v>
      </c>
      <c r="O982" s="2" t="s">
        <v>44</v>
      </c>
      <c r="P982" s="2" t="s">
        <v>45</v>
      </c>
      <c r="Q982" s="2">
        <v>0</v>
      </c>
      <c r="R982" s="2">
        <v>0</v>
      </c>
      <c r="S982" s="2">
        <v>0</v>
      </c>
      <c r="T982" s="2" t="s">
        <v>57</v>
      </c>
      <c r="U982" s="2" t="s">
        <v>57</v>
      </c>
      <c r="V982" s="2">
        <v>0</v>
      </c>
      <c r="W982" s="2" t="s">
        <v>38</v>
      </c>
      <c r="X982" s="2">
        <v>9</v>
      </c>
      <c r="Y982" s="2"/>
      <c r="Z982" s="2">
        <v>0</v>
      </c>
      <c r="AA982" s="2" t="s">
        <v>39</v>
      </c>
      <c r="AB982" s="2">
        <v>195</v>
      </c>
      <c r="AC982" s="2">
        <v>0</v>
      </c>
      <c r="AD982" s="2">
        <v>1</v>
      </c>
      <c r="AE982" s="2" t="s">
        <v>47</v>
      </c>
      <c r="AF982" s="3">
        <v>42873</v>
      </c>
    </row>
    <row r="983" spans="1:32" x14ac:dyDescent="0.25">
      <c r="A983" s="2" t="s">
        <v>41</v>
      </c>
      <c r="B983" s="2">
        <v>0</v>
      </c>
      <c r="C983" s="2">
        <v>3</v>
      </c>
      <c r="D983" s="2">
        <v>2017</v>
      </c>
      <c r="E983" s="2" t="s">
        <v>67</v>
      </c>
      <c r="F983" s="2">
        <v>35</v>
      </c>
      <c r="G983" s="2">
        <v>31</v>
      </c>
      <c r="H983" s="2">
        <v>0</v>
      </c>
      <c r="I983" s="2">
        <v>1</v>
      </c>
      <c r="J983" s="2">
        <v>2</v>
      </c>
      <c r="K983" s="2">
        <v>0</v>
      </c>
      <c r="L983" s="2">
        <v>0</v>
      </c>
      <c r="M983" s="2" t="s">
        <v>55</v>
      </c>
      <c r="N983" s="2" t="s">
        <v>43</v>
      </c>
      <c r="O983" s="2" t="s">
        <v>44</v>
      </c>
      <c r="P983" s="2" t="s">
        <v>45</v>
      </c>
      <c r="Q983" s="2">
        <v>0</v>
      </c>
      <c r="R983" s="2">
        <v>0</v>
      </c>
      <c r="S983" s="2">
        <v>0</v>
      </c>
      <c r="T983" s="2" t="s">
        <v>46</v>
      </c>
      <c r="U983" s="2" t="s">
        <v>46</v>
      </c>
      <c r="V983" s="2">
        <v>2</v>
      </c>
      <c r="W983" s="2" t="s">
        <v>38</v>
      </c>
      <c r="X983" s="2">
        <v>9</v>
      </c>
      <c r="Y983" s="2"/>
      <c r="Z983" s="2">
        <v>0</v>
      </c>
      <c r="AA983" s="2" t="s">
        <v>39</v>
      </c>
      <c r="AB983" s="2">
        <v>140</v>
      </c>
      <c r="AC983" s="2">
        <v>0</v>
      </c>
      <c r="AD983" s="2">
        <v>1</v>
      </c>
      <c r="AE983" s="2" t="s">
        <v>40</v>
      </c>
      <c r="AF983" s="3">
        <v>42979</v>
      </c>
    </row>
    <row r="984" spans="1:32" x14ac:dyDescent="0.25">
      <c r="A984" s="2" t="s">
        <v>41</v>
      </c>
      <c r="B984" s="2">
        <v>1</v>
      </c>
      <c r="C984" s="2">
        <v>97</v>
      </c>
      <c r="D984" s="2">
        <v>2017</v>
      </c>
      <c r="E984" s="2" t="s">
        <v>52</v>
      </c>
      <c r="F984" s="2">
        <v>9</v>
      </c>
      <c r="G984" s="2">
        <v>4</v>
      </c>
      <c r="H984" s="2">
        <v>2</v>
      </c>
      <c r="I984" s="2">
        <v>1</v>
      </c>
      <c r="J984" s="2">
        <v>2</v>
      </c>
      <c r="K984" s="2">
        <v>0</v>
      </c>
      <c r="L984" s="2">
        <v>0</v>
      </c>
      <c r="M984" s="2" t="s">
        <v>34</v>
      </c>
      <c r="N984" s="2" t="s">
        <v>65</v>
      </c>
      <c r="O984" s="2" t="s">
        <v>44</v>
      </c>
      <c r="P984" s="2" t="s">
        <v>45</v>
      </c>
      <c r="Q984" s="2">
        <v>0</v>
      </c>
      <c r="R984" s="2">
        <v>0</v>
      </c>
      <c r="S984" s="2">
        <v>0</v>
      </c>
      <c r="T984" s="2" t="s">
        <v>46</v>
      </c>
      <c r="U984" s="2" t="s">
        <v>46</v>
      </c>
      <c r="V984" s="2">
        <v>0</v>
      </c>
      <c r="W984" s="2" t="s">
        <v>38</v>
      </c>
      <c r="X984" s="2">
        <v>9</v>
      </c>
      <c r="Y984" s="2"/>
      <c r="Z984" s="2">
        <v>0</v>
      </c>
      <c r="AA984" s="2" t="s">
        <v>39</v>
      </c>
      <c r="AB984" s="2">
        <v>97.2</v>
      </c>
      <c r="AC984" s="2">
        <v>0</v>
      </c>
      <c r="AD984" s="2">
        <v>1</v>
      </c>
      <c r="AE984" s="2" t="s">
        <v>47</v>
      </c>
      <c r="AF984" s="3">
        <v>42729</v>
      </c>
    </row>
    <row r="985" spans="1:32" x14ac:dyDescent="0.25">
      <c r="A985" s="2" t="s">
        <v>41</v>
      </c>
      <c r="B985" s="2">
        <v>1</v>
      </c>
      <c r="C985" s="2">
        <v>6</v>
      </c>
      <c r="D985" s="2">
        <v>2017</v>
      </c>
      <c r="E985" s="2" t="s">
        <v>66</v>
      </c>
      <c r="F985" s="2">
        <v>7</v>
      </c>
      <c r="G985" s="2">
        <v>14</v>
      </c>
      <c r="H985" s="2">
        <v>0</v>
      </c>
      <c r="I985" s="2">
        <v>1</v>
      </c>
      <c r="J985" s="2">
        <v>2</v>
      </c>
      <c r="K985" s="2">
        <v>1</v>
      </c>
      <c r="L985" s="2">
        <v>0</v>
      </c>
      <c r="M985" s="2" t="s">
        <v>34</v>
      </c>
      <c r="N985" s="2" t="s">
        <v>70</v>
      </c>
      <c r="O985" s="2" t="s">
        <v>44</v>
      </c>
      <c r="P985" s="2" t="s">
        <v>45</v>
      </c>
      <c r="Q985" s="2">
        <v>0</v>
      </c>
      <c r="R985" s="2">
        <v>0</v>
      </c>
      <c r="S985" s="2">
        <v>0</v>
      </c>
      <c r="T985" s="2" t="s">
        <v>46</v>
      </c>
      <c r="U985" s="2" t="s">
        <v>46</v>
      </c>
      <c r="V985" s="2">
        <v>0</v>
      </c>
      <c r="W985" s="2" t="s">
        <v>38</v>
      </c>
      <c r="X985" s="2">
        <v>9</v>
      </c>
      <c r="Y985" s="2"/>
      <c r="Z985" s="2">
        <v>0</v>
      </c>
      <c r="AA985" s="2" t="s">
        <v>39</v>
      </c>
      <c r="AB985" s="2">
        <v>128</v>
      </c>
      <c r="AC985" s="2">
        <v>0</v>
      </c>
      <c r="AD985" s="2">
        <v>0</v>
      </c>
      <c r="AE985" s="2" t="s">
        <v>47</v>
      </c>
      <c r="AF985" s="3">
        <v>42774</v>
      </c>
    </row>
    <row r="986" spans="1:32" x14ac:dyDescent="0.25">
      <c r="A986" s="2" t="s">
        <v>41</v>
      </c>
      <c r="B986" s="2">
        <v>0</v>
      </c>
      <c r="C986" s="2">
        <v>13</v>
      </c>
      <c r="D986" s="2">
        <v>2017</v>
      </c>
      <c r="E986" s="2" t="s">
        <v>74</v>
      </c>
      <c r="F986" s="2">
        <v>3</v>
      </c>
      <c r="G986" s="2">
        <v>21</v>
      </c>
      <c r="H986" s="2">
        <v>1</v>
      </c>
      <c r="I986" s="2">
        <v>1</v>
      </c>
      <c r="J986" s="2">
        <v>2</v>
      </c>
      <c r="K986" s="2">
        <v>0</v>
      </c>
      <c r="L986" s="2">
        <v>0</v>
      </c>
      <c r="M986" s="2" t="s">
        <v>55</v>
      </c>
      <c r="N986" s="2" t="s">
        <v>63</v>
      </c>
      <c r="O986" s="2" t="s">
        <v>44</v>
      </c>
      <c r="P986" s="2" t="s">
        <v>45</v>
      </c>
      <c r="Q986" s="2">
        <v>0</v>
      </c>
      <c r="R986" s="2">
        <v>0</v>
      </c>
      <c r="S986" s="2">
        <v>0</v>
      </c>
      <c r="T986" s="2" t="s">
        <v>46</v>
      </c>
      <c r="U986" s="2" t="s">
        <v>46</v>
      </c>
      <c r="V986" s="2">
        <v>2</v>
      </c>
      <c r="W986" s="2" t="s">
        <v>38</v>
      </c>
      <c r="X986" s="2">
        <v>9</v>
      </c>
      <c r="Y986" s="2"/>
      <c r="Z986" s="2">
        <v>0</v>
      </c>
      <c r="AA986" s="2" t="s">
        <v>39</v>
      </c>
      <c r="AB986" s="2">
        <v>89</v>
      </c>
      <c r="AC986" s="2">
        <v>0</v>
      </c>
      <c r="AD986" s="2">
        <v>1</v>
      </c>
      <c r="AE986" s="2" t="s">
        <v>40</v>
      </c>
      <c r="AF986" s="3">
        <v>42758</v>
      </c>
    </row>
    <row r="987" spans="1:32" x14ac:dyDescent="0.25">
      <c r="A987" s="2" t="s">
        <v>41</v>
      </c>
      <c r="B987" s="2">
        <v>0</v>
      </c>
      <c r="C987" s="2">
        <v>157</v>
      </c>
      <c r="D987" s="2">
        <v>2017</v>
      </c>
      <c r="E987" s="2" t="s">
        <v>67</v>
      </c>
      <c r="F987" s="2">
        <v>31</v>
      </c>
      <c r="G987" s="2">
        <v>1</v>
      </c>
      <c r="H987" s="2">
        <v>0</v>
      </c>
      <c r="I987" s="2">
        <v>4</v>
      </c>
      <c r="J987" s="2">
        <v>2</v>
      </c>
      <c r="K987" s="2">
        <v>0</v>
      </c>
      <c r="L987" s="2">
        <v>0</v>
      </c>
      <c r="M987" s="2" t="s">
        <v>34</v>
      </c>
      <c r="N987" s="2" t="s">
        <v>65</v>
      </c>
      <c r="O987" s="2" t="s">
        <v>44</v>
      </c>
      <c r="P987" s="2" t="s">
        <v>45</v>
      </c>
      <c r="Q987" s="2">
        <v>0</v>
      </c>
      <c r="R987" s="2">
        <v>0</v>
      </c>
      <c r="S987" s="2">
        <v>0</v>
      </c>
      <c r="T987" s="2" t="s">
        <v>46</v>
      </c>
      <c r="U987" s="2" t="s">
        <v>46</v>
      </c>
      <c r="V987" s="2">
        <v>0</v>
      </c>
      <c r="W987" s="2" t="s">
        <v>38</v>
      </c>
      <c r="X987" s="2">
        <v>9</v>
      </c>
      <c r="Y987" s="2"/>
      <c r="Z987" s="2">
        <v>0</v>
      </c>
      <c r="AA987" s="2" t="s">
        <v>39</v>
      </c>
      <c r="AB987" s="2">
        <v>137.25</v>
      </c>
      <c r="AC987" s="2">
        <v>0</v>
      </c>
      <c r="AD987" s="2">
        <v>0</v>
      </c>
      <c r="AE987" s="2" t="s">
        <v>40</v>
      </c>
      <c r="AF987" s="3">
        <v>42952</v>
      </c>
    </row>
    <row r="988" spans="1:32" x14ac:dyDescent="0.25">
      <c r="A988" s="2" t="s">
        <v>41</v>
      </c>
      <c r="B988" s="2">
        <v>0</v>
      </c>
      <c r="C988" s="2">
        <v>263</v>
      </c>
      <c r="D988" s="2">
        <v>2017</v>
      </c>
      <c r="E988" s="2" t="s">
        <v>83</v>
      </c>
      <c r="F988" s="2">
        <v>25</v>
      </c>
      <c r="G988" s="2">
        <v>23</v>
      </c>
      <c r="H988" s="2">
        <v>2</v>
      </c>
      <c r="I988" s="2">
        <v>2</v>
      </c>
      <c r="J988" s="2">
        <v>2</v>
      </c>
      <c r="K988" s="2">
        <v>0</v>
      </c>
      <c r="L988" s="2">
        <v>0</v>
      </c>
      <c r="M988" s="2" t="s">
        <v>34</v>
      </c>
      <c r="N988" s="2" t="s">
        <v>43</v>
      </c>
      <c r="O988" s="2" t="s">
        <v>64</v>
      </c>
      <c r="P988" s="2" t="s">
        <v>45</v>
      </c>
      <c r="Q988" s="2">
        <v>0</v>
      </c>
      <c r="R988" s="2">
        <v>0</v>
      </c>
      <c r="S988" s="2">
        <v>0</v>
      </c>
      <c r="T988" s="2" t="s">
        <v>46</v>
      </c>
      <c r="U988" s="2" t="s">
        <v>46</v>
      </c>
      <c r="V988" s="2">
        <v>0</v>
      </c>
      <c r="W988" s="2" t="s">
        <v>38</v>
      </c>
      <c r="X988" s="2">
        <v>37</v>
      </c>
      <c r="Y988" s="2"/>
      <c r="Z988" s="2">
        <v>0</v>
      </c>
      <c r="AA988" s="2" t="s">
        <v>51</v>
      </c>
      <c r="AB988" s="2">
        <v>105</v>
      </c>
      <c r="AC988" s="2">
        <v>0</v>
      </c>
      <c r="AD988" s="2">
        <v>1</v>
      </c>
      <c r="AE988" s="2" t="s">
        <v>40</v>
      </c>
      <c r="AF988" s="3">
        <v>42913</v>
      </c>
    </row>
    <row r="989" spans="1:32" x14ac:dyDescent="0.25">
      <c r="A989" s="2" t="s">
        <v>41</v>
      </c>
      <c r="B989" s="2">
        <v>1</v>
      </c>
      <c r="C989" s="2">
        <v>479</v>
      </c>
      <c r="D989" s="2">
        <v>2017</v>
      </c>
      <c r="E989" s="2" t="s">
        <v>67</v>
      </c>
      <c r="F989" s="2">
        <v>32</v>
      </c>
      <c r="G989" s="2">
        <v>9</v>
      </c>
      <c r="H989" s="2">
        <v>0</v>
      </c>
      <c r="I989" s="2">
        <v>3</v>
      </c>
      <c r="J989" s="2">
        <v>2</v>
      </c>
      <c r="K989" s="2">
        <v>0</v>
      </c>
      <c r="L989" s="2">
        <v>0</v>
      </c>
      <c r="M989" s="2" t="s">
        <v>34</v>
      </c>
      <c r="N989" s="2" t="s">
        <v>43</v>
      </c>
      <c r="O989" s="2" t="s">
        <v>49</v>
      </c>
      <c r="P989" s="2" t="s">
        <v>45</v>
      </c>
      <c r="Q989" s="2">
        <v>0</v>
      </c>
      <c r="R989" s="2">
        <v>0</v>
      </c>
      <c r="S989" s="2">
        <v>0</v>
      </c>
      <c r="T989" s="2" t="s">
        <v>46</v>
      </c>
      <c r="U989" s="2" t="s">
        <v>46</v>
      </c>
      <c r="V989" s="2">
        <v>0</v>
      </c>
      <c r="W989" s="2" t="s">
        <v>38</v>
      </c>
      <c r="X989" s="2">
        <v>229</v>
      </c>
      <c r="Y989" s="2"/>
      <c r="Z989" s="2">
        <v>0</v>
      </c>
      <c r="AA989" s="2" t="s">
        <v>51</v>
      </c>
      <c r="AB989" s="2">
        <v>112.67</v>
      </c>
      <c r="AC989" s="2">
        <v>0</v>
      </c>
      <c r="AD989" s="2">
        <v>0</v>
      </c>
      <c r="AE989" s="2" t="s">
        <v>47</v>
      </c>
      <c r="AF989" s="3">
        <v>42943</v>
      </c>
    </row>
    <row r="990" spans="1:32" x14ac:dyDescent="0.25">
      <c r="A990" s="2" t="s">
        <v>41</v>
      </c>
      <c r="B990" s="2">
        <v>0</v>
      </c>
      <c r="C990" s="2">
        <v>405</v>
      </c>
      <c r="D990" s="2">
        <v>2017</v>
      </c>
      <c r="E990" s="2" t="s">
        <v>42</v>
      </c>
      <c r="F990" s="2">
        <v>27</v>
      </c>
      <c r="G990" s="2">
        <v>4</v>
      </c>
      <c r="H990" s="2">
        <v>0</v>
      </c>
      <c r="I990" s="2">
        <v>2</v>
      </c>
      <c r="J990" s="2">
        <v>2</v>
      </c>
      <c r="K990" s="2">
        <v>0</v>
      </c>
      <c r="L990" s="2">
        <v>0</v>
      </c>
      <c r="M990" s="2" t="s">
        <v>60</v>
      </c>
      <c r="N990" s="2" t="s">
        <v>56</v>
      </c>
      <c r="O990" s="2" t="s">
        <v>49</v>
      </c>
      <c r="P990" s="2" t="s">
        <v>45</v>
      </c>
      <c r="Q990" s="2">
        <v>0</v>
      </c>
      <c r="R990" s="2">
        <v>0</v>
      </c>
      <c r="S990" s="2">
        <v>0</v>
      </c>
      <c r="T990" s="2" t="s">
        <v>46</v>
      </c>
      <c r="U990" s="2" t="s">
        <v>46</v>
      </c>
      <c r="V990" s="2">
        <v>0</v>
      </c>
      <c r="W990" s="2" t="s">
        <v>38</v>
      </c>
      <c r="X990" s="2">
        <v>6</v>
      </c>
      <c r="Y990" s="2"/>
      <c r="Z990" s="2">
        <v>0</v>
      </c>
      <c r="AA990" s="2" t="s">
        <v>51</v>
      </c>
      <c r="AB990" s="2">
        <v>114.4</v>
      </c>
      <c r="AC990" s="2">
        <v>0</v>
      </c>
      <c r="AD990" s="2">
        <v>0</v>
      </c>
      <c r="AE990" s="2" t="s">
        <v>40</v>
      </c>
      <c r="AF990" s="3">
        <v>42922</v>
      </c>
    </row>
    <row r="991" spans="1:32" x14ac:dyDescent="0.25">
      <c r="A991" s="2" t="s">
        <v>32</v>
      </c>
      <c r="B991" s="2">
        <v>0</v>
      </c>
      <c r="C991" s="2">
        <v>29</v>
      </c>
      <c r="D991" s="2">
        <v>2017</v>
      </c>
      <c r="E991" s="2" t="s">
        <v>54</v>
      </c>
      <c r="F991" s="2">
        <v>15</v>
      </c>
      <c r="G991" s="2">
        <v>10</v>
      </c>
      <c r="H991" s="2">
        <v>1</v>
      </c>
      <c r="I991" s="2">
        <v>0</v>
      </c>
      <c r="J991" s="2">
        <v>2</v>
      </c>
      <c r="K991" s="2">
        <v>0</v>
      </c>
      <c r="L991" s="2">
        <v>0</v>
      </c>
      <c r="M991" s="2" t="s">
        <v>34</v>
      </c>
      <c r="N991" s="2" t="s">
        <v>63</v>
      </c>
      <c r="O991" s="2" t="s">
        <v>44</v>
      </c>
      <c r="P991" s="2" t="s">
        <v>45</v>
      </c>
      <c r="Q991" s="2">
        <v>0</v>
      </c>
      <c r="R991" s="2">
        <v>0</v>
      </c>
      <c r="S991" s="2">
        <v>0</v>
      </c>
      <c r="T991" s="2" t="s">
        <v>46</v>
      </c>
      <c r="U991" s="2" t="s">
        <v>46</v>
      </c>
      <c r="V991" s="2">
        <v>0</v>
      </c>
      <c r="W991" s="2" t="s">
        <v>38</v>
      </c>
      <c r="X991" s="2">
        <v>240</v>
      </c>
      <c r="Y991" s="2"/>
      <c r="Z991" s="2">
        <v>0</v>
      </c>
      <c r="AA991" s="2" t="s">
        <v>39</v>
      </c>
      <c r="AB991" s="2">
        <v>75</v>
      </c>
      <c r="AC991" s="2">
        <v>0</v>
      </c>
      <c r="AD991" s="2">
        <v>1</v>
      </c>
      <c r="AE991" s="2" t="s">
        <v>40</v>
      </c>
      <c r="AF991" s="3">
        <v>42836</v>
      </c>
    </row>
    <row r="992" spans="1:32" x14ac:dyDescent="0.25">
      <c r="A992" s="2" t="s">
        <v>41</v>
      </c>
      <c r="B992" s="2">
        <v>1</v>
      </c>
      <c r="C992" s="2">
        <v>184</v>
      </c>
      <c r="D992" s="2">
        <v>2017</v>
      </c>
      <c r="E992" s="2" t="s">
        <v>67</v>
      </c>
      <c r="F992" s="2">
        <v>35</v>
      </c>
      <c r="G992" s="2">
        <v>28</v>
      </c>
      <c r="H992" s="2">
        <v>1</v>
      </c>
      <c r="I992" s="2">
        <v>2</v>
      </c>
      <c r="J992" s="2">
        <v>2</v>
      </c>
      <c r="K992" s="2">
        <v>0</v>
      </c>
      <c r="L992" s="2">
        <v>0</v>
      </c>
      <c r="M992" s="2" t="s">
        <v>34</v>
      </c>
      <c r="N992" s="2" t="s">
        <v>43</v>
      </c>
      <c r="O992" s="2" t="s">
        <v>36</v>
      </c>
      <c r="P992" s="2" t="s">
        <v>36</v>
      </c>
      <c r="Q992" s="2">
        <v>0</v>
      </c>
      <c r="R992" s="2">
        <v>0</v>
      </c>
      <c r="S992" s="2">
        <v>0</v>
      </c>
      <c r="T992" s="2" t="s">
        <v>72</v>
      </c>
      <c r="U992" s="2" t="s">
        <v>72</v>
      </c>
      <c r="V992" s="2">
        <v>0</v>
      </c>
      <c r="W992" s="2" t="s">
        <v>38</v>
      </c>
      <c r="X992" s="2">
        <v>14</v>
      </c>
      <c r="Y992" s="2"/>
      <c r="Z992" s="2">
        <v>0</v>
      </c>
      <c r="AA992" s="2" t="s">
        <v>39</v>
      </c>
      <c r="AB992" s="2">
        <v>191.67</v>
      </c>
      <c r="AC992" s="2">
        <v>0</v>
      </c>
      <c r="AD992" s="2">
        <v>3</v>
      </c>
      <c r="AE992" s="2" t="s">
        <v>47</v>
      </c>
      <c r="AF992" s="3">
        <v>42801</v>
      </c>
    </row>
    <row r="993" spans="1:32" x14ac:dyDescent="0.25">
      <c r="A993" s="2" t="s">
        <v>41</v>
      </c>
      <c r="B993" s="2">
        <v>0</v>
      </c>
      <c r="C993" s="2">
        <v>214</v>
      </c>
      <c r="D993" s="2">
        <v>2017</v>
      </c>
      <c r="E993" s="2" t="s">
        <v>69</v>
      </c>
      <c r="F993" s="2">
        <v>22</v>
      </c>
      <c r="G993" s="2">
        <v>28</v>
      </c>
      <c r="H993" s="2">
        <v>2</v>
      </c>
      <c r="I993" s="2">
        <v>4</v>
      </c>
      <c r="J993" s="2">
        <v>2</v>
      </c>
      <c r="K993" s="2">
        <v>0</v>
      </c>
      <c r="L993" s="2">
        <v>0</v>
      </c>
      <c r="M993" s="2" t="s">
        <v>55</v>
      </c>
      <c r="N993" s="2" t="s">
        <v>103</v>
      </c>
      <c r="O993" s="2" t="s">
        <v>44</v>
      </c>
      <c r="P993" s="2" t="s">
        <v>45</v>
      </c>
      <c r="Q993" s="2">
        <v>0</v>
      </c>
      <c r="R993" s="2">
        <v>0</v>
      </c>
      <c r="S993" s="2">
        <v>0</v>
      </c>
      <c r="T993" s="2" t="s">
        <v>46</v>
      </c>
      <c r="U993" s="2" t="s">
        <v>46</v>
      </c>
      <c r="V993" s="2">
        <v>0</v>
      </c>
      <c r="W993" s="2" t="s">
        <v>38</v>
      </c>
      <c r="X993" s="2">
        <v>9</v>
      </c>
      <c r="Y993" s="2"/>
      <c r="Z993" s="2">
        <v>0</v>
      </c>
      <c r="AA993" s="2" t="s">
        <v>39</v>
      </c>
      <c r="AB993" s="2">
        <v>115.8</v>
      </c>
      <c r="AC993" s="2">
        <v>0</v>
      </c>
      <c r="AD993" s="2">
        <v>0</v>
      </c>
      <c r="AE993" s="2" t="s">
        <v>40</v>
      </c>
      <c r="AF993" s="3">
        <v>42889</v>
      </c>
    </row>
    <row r="994" spans="1:32" x14ac:dyDescent="0.25">
      <c r="A994" s="2" t="s">
        <v>41</v>
      </c>
      <c r="B994" s="2">
        <v>0</v>
      </c>
      <c r="C994" s="2">
        <v>39</v>
      </c>
      <c r="D994" s="2">
        <v>2017</v>
      </c>
      <c r="E994" s="2" t="s">
        <v>67</v>
      </c>
      <c r="F994" s="2">
        <v>34</v>
      </c>
      <c r="G994" s="2">
        <v>20</v>
      </c>
      <c r="H994" s="2">
        <v>2</v>
      </c>
      <c r="I994" s="2">
        <v>0</v>
      </c>
      <c r="J994" s="2">
        <v>1</v>
      </c>
      <c r="K994" s="2">
        <v>0</v>
      </c>
      <c r="L994" s="2">
        <v>0</v>
      </c>
      <c r="M994" s="2" t="s">
        <v>34</v>
      </c>
      <c r="N994" s="2" t="s">
        <v>43</v>
      </c>
      <c r="O994" s="2" t="s">
        <v>49</v>
      </c>
      <c r="P994" s="2" t="s">
        <v>45</v>
      </c>
      <c r="Q994" s="2">
        <v>0</v>
      </c>
      <c r="R994" s="2">
        <v>0</v>
      </c>
      <c r="S994" s="2">
        <v>0</v>
      </c>
      <c r="T994" s="2" t="s">
        <v>46</v>
      </c>
      <c r="U994" s="2" t="s">
        <v>46</v>
      </c>
      <c r="V994" s="2">
        <v>0</v>
      </c>
      <c r="W994" s="2" t="s">
        <v>38</v>
      </c>
      <c r="X994" s="2">
        <v>310</v>
      </c>
      <c r="Y994" s="2"/>
      <c r="Z994" s="2">
        <v>0</v>
      </c>
      <c r="AA994" s="2" t="s">
        <v>39</v>
      </c>
      <c r="AB994" s="2">
        <v>140</v>
      </c>
      <c r="AC994" s="2">
        <v>0</v>
      </c>
      <c r="AD994" s="2">
        <v>0</v>
      </c>
      <c r="AE994" s="2" t="s">
        <v>40</v>
      </c>
      <c r="AF994" s="3">
        <v>42969</v>
      </c>
    </row>
    <row r="995" spans="1:32" x14ac:dyDescent="0.25">
      <c r="A995" s="2" t="s">
        <v>41</v>
      </c>
      <c r="B995" s="2">
        <v>0</v>
      </c>
      <c r="C995" s="2">
        <v>133</v>
      </c>
      <c r="D995" s="2">
        <v>2017</v>
      </c>
      <c r="E995" s="2" t="s">
        <v>54</v>
      </c>
      <c r="F995" s="2">
        <v>16</v>
      </c>
      <c r="G995" s="2">
        <v>19</v>
      </c>
      <c r="H995" s="2">
        <v>0</v>
      </c>
      <c r="I995" s="2">
        <v>4</v>
      </c>
      <c r="J995" s="2">
        <v>2</v>
      </c>
      <c r="K995" s="2">
        <v>0</v>
      </c>
      <c r="L995" s="2">
        <v>0</v>
      </c>
      <c r="M995" s="2" t="s">
        <v>34</v>
      </c>
      <c r="N995" s="2" t="s">
        <v>127</v>
      </c>
      <c r="O995" s="2" t="s">
        <v>49</v>
      </c>
      <c r="P995" s="2" t="s">
        <v>45</v>
      </c>
      <c r="Q995" s="2">
        <v>0</v>
      </c>
      <c r="R995" s="2">
        <v>0</v>
      </c>
      <c r="S995" s="2">
        <v>0</v>
      </c>
      <c r="T995" s="2" t="s">
        <v>46</v>
      </c>
      <c r="U995" s="2" t="s">
        <v>46</v>
      </c>
      <c r="V995" s="2">
        <v>0</v>
      </c>
      <c r="W995" s="2" t="s">
        <v>38</v>
      </c>
      <c r="X995" s="2">
        <v>390</v>
      </c>
      <c r="Y995" s="2"/>
      <c r="Z995" s="2">
        <v>0</v>
      </c>
      <c r="AA995" s="2" t="s">
        <v>51</v>
      </c>
      <c r="AB995" s="2">
        <v>124</v>
      </c>
      <c r="AC995" s="2">
        <v>0</v>
      </c>
      <c r="AD995" s="2">
        <v>0</v>
      </c>
      <c r="AE995" s="2" t="s">
        <v>40</v>
      </c>
      <c r="AF995" s="3">
        <v>42848</v>
      </c>
    </row>
    <row r="996" spans="1:32" x14ac:dyDescent="0.25">
      <c r="A996" s="2" t="s">
        <v>32</v>
      </c>
      <c r="B996" s="2">
        <v>0</v>
      </c>
      <c r="C996" s="2">
        <v>2</v>
      </c>
      <c r="D996" s="2">
        <v>2017</v>
      </c>
      <c r="E996" s="2" t="s">
        <v>69</v>
      </c>
      <c r="F996" s="2">
        <v>19</v>
      </c>
      <c r="G996" s="2">
        <v>7</v>
      </c>
      <c r="H996" s="2">
        <v>2</v>
      </c>
      <c r="I996" s="2">
        <v>0</v>
      </c>
      <c r="J996" s="2">
        <v>2</v>
      </c>
      <c r="K996" s="2">
        <v>0</v>
      </c>
      <c r="L996" s="2">
        <v>0</v>
      </c>
      <c r="M996" s="2" t="s">
        <v>34</v>
      </c>
      <c r="N996" s="2" t="s">
        <v>43</v>
      </c>
      <c r="O996" s="2" t="s">
        <v>44</v>
      </c>
      <c r="P996" s="2" t="s">
        <v>45</v>
      </c>
      <c r="Q996" s="2">
        <v>0</v>
      </c>
      <c r="R996" s="2">
        <v>0</v>
      </c>
      <c r="S996" s="2">
        <v>0</v>
      </c>
      <c r="T996" s="2" t="s">
        <v>46</v>
      </c>
      <c r="U996" s="2" t="s">
        <v>86</v>
      </c>
      <c r="V996" s="2">
        <v>0</v>
      </c>
      <c r="W996" s="2" t="s">
        <v>38</v>
      </c>
      <c r="X996" s="2">
        <v>240</v>
      </c>
      <c r="Y996" s="2"/>
      <c r="Z996" s="2">
        <v>0</v>
      </c>
      <c r="AA996" s="2" t="s">
        <v>39</v>
      </c>
      <c r="AB996" s="2">
        <v>79.5</v>
      </c>
      <c r="AC996" s="2">
        <v>1</v>
      </c>
      <c r="AD996" s="2">
        <v>1</v>
      </c>
      <c r="AE996" s="2" t="s">
        <v>40</v>
      </c>
      <c r="AF996" s="3">
        <v>42864</v>
      </c>
    </row>
    <row r="997" spans="1:32" x14ac:dyDescent="0.25">
      <c r="A997" s="2" t="s">
        <v>41</v>
      </c>
      <c r="B997" s="2">
        <v>0</v>
      </c>
      <c r="C997" s="2">
        <v>1</v>
      </c>
      <c r="D997" s="2">
        <v>2017</v>
      </c>
      <c r="E997" s="2" t="s">
        <v>66</v>
      </c>
      <c r="F997" s="2">
        <v>5</v>
      </c>
      <c r="G997" s="2">
        <v>2</v>
      </c>
      <c r="H997" s="2">
        <v>0</v>
      </c>
      <c r="I997" s="2">
        <v>1</v>
      </c>
      <c r="J997" s="2">
        <v>1</v>
      </c>
      <c r="K997" s="2">
        <v>0</v>
      </c>
      <c r="L997" s="2">
        <v>0</v>
      </c>
      <c r="M997" s="2" t="s">
        <v>34</v>
      </c>
      <c r="N997" s="2" t="s">
        <v>43</v>
      </c>
      <c r="O997" s="2" t="s">
        <v>36</v>
      </c>
      <c r="P997" s="2" t="s">
        <v>36</v>
      </c>
      <c r="Q997" s="2">
        <v>1</v>
      </c>
      <c r="R997" s="2">
        <v>1</v>
      </c>
      <c r="S997" s="2">
        <v>6</v>
      </c>
      <c r="T997" s="2" t="s">
        <v>72</v>
      </c>
      <c r="U997" s="2" t="s">
        <v>72</v>
      </c>
      <c r="V997" s="2">
        <v>1</v>
      </c>
      <c r="W997" s="2" t="s">
        <v>38</v>
      </c>
      <c r="X997" s="2"/>
      <c r="Y997" s="2"/>
      <c r="Z997" s="2">
        <v>0</v>
      </c>
      <c r="AA997" s="2" t="s">
        <v>39</v>
      </c>
      <c r="AB997" s="2">
        <v>110</v>
      </c>
      <c r="AC997" s="2">
        <v>0</v>
      </c>
      <c r="AD997" s="2">
        <v>0</v>
      </c>
      <c r="AE997" s="2" t="s">
        <v>40</v>
      </c>
      <c r="AF997" s="3">
        <v>42769</v>
      </c>
    </row>
    <row r="998" spans="1:32" x14ac:dyDescent="0.25">
      <c r="A998" s="2" t="s">
        <v>41</v>
      </c>
      <c r="B998" s="2">
        <v>1</v>
      </c>
      <c r="C998" s="2">
        <v>10</v>
      </c>
      <c r="D998" s="2">
        <v>2017</v>
      </c>
      <c r="E998" s="2" t="s">
        <v>66</v>
      </c>
      <c r="F998" s="2">
        <v>7</v>
      </c>
      <c r="G998" s="2">
        <v>16</v>
      </c>
      <c r="H998" s="2">
        <v>0</v>
      </c>
      <c r="I998" s="2">
        <v>3</v>
      </c>
      <c r="J998" s="2">
        <v>2</v>
      </c>
      <c r="K998" s="2">
        <v>0</v>
      </c>
      <c r="L998" s="2">
        <v>0</v>
      </c>
      <c r="M998" s="2" t="s">
        <v>55</v>
      </c>
      <c r="N998" s="2" t="s">
        <v>106</v>
      </c>
      <c r="O998" s="2" t="s">
        <v>44</v>
      </c>
      <c r="P998" s="2" t="s">
        <v>45</v>
      </c>
      <c r="Q998" s="2">
        <v>0</v>
      </c>
      <c r="R998" s="2">
        <v>0</v>
      </c>
      <c r="S998" s="2">
        <v>0</v>
      </c>
      <c r="T998" s="2" t="s">
        <v>46</v>
      </c>
      <c r="U998" s="2" t="s">
        <v>46</v>
      </c>
      <c r="V998" s="2">
        <v>0</v>
      </c>
      <c r="W998" s="2" t="s">
        <v>38</v>
      </c>
      <c r="X998" s="2">
        <v>9</v>
      </c>
      <c r="Y998" s="2"/>
      <c r="Z998" s="2">
        <v>0</v>
      </c>
      <c r="AA998" s="2" t="s">
        <v>39</v>
      </c>
      <c r="AB998" s="2">
        <v>98</v>
      </c>
      <c r="AC998" s="2">
        <v>0</v>
      </c>
      <c r="AD998" s="2">
        <v>0</v>
      </c>
      <c r="AE998" s="2" t="s">
        <v>47</v>
      </c>
      <c r="AF998" s="3">
        <v>42772</v>
      </c>
    </row>
    <row r="999" spans="1:32" x14ac:dyDescent="0.25">
      <c r="A999" s="2" t="s">
        <v>41</v>
      </c>
      <c r="B999" s="2">
        <v>0</v>
      </c>
      <c r="C999" s="2">
        <v>48</v>
      </c>
      <c r="D999" s="2">
        <v>2017</v>
      </c>
      <c r="E999" s="2" t="s">
        <v>66</v>
      </c>
      <c r="F999" s="2">
        <v>8</v>
      </c>
      <c r="G999" s="2">
        <v>22</v>
      </c>
      <c r="H999" s="2">
        <v>0</v>
      </c>
      <c r="I999" s="2">
        <v>2</v>
      </c>
      <c r="J999" s="2">
        <v>1</v>
      </c>
      <c r="K999" s="2">
        <v>0</v>
      </c>
      <c r="L999" s="2">
        <v>0</v>
      </c>
      <c r="M999" s="2" t="s">
        <v>34</v>
      </c>
      <c r="N999" s="2" t="s">
        <v>63</v>
      </c>
      <c r="O999" s="2" t="s">
        <v>64</v>
      </c>
      <c r="P999" s="2" t="s">
        <v>45</v>
      </c>
      <c r="Q999" s="2">
        <v>0</v>
      </c>
      <c r="R999" s="2">
        <v>0</v>
      </c>
      <c r="S999" s="2">
        <v>0</v>
      </c>
      <c r="T999" s="2" t="s">
        <v>46</v>
      </c>
      <c r="U999" s="2" t="s">
        <v>46</v>
      </c>
      <c r="V999" s="2">
        <v>0</v>
      </c>
      <c r="W999" s="2" t="s">
        <v>38</v>
      </c>
      <c r="X999" s="2"/>
      <c r="Y999" s="2"/>
      <c r="Z999" s="2">
        <v>0</v>
      </c>
      <c r="AA999" s="2" t="s">
        <v>51</v>
      </c>
      <c r="AB999" s="2">
        <v>65</v>
      </c>
      <c r="AC999" s="2">
        <v>0</v>
      </c>
      <c r="AD999" s="2">
        <v>1</v>
      </c>
      <c r="AE999" s="2" t="s">
        <v>40</v>
      </c>
      <c r="AF999" s="3">
        <v>42790</v>
      </c>
    </row>
    <row r="1000" spans="1:32" x14ac:dyDescent="0.25">
      <c r="A1000" s="2" t="s">
        <v>32</v>
      </c>
      <c r="B1000" s="2">
        <v>0</v>
      </c>
      <c r="C1000" s="2">
        <v>69</v>
      </c>
      <c r="D1000" s="2">
        <v>2017</v>
      </c>
      <c r="E1000" s="2" t="s">
        <v>42</v>
      </c>
      <c r="F1000" s="2">
        <v>28</v>
      </c>
      <c r="G1000" s="2">
        <v>14</v>
      </c>
      <c r="H1000" s="2">
        <v>2</v>
      </c>
      <c r="I1000" s="2">
        <v>5</v>
      </c>
      <c r="J1000" s="2">
        <v>2</v>
      </c>
      <c r="K1000" s="2">
        <v>0</v>
      </c>
      <c r="L1000" s="2">
        <v>0</v>
      </c>
      <c r="M1000" s="2" t="s">
        <v>34</v>
      </c>
      <c r="N1000" s="2" t="s">
        <v>63</v>
      </c>
      <c r="O1000" s="2" t="s">
        <v>44</v>
      </c>
      <c r="P1000" s="2" t="s">
        <v>45</v>
      </c>
      <c r="Q1000" s="2">
        <v>0</v>
      </c>
      <c r="R1000" s="2">
        <v>0</v>
      </c>
      <c r="S1000" s="2">
        <v>0</v>
      </c>
      <c r="T1000" s="2" t="s">
        <v>46</v>
      </c>
      <c r="U1000" s="2" t="s">
        <v>46</v>
      </c>
      <c r="V1000" s="2">
        <v>0</v>
      </c>
      <c r="W1000" s="2" t="s">
        <v>38</v>
      </c>
      <c r="X1000" s="2">
        <v>177</v>
      </c>
      <c r="Y1000" s="2"/>
      <c r="Z1000" s="2">
        <v>0</v>
      </c>
      <c r="AA1000" s="2" t="s">
        <v>39</v>
      </c>
      <c r="AB1000" s="2">
        <v>160</v>
      </c>
      <c r="AC1000" s="2">
        <v>1</v>
      </c>
      <c r="AD1000" s="2">
        <v>0</v>
      </c>
      <c r="AE1000" s="2" t="s">
        <v>40</v>
      </c>
      <c r="AF1000" s="3">
        <v>42937</v>
      </c>
    </row>
    <row r="1001" spans="1:32" x14ac:dyDescent="0.25">
      <c r="A1001" s="2" t="s">
        <v>41</v>
      </c>
      <c r="B1001" s="2">
        <v>0</v>
      </c>
      <c r="C1001" s="2">
        <v>78</v>
      </c>
      <c r="D1001" s="2">
        <v>2017</v>
      </c>
      <c r="E1001" s="2" t="s">
        <v>69</v>
      </c>
      <c r="F1001" s="2">
        <v>22</v>
      </c>
      <c r="G1001" s="2">
        <v>28</v>
      </c>
      <c r="H1001" s="2">
        <v>2</v>
      </c>
      <c r="I1001" s="2">
        <v>2</v>
      </c>
      <c r="J1001" s="2">
        <v>2</v>
      </c>
      <c r="K1001" s="2">
        <v>0</v>
      </c>
      <c r="L1001" s="2">
        <v>0</v>
      </c>
      <c r="M1001" s="2" t="s">
        <v>34</v>
      </c>
      <c r="N1001" s="2" t="s">
        <v>35</v>
      </c>
      <c r="O1001" s="2" t="s">
        <v>49</v>
      </c>
      <c r="P1001" s="2" t="s">
        <v>45</v>
      </c>
      <c r="Q1001" s="2">
        <v>0</v>
      </c>
      <c r="R1001" s="2">
        <v>0</v>
      </c>
      <c r="S1001" s="2">
        <v>0</v>
      </c>
      <c r="T1001" s="2" t="s">
        <v>46</v>
      </c>
      <c r="U1001" s="2" t="s">
        <v>46</v>
      </c>
      <c r="V1001" s="2">
        <v>0</v>
      </c>
      <c r="W1001" s="2" t="s">
        <v>38</v>
      </c>
      <c r="X1001" s="2">
        <v>22</v>
      </c>
      <c r="Y1001" s="2"/>
      <c r="Z1001" s="2">
        <v>0</v>
      </c>
      <c r="AA1001" s="2" t="s">
        <v>39</v>
      </c>
      <c r="AB1001" s="2">
        <v>89.1</v>
      </c>
      <c r="AC1001" s="2">
        <v>0</v>
      </c>
      <c r="AD1001" s="2">
        <v>1</v>
      </c>
      <c r="AE1001" s="2" t="s">
        <v>40</v>
      </c>
      <c r="AF1001" s="3">
        <v>42887</v>
      </c>
    </row>
  </sheetData>
  <phoneticPr fontId="18" type="noConversion"/>
  <conditionalFormatting sqref="C1:C1048576">
    <cfRule type="dataBar" priority="3">
      <dataBar>
        <cfvo type="min"/>
        <cfvo type="max"/>
        <color rgb="FF638EC6"/>
      </dataBar>
      <extLst>
        <ext xmlns:x14="http://schemas.microsoft.com/office/spreadsheetml/2009/9/main" uri="{B025F937-C7B1-47D3-B67F-A62EFF666E3E}">
          <x14:id>{214B2780-DF8F-4D95-9E4A-0048B80634FB}</x14:id>
        </ext>
      </extLst>
    </cfRule>
  </conditionalFormatting>
  <conditionalFormatting sqref="AB1:AB1048576">
    <cfRule type="top10" dxfId="92" priority="1" rank="10"/>
    <cfRule type="top10" dxfId="91" priority="2" rank="10"/>
    <cfRule type="colorScale" priority="4">
      <colorScale>
        <cfvo type="min"/>
        <cfvo type="percentile" val="50"/>
        <cfvo type="max"/>
        <color rgb="FFF8696B"/>
        <color rgb="FFFFEB84"/>
        <color rgb="FF63BE7B"/>
      </colorScale>
    </cfRule>
  </conditionalFormatting>
  <conditionalFormatting sqref="AE1:AE1048576">
    <cfRule type="containsText" dxfId="90" priority="5" operator="containsText" text="Canceled">
      <formula>NOT(ISERROR(SEARCH("Canceled",AE1)))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14B2780-DF8F-4D95-9E4A-0048B80634FB}">
            <x14:dataBar minLength="0" maxLength="100" border="1" negativeBarBorderColorSameAsPositive="0">
              <x14:cfvo type="autoMin"/>
              <x14:cfvo type="autoMax"/>
              <x14:borderColor rgb="FF638EC6"/>
              <x14:negativeFillColor rgb="FFFF0000"/>
              <x14:negativeBorderColor rgb="FFFF0000"/>
              <x14:axisColor rgb="FF000000"/>
            </x14:dataBar>
          </x14:cfRule>
          <xm:sqref>C1:C1048576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11E8-17C2-4A49-A455-DCC69780C084}">
  <dimension ref="A1:U11"/>
  <sheetViews>
    <sheetView showRowColHeaders="0" tabSelected="1" workbookViewId="0">
      <selection activeCell="I49" sqref="I49"/>
    </sheetView>
  </sheetViews>
  <sheetFormatPr defaultRowHeight="13.8" x14ac:dyDescent="0.25"/>
  <cols>
    <col min="1" max="1" width="9.5546875" style="10" bestFit="1" customWidth="1"/>
  </cols>
  <sheetData>
    <row r="1" spans="1:21" ht="27.6" customHeight="1" x14ac:dyDescent="0.25">
      <c r="A1" s="15" t="s">
        <v>138</v>
      </c>
      <c r="B1" s="15"/>
      <c r="C1" s="15"/>
      <c r="D1" s="15"/>
      <c r="E1" s="15"/>
      <c r="F1" s="15"/>
      <c r="G1" s="15"/>
      <c r="H1" s="15"/>
      <c r="I1" s="15"/>
      <c r="J1" s="15"/>
      <c r="K1" s="15"/>
      <c r="L1" s="15"/>
      <c r="M1" s="15"/>
      <c r="N1" s="15"/>
      <c r="O1" s="15"/>
      <c r="P1" s="15"/>
      <c r="Q1" s="15"/>
      <c r="R1" s="12"/>
      <c r="S1" s="12"/>
      <c r="T1" s="12"/>
      <c r="U1" s="12"/>
    </row>
    <row r="2" spans="1:21" ht="21" x14ac:dyDescent="0.25">
      <c r="A2" s="16" t="s">
        <v>137</v>
      </c>
      <c r="B2" s="16"/>
      <c r="C2" s="16"/>
      <c r="D2" s="16"/>
      <c r="E2" s="16"/>
      <c r="F2" s="16"/>
      <c r="G2" s="16"/>
      <c r="H2" s="16"/>
      <c r="I2" s="16"/>
      <c r="J2" s="16"/>
      <c r="K2" s="16"/>
      <c r="L2" s="16"/>
      <c r="M2" s="16"/>
      <c r="N2" s="16"/>
      <c r="O2" s="16"/>
      <c r="P2" s="16"/>
      <c r="Q2" s="16"/>
      <c r="R2" s="13"/>
      <c r="S2" s="13"/>
      <c r="T2" s="13"/>
      <c r="U2" s="13"/>
    </row>
    <row r="3" spans="1:21" x14ac:dyDescent="0.25">
      <c r="A3" s="9">
        <f>GETPIVOTDATA("appointment_month",PivotTable!$A$3)</f>
        <v>1000</v>
      </c>
    </row>
    <row r="4" spans="1:21" x14ac:dyDescent="0.25">
      <c r="A4" s="11">
        <f>IFERROR(GETPIVOTDATA("appointment_status",PivotTable!$D$3,"appointment_status","Canceled")/GETPIVOTDATA("appointment_status",PivotTable!$D$3),0)</f>
        <v>0.379</v>
      </c>
    </row>
    <row r="5" spans="1:21" x14ac:dyDescent="0.25">
      <c r="A5" s="9">
        <f>GETPIVOTDATA("visitors",PivotTable!$A$25)</f>
        <v>1873</v>
      </c>
    </row>
    <row r="6" spans="1:21" x14ac:dyDescent="0.25">
      <c r="A6" s="11">
        <f>IFERROR(GETPIVOTDATA("office_location",PivotTable!$D$9,"office_location","Head Office")/GETPIVOTDATA("office_location",PivotTable!$D$9),0)</f>
        <v>0.32800000000000001</v>
      </c>
    </row>
    <row r="7" spans="1:21" x14ac:dyDescent="0.25">
      <c r="A7" s="14">
        <f>GETPIVOTDATA("days_before_appointment",PivotTable!$A$30)</f>
        <v>106.232</v>
      </c>
    </row>
    <row r="8" spans="1:21" x14ac:dyDescent="0.25">
      <c r="A8" s="10" t="str">
        <f>PivotTable!A4</f>
        <v>August</v>
      </c>
    </row>
    <row r="9" spans="1:21" x14ac:dyDescent="0.25">
      <c r="A9" s="10" t="str">
        <f>PivotTable!A56</f>
        <v>Transient</v>
      </c>
    </row>
    <row r="10" spans="1:21" x14ac:dyDescent="0.25">
      <c r="A10" s="18">
        <f>IFERROR(GETPIVOTDATA("appointment_status",PivotTable!$D$3,"appointment_status","No-Show")/GETPIVOTDATA("appointment_status",PivotTable!$D$3),0)</f>
        <v>6.0000000000000001E-3</v>
      </c>
    </row>
    <row r="11" spans="1:21" x14ac:dyDescent="0.25">
      <c r="R11" s="7"/>
    </row>
  </sheetData>
  <mergeCells count="2">
    <mergeCell ref="A1:Q1"/>
    <mergeCell ref="A2:Q2"/>
  </mergeCells>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office_booking_1000</vt:lpstr>
      <vt:lpstr>Detail1</vt:lpstr>
      <vt:lpstr>PivotTable</vt:lpstr>
      <vt:lpstr>office_booking_project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a52353</cp:lastModifiedBy>
  <dcterms:created xsi:type="dcterms:W3CDTF">2026-07-29T20:13:24Z</dcterms:created>
  <dcterms:modified xsi:type="dcterms:W3CDTF">2026-08-06T19:14:39Z</dcterms:modified>
</cp:coreProperties>
</file>